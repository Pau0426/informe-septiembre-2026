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9.xml" ContentType="application/vnd.openxmlformats-officedocument.drawing+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0.xml" ContentType="application/vnd.openxmlformats-officedocument.drawing+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charts/chart47.xml" ContentType="application/vnd.openxmlformats-officedocument.drawingml.chart+xml"/>
  <Override PartName="/xl/charts/style45.xml" ContentType="application/vnd.ms-office.chartstyle+xml"/>
  <Override PartName="/xl/charts/colors45.xml" ContentType="application/vnd.ms-office.chartcolorstyle+xml"/>
  <Override PartName="/xl/charts/chart48.xml" ContentType="application/vnd.openxmlformats-officedocument.drawingml.chart+xml"/>
  <Override PartName="/xl/charts/style46.xml" ContentType="application/vnd.ms-office.chartstyle+xml"/>
  <Override PartName="/xl/charts/colors46.xml" ContentType="application/vnd.ms-office.chartcolorstyle+xml"/>
  <Override PartName="/xl/charts/chart49.xml" ContentType="application/vnd.openxmlformats-officedocument.drawingml.chart+xml"/>
  <Override PartName="/xl/charts/style47.xml" ContentType="application/vnd.ms-office.chartstyle+xml"/>
  <Override PartName="/xl/charts/colors47.xml" ContentType="application/vnd.ms-office.chartcolorstyle+xml"/>
  <Override PartName="/xl/charts/chart50.xml" ContentType="application/vnd.openxmlformats-officedocument.drawingml.chart+xml"/>
  <Override PartName="/xl/charts/style48.xml" ContentType="application/vnd.ms-office.chartstyle+xml"/>
  <Override PartName="/xl/charts/colors48.xml" ContentType="application/vnd.ms-office.chartcolorstyle+xml"/>
  <Override PartName="/xl/charts/chart51.xml" ContentType="application/vnd.openxmlformats-officedocument.drawingml.chart+xml"/>
  <Override PartName="/xl/charts/style49.xml" ContentType="application/vnd.ms-office.chartstyle+xml"/>
  <Override PartName="/xl/charts/colors49.xml" ContentType="application/vnd.ms-office.chartcolorstyle+xml"/>
  <Override PartName="/xl/charts/chart52.xml" ContentType="application/vnd.openxmlformats-officedocument.drawingml.chart+xml"/>
  <Override PartName="/xl/charts/style50.xml" ContentType="application/vnd.ms-office.chartstyle+xml"/>
  <Override PartName="/xl/charts/colors50.xml" ContentType="application/vnd.ms-office.chartcolorstyle+xml"/>
  <Override PartName="/xl/charts/chart53.xml" ContentType="application/vnd.openxmlformats-officedocument.drawingml.chart+xml"/>
  <Override PartName="/xl/charts/style51.xml" ContentType="application/vnd.ms-office.chartstyle+xml"/>
  <Override PartName="/xl/charts/colors51.xml" ContentType="application/vnd.ms-office.chartcolorstyle+xml"/>
  <Override PartName="/xl/charts/chart54.xml" ContentType="application/vnd.openxmlformats-officedocument.drawingml.chart+xml"/>
  <Override PartName="/xl/charts/style52.xml" ContentType="application/vnd.ms-office.chartstyle+xml"/>
  <Override PartName="/xl/charts/colors52.xml" ContentType="application/vnd.ms-office.chartcolorstyle+xml"/>
  <Override PartName="/xl/theme/themeOverride3.xml" ContentType="application/vnd.openxmlformats-officedocument.themeOverride+xml"/>
  <Override PartName="/xl/pivotTables/pivotTable3.xml" ContentType="application/vnd.openxmlformats-officedocument.spreadsheetml.pivotTable+xml"/>
  <Override PartName="/xl/drawings/drawing12.xml" ContentType="application/vnd.openxmlformats-officedocument.drawing+xml"/>
  <Override PartName="/xl/charts/chart55.xml" ContentType="application/vnd.openxmlformats-officedocument.drawingml.chart+xml"/>
  <Override PartName="/xl/charts/style53.xml" ContentType="application/vnd.ms-office.chartstyle+xml"/>
  <Override PartName="/xl/charts/colors53.xml" ContentType="application/vnd.ms-office.chartcolorstyle+xml"/>
  <Override PartName="/xl/charts/chart56.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13.xml" ContentType="application/vnd.openxmlformats-officedocument.drawing+xml"/>
  <Override PartName="/xl/charts/chart57.xml" ContentType="application/vnd.openxmlformats-officedocument.drawingml.chart+xml"/>
  <Override PartName="/xl/charts/style55.xml" ContentType="application/vnd.ms-office.chartstyle+xml"/>
  <Override PartName="/xl/charts/colors55.xml" ContentType="application/vnd.ms-office.chartcolorstyle+xml"/>
  <Override PartName="/xl/charts/chart58.xml" ContentType="application/vnd.openxmlformats-officedocument.drawingml.chart+xml"/>
  <Override PartName="/xl/charts/style56.xml" ContentType="application/vnd.ms-office.chartstyle+xml"/>
  <Override PartName="/xl/charts/colors56.xml" ContentType="application/vnd.ms-office.chartcolorstyle+xml"/>
  <Override PartName="/xl/charts/chart59.xml" ContentType="application/vnd.openxmlformats-officedocument.drawingml.chart+xml"/>
  <Override PartName="/xl/charts/style57.xml" ContentType="application/vnd.ms-office.chartstyle+xml"/>
  <Override PartName="/xl/charts/colors57.xml" ContentType="application/vnd.ms-office.chartcolorstyle+xml"/>
  <Override PartName="/xl/charts/chart60.xml" ContentType="application/vnd.openxmlformats-officedocument.drawingml.chart+xml"/>
  <Override PartName="/xl/charts/style58.xml" ContentType="application/vnd.ms-office.chartstyle+xml"/>
  <Override PartName="/xl/charts/colors58.xml" ContentType="application/vnd.ms-office.chartcolorstyle+xml"/>
  <Override PartName="/xl/charts/chart61.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4.xml" ContentType="application/vnd.openxmlformats-officedocument.drawing+xml"/>
  <Override PartName="/xl/charts/chart62.xml" ContentType="application/vnd.openxmlformats-officedocument.drawingml.chart+xml"/>
  <Override PartName="/xl/charts/style60.xml" ContentType="application/vnd.ms-office.chartstyle+xml"/>
  <Override PartName="/xl/charts/colors60.xml" ContentType="application/vnd.ms-office.chartcolorstyle+xml"/>
  <Override PartName="/xl/charts/chart63.xml" ContentType="application/vnd.openxmlformats-officedocument.drawingml.chart+xml"/>
  <Override PartName="/xl/charts/style61.xml" ContentType="application/vnd.ms-office.chartstyle+xml"/>
  <Override PartName="/xl/charts/colors6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uridica.comercial\Desktop\"/>
    </mc:Choice>
  </mc:AlternateContent>
  <xr:revisionPtr revIDLastSave="0" documentId="8_{8AB5E47E-A27F-4CB5-9A79-9BB64D52A345}" xr6:coauthVersionLast="47" xr6:coauthVersionMax="47" xr10:uidLastSave="{00000000-0000-0000-0000-000000000000}"/>
  <bookViews>
    <workbookView xWindow="-120" yWindow="-120" windowWidth="29040" windowHeight="15720" activeTab="1" xr2:uid="{61F4CD57-FAFF-4C9E-AE24-F4875D9C5EF2}"/>
  </bookViews>
  <sheets>
    <sheet name="Hoja1" sheetId="1" r:id="rId1"/>
    <sheet name="Hoja10" sheetId="95" r:id="rId2"/>
    <sheet name="SEPTIEMBRE" sheetId="40" r:id="rId3"/>
    <sheet name="TDAGOSTO" sheetId="93" r:id="rId4"/>
    <sheet name="EST AGOSTO" sheetId="3" r:id="rId5"/>
    <sheet name="Acueducto" sheetId="4" r:id="rId6"/>
    <sheet name="Alcantarillado" sheetId="5" r:id="rId7"/>
    <sheet name="Aseo" sheetId="6" r:id="rId8"/>
    <sheet name="Alumbrado Público" sheetId="7" r:id="rId9"/>
    <sheet name="Servicios Inmobiliarios" sheetId="8" r:id="rId10"/>
    <sheet name="Servicios Complementarios" sheetId="10" r:id="rId11"/>
    <sheet name="TyDRcd" sheetId="11" r:id="rId12"/>
    <sheet name="PQR" sheetId="12" r:id="rId13"/>
    <sheet name="INFRA" sheetId="13" r:id="rId14"/>
    <sheet name="PQR POR SERVICIO" sheetId="15" r:id="rId15"/>
    <sheet name="PROMEDIO RESPUESTA" sheetId="14" r:id="rId16"/>
    <sheet name="Hoja3" sheetId="23" r:id="rId17"/>
    <sheet name="pqqqqr" sheetId="39" r:id="rId18"/>
    <sheet name="Hoja4" sheetId="24" r:id="rId19"/>
    <sheet name="Hoja6" sheetId="30" r:id="rId20"/>
    <sheet name="ENCUESTA" sheetId="27" r:id="rId21"/>
    <sheet name="TD ENCUESTA" sheetId="92" r:id="rId22"/>
    <sheet name="ESTENCUESTA" sheetId="19" r:id="rId23"/>
    <sheet name="Hoja5" sheetId="29" r:id="rId24"/>
    <sheet name="BUZON" sheetId="38" r:id="rId25"/>
    <sheet name="Hoja2" sheetId="49" r:id="rId26"/>
    <sheet name="Hoja9" sheetId="94" r:id="rId27"/>
    <sheet name="Hoja7" sheetId="70" r:id="rId28"/>
    <sheet name="DIGITURNO" sheetId="86" r:id="rId29"/>
    <sheet name="Hoja8" sheetId="81" r:id="rId30"/>
  </sheets>
  <definedNames>
    <definedName name="_xlnm._FilterDatabase" localSheetId="0" hidden="1">Hoja1!#REF!</definedName>
    <definedName name="_xlnm._FilterDatabase" localSheetId="14" hidden="1">'PQR POR SERVICIO'!$D$100:$H$110</definedName>
    <definedName name="_Hlk133920184" localSheetId="0">Hoja1!#REF!</definedName>
    <definedName name="_Hlk42509883" localSheetId="0">Hoja1!#REF!</definedName>
  </definedNames>
  <calcPr calcId="191029"/>
  <pivotCaches>
    <pivotCache cacheId="0" r:id="rId31"/>
    <pivotCache cacheId="1" r:id="rId32"/>
    <pivotCache cacheId="11" r:id="rId3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8" i="30" l="1"/>
  <c r="AI110" i="30"/>
  <c r="AH110" i="30"/>
  <c r="AI77" i="30"/>
  <c r="AH77" i="30"/>
  <c r="AH28" i="30"/>
  <c r="AG52" i="30"/>
  <c r="AF52" i="30"/>
  <c r="AJ84" i="24"/>
  <c r="AI84" i="24"/>
  <c r="AJ82" i="24"/>
  <c r="AI82" i="24"/>
  <c r="AJ80" i="24"/>
  <c r="AI80" i="24"/>
  <c r="U38" i="70"/>
  <c r="U29" i="70"/>
  <c r="U34" i="70"/>
  <c r="U35" i="70"/>
  <c r="U36" i="70"/>
  <c r="U37" i="70"/>
  <c r="U33" i="70"/>
  <c r="U24" i="70"/>
  <c r="U25" i="70"/>
  <c r="U26" i="70"/>
  <c r="U27" i="70"/>
  <c r="U28" i="70"/>
  <c r="U18" i="70"/>
  <c r="U17" i="70"/>
  <c r="U15" i="70"/>
  <c r="U16" i="70"/>
  <c r="U14" i="70"/>
  <c r="AI67" i="24"/>
  <c r="L135" i="15"/>
  <c r="K135" i="15"/>
  <c r="L134" i="15"/>
  <c r="K134" i="15"/>
  <c r="J48" i="70"/>
  <c r="I152" i="39"/>
  <c r="I149" i="39"/>
  <c r="M152" i="39"/>
  <c r="AG110" i="30"/>
  <c r="AF110" i="30"/>
  <c r="AE110" i="30"/>
  <c r="AD110" i="30"/>
  <c r="AG77" i="30"/>
  <c r="AF77" i="30"/>
  <c r="AE77" i="30"/>
  <c r="AD77" i="30"/>
  <c r="AI52" i="30"/>
  <c r="AH52" i="30"/>
  <c r="AE52" i="30"/>
  <c r="AD52" i="30"/>
  <c r="AE28" i="30"/>
  <c r="AD28" i="30"/>
  <c r="AB99" i="30"/>
  <c r="AB100" i="30"/>
  <c r="AB98" i="30"/>
  <c r="I22" i="39"/>
  <c r="I48" i="70"/>
  <c r="I46" i="70"/>
  <c r="J46" i="70"/>
  <c r="I36" i="70"/>
  <c r="I38" i="70" s="1"/>
  <c r="J36" i="70"/>
  <c r="J38" i="70" s="1"/>
  <c r="I27" i="70"/>
  <c r="I29" i="70" s="1"/>
  <c r="J27" i="70"/>
  <c r="J29" i="70" s="1"/>
  <c r="I17" i="70"/>
  <c r="I19" i="70" s="1"/>
  <c r="J17" i="70"/>
  <c r="J19" i="70" s="1"/>
  <c r="U89" i="30"/>
  <c r="V89" i="30"/>
  <c r="U90" i="30"/>
  <c r="V90" i="30"/>
  <c r="U91" i="30"/>
  <c r="V91" i="30"/>
  <c r="U92" i="30"/>
  <c r="V92" i="30"/>
  <c r="U93" i="30"/>
  <c r="V93" i="30"/>
  <c r="U94" i="30"/>
  <c r="V94" i="30"/>
  <c r="U95" i="30"/>
  <c r="V95" i="30"/>
  <c r="U96" i="30"/>
  <c r="V96" i="30"/>
  <c r="U97" i="30"/>
  <c r="V97" i="30"/>
  <c r="U98" i="30"/>
  <c r="V98" i="30"/>
  <c r="U99" i="30"/>
  <c r="V99" i="30"/>
  <c r="U100" i="30"/>
  <c r="V100" i="30"/>
  <c r="U101" i="30"/>
  <c r="V101" i="30"/>
  <c r="U102" i="30"/>
  <c r="V102" i="30"/>
  <c r="U103" i="30"/>
  <c r="V103" i="30"/>
  <c r="U104" i="30"/>
  <c r="V104" i="30"/>
  <c r="U105" i="30"/>
  <c r="V105" i="30"/>
  <c r="U106" i="30"/>
  <c r="V106" i="30"/>
  <c r="U107" i="30"/>
  <c r="V107" i="30"/>
  <c r="U108" i="30"/>
  <c r="V108" i="30"/>
  <c r="U109" i="30"/>
  <c r="V109" i="30"/>
  <c r="U88" i="30"/>
  <c r="V88" i="30"/>
  <c r="U60" i="30"/>
  <c r="V60" i="30"/>
  <c r="U61" i="30"/>
  <c r="V61" i="30"/>
  <c r="U62" i="30"/>
  <c r="V62" i="30"/>
  <c r="U63" i="30"/>
  <c r="V63" i="30"/>
  <c r="U64" i="30"/>
  <c r="V64" i="30"/>
  <c r="U65" i="30"/>
  <c r="V65" i="30"/>
  <c r="U66" i="30"/>
  <c r="V66" i="30"/>
  <c r="U67" i="30"/>
  <c r="V67" i="30"/>
  <c r="U68" i="30"/>
  <c r="V68" i="30"/>
  <c r="U69" i="30"/>
  <c r="V69" i="30"/>
  <c r="U70" i="30"/>
  <c r="V70" i="30"/>
  <c r="U71" i="30"/>
  <c r="V71" i="30"/>
  <c r="U72" i="30"/>
  <c r="V72" i="30"/>
  <c r="U73" i="30"/>
  <c r="V73" i="30"/>
  <c r="U74" i="30"/>
  <c r="V74" i="30"/>
  <c r="U75" i="30"/>
  <c r="V75" i="30"/>
  <c r="U76" i="30"/>
  <c r="V76" i="30"/>
  <c r="V59" i="30"/>
  <c r="U59" i="30"/>
  <c r="U38" i="30"/>
  <c r="V38" i="30"/>
  <c r="U39" i="30"/>
  <c r="V39" i="30"/>
  <c r="U40" i="30"/>
  <c r="V40" i="30"/>
  <c r="U41" i="30"/>
  <c r="V41" i="30"/>
  <c r="U42" i="30"/>
  <c r="V42" i="30"/>
  <c r="U43" i="30"/>
  <c r="V43" i="30"/>
  <c r="U44" i="30"/>
  <c r="V44" i="30"/>
  <c r="U45" i="30"/>
  <c r="V45" i="30"/>
  <c r="U46" i="30"/>
  <c r="V46" i="30"/>
  <c r="U47" i="30"/>
  <c r="V47" i="30"/>
  <c r="U48" i="30"/>
  <c r="V48" i="30"/>
  <c r="U49" i="30"/>
  <c r="V49" i="30"/>
  <c r="U50" i="30"/>
  <c r="V50" i="30"/>
  <c r="U51" i="30"/>
  <c r="V51" i="30"/>
  <c r="V37" i="30"/>
  <c r="U37" i="30"/>
  <c r="U8" i="30"/>
  <c r="V8" i="30"/>
  <c r="U9" i="30"/>
  <c r="V9" i="30"/>
  <c r="U10" i="30"/>
  <c r="V10" i="30"/>
  <c r="U11" i="30"/>
  <c r="V11" i="30"/>
  <c r="U12" i="30"/>
  <c r="V12" i="30"/>
  <c r="U13" i="30"/>
  <c r="V13" i="30"/>
  <c r="U14" i="30"/>
  <c r="V14" i="30"/>
  <c r="U15" i="30"/>
  <c r="V15" i="30"/>
  <c r="U16" i="30"/>
  <c r="V16" i="30"/>
  <c r="U17" i="30"/>
  <c r="V17" i="30"/>
  <c r="U18" i="30"/>
  <c r="V18" i="30"/>
  <c r="U19" i="30"/>
  <c r="V19" i="30"/>
  <c r="U20" i="30"/>
  <c r="V20" i="30"/>
  <c r="U21" i="30"/>
  <c r="V21" i="30"/>
  <c r="U22" i="30"/>
  <c r="V22" i="30"/>
  <c r="U23" i="30"/>
  <c r="V23" i="30"/>
  <c r="U24" i="30"/>
  <c r="V24" i="30"/>
  <c r="U25" i="30"/>
  <c r="V25" i="30"/>
  <c r="U26" i="30"/>
  <c r="V26" i="30"/>
  <c r="U27" i="30"/>
  <c r="V27" i="30"/>
  <c r="V7" i="30"/>
  <c r="U7" i="30"/>
  <c r="R110" i="30"/>
  <c r="Q110" i="30"/>
  <c r="R77" i="30"/>
  <c r="Q77" i="30"/>
  <c r="R52" i="30"/>
  <c r="Q52" i="30"/>
  <c r="R28" i="30"/>
  <c r="Q28" i="30"/>
  <c r="AG57" i="24"/>
  <c r="AJ57" i="24" s="1"/>
  <c r="AJ55" i="24"/>
  <c r="AI55" i="24"/>
  <c r="AJ53" i="24"/>
  <c r="AI53" i="24"/>
  <c r="AJ48" i="24"/>
  <c r="AG48" i="24"/>
  <c r="AI48" i="24" s="1"/>
  <c r="AJ46" i="24"/>
  <c r="AI46" i="24"/>
  <c r="AJ44" i="24"/>
  <c r="AI44" i="24"/>
  <c r="AJ39" i="24"/>
  <c r="AI39" i="24"/>
  <c r="AG39" i="24"/>
  <c r="AG37" i="24"/>
  <c r="AJ37" i="24" s="1"/>
  <c r="AJ35" i="24"/>
  <c r="AI35" i="24"/>
  <c r="AJ30" i="24"/>
  <c r="AI30" i="24"/>
  <c r="AG30" i="24"/>
  <c r="AI28" i="24"/>
  <c r="AG28" i="24"/>
  <c r="AJ28" i="24" s="1"/>
  <c r="AJ26" i="24"/>
  <c r="AI26" i="24"/>
  <c r="AJ20" i="24"/>
  <c r="AI20" i="24"/>
  <c r="AJ18" i="24"/>
  <c r="AI18" i="24"/>
  <c r="AJ16" i="24"/>
  <c r="AJ10" i="24"/>
  <c r="AI10" i="24"/>
  <c r="AJ8" i="24"/>
  <c r="AJ6" i="24"/>
  <c r="AI6" i="24"/>
  <c r="P165" i="39"/>
  <c r="O164" i="39"/>
  <c r="P164" i="39"/>
  <c r="P145" i="39"/>
  <c r="O145" i="39"/>
  <c r="O122" i="39"/>
  <c r="P122" i="39"/>
  <c r="O104" i="39"/>
  <c r="P104" i="39"/>
  <c r="O84" i="39"/>
  <c r="P84" i="39"/>
  <c r="O57" i="39"/>
  <c r="P57" i="39"/>
  <c r="O36" i="39"/>
  <c r="P36" i="39"/>
  <c r="O37" i="39"/>
  <c r="P37" i="39"/>
  <c r="O14" i="39"/>
  <c r="P14" i="39"/>
  <c r="L47" i="15"/>
  <c r="K47" i="15"/>
  <c r="AU13" i="15"/>
  <c r="N5" i="15"/>
  <c r="N6" i="15"/>
  <c r="N4" i="15"/>
  <c r="M5" i="15"/>
  <c r="M6" i="15"/>
  <c r="M4" i="15"/>
  <c r="Q21" i="15"/>
  <c r="R21" i="15"/>
  <c r="Q22" i="15"/>
  <c r="R22" i="15"/>
  <c r="R20" i="15"/>
  <c r="Q20" i="15"/>
  <c r="Q40" i="13"/>
  <c r="Q53" i="12"/>
  <c r="L26" i="8"/>
  <c r="M26" i="8"/>
  <c r="R61" i="4"/>
  <c r="R57" i="4"/>
  <c r="M32" i="4"/>
  <c r="M13" i="4"/>
  <c r="D109" i="3"/>
  <c r="D104" i="3"/>
  <c r="T34" i="23"/>
  <c r="AD57" i="24"/>
  <c r="AD55" i="24"/>
  <c r="AD53" i="24"/>
  <c r="AE46" i="24"/>
  <c r="AD46" i="24"/>
  <c r="AE44" i="24"/>
  <c r="AD44" i="24"/>
  <c r="AB39" i="24"/>
  <c r="AE39" i="24" s="1"/>
  <c r="AB37" i="24"/>
  <c r="AD39" i="24"/>
  <c r="AE37" i="24"/>
  <c r="AE35" i="24"/>
  <c r="AD35" i="24"/>
  <c r="AB30" i="24"/>
  <c r="AE30" i="24" s="1"/>
  <c r="AE28" i="24"/>
  <c r="AB28" i="24"/>
  <c r="AD28" i="24" s="1"/>
  <c r="AE26" i="24"/>
  <c r="AD26" i="24"/>
  <c r="AE20" i="24"/>
  <c r="AD20" i="24"/>
  <c r="AE18" i="24"/>
  <c r="AD18" i="24"/>
  <c r="AE16" i="24"/>
  <c r="AE10" i="24"/>
  <c r="AD10" i="24"/>
  <c r="AE8" i="24"/>
  <c r="AE6" i="24"/>
  <c r="AD6" i="24"/>
  <c r="T6" i="29"/>
  <c r="U6" i="29"/>
  <c r="T7" i="29"/>
  <c r="U7" i="29"/>
  <c r="T8" i="29"/>
  <c r="U8" i="29"/>
  <c r="T9" i="29"/>
  <c r="U9" i="29"/>
  <c r="T10" i="29"/>
  <c r="U10" i="29"/>
  <c r="T11" i="29"/>
  <c r="U11" i="29"/>
  <c r="T12" i="29"/>
  <c r="U12" i="29"/>
  <c r="T13" i="29"/>
  <c r="U13" i="29"/>
  <c r="T14" i="29"/>
  <c r="U14" i="29"/>
  <c r="T15" i="29"/>
  <c r="U15" i="29"/>
  <c r="T16" i="29"/>
  <c r="U16" i="29"/>
  <c r="T17" i="29"/>
  <c r="U17" i="29"/>
  <c r="T18" i="29"/>
  <c r="U18" i="29"/>
  <c r="T19" i="29"/>
  <c r="U19" i="29"/>
  <c r="T20" i="29"/>
  <c r="U20" i="29"/>
  <c r="T21" i="29"/>
  <c r="U21" i="29"/>
  <c r="T22" i="29"/>
  <c r="U22" i="29"/>
  <c r="T23" i="29"/>
  <c r="U23" i="29"/>
  <c r="T24" i="29"/>
  <c r="U24" i="29"/>
  <c r="T25" i="29"/>
  <c r="U25" i="29"/>
  <c r="T26" i="29"/>
  <c r="U26" i="29"/>
  <c r="T27" i="29"/>
  <c r="U27" i="29"/>
  <c r="T28" i="29"/>
  <c r="U28" i="29"/>
  <c r="T29" i="29"/>
  <c r="U29" i="29"/>
  <c r="T30" i="29"/>
  <c r="U30" i="29"/>
  <c r="T31" i="29"/>
  <c r="U31" i="29"/>
  <c r="T32" i="29"/>
  <c r="U32" i="29"/>
  <c r="T33" i="29"/>
  <c r="U33" i="29"/>
  <c r="T34" i="29"/>
  <c r="U34" i="29"/>
  <c r="T35" i="29"/>
  <c r="U35" i="29"/>
  <c r="T36" i="29"/>
  <c r="U36" i="29"/>
  <c r="T37" i="29"/>
  <c r="U37" i="29"/>
  <c r="T38" i="29"/>
  <c r="U38" i="29"/>
  <c r="T39" i="29"/>
  <c r="U39" i="29"/>
  <c r="T40" i="29"/>
  <c r="U40" i="29"/>
  <c r="T41" i="29"/>
  <c r="U41" i="29"/>
  <c r="T42" i="29"/>
  <c r="U42" i="29"/>
  <c r="T43" i="29"/>
  <c r="U43" i="29"/>
  <c r="T44" i="29"/>
  <c r="U44" i="29"/>
  <c r="T45" i="29"/>
  <c r="U45" i="29"/>
  <c r="T46" i="29"/>
  <c r="U46" i="29"/>
  <c r="T47" i="29"/>
  <c r="U47" i="29"/>
  <c r="T48" i="29"/>
  <c r="U48" i="29"/>
  <c r="T49" i="29"/>
  <c r="U49" i="29"/>
  <c r="T50" i="29"/>
  <c r="U50" i="29"/>
  <c r="T51" i="29"/>
  <c r="U51" i="29"/>
  <c r="T52" i="29"/>
  <c r="U52" i="29"/>
  <c r="T53" i="29"/>
  <c r="U53" i="29"/>
  <c r="T54" i="29"/>
  <c r="U54" i="29"/>
  <c r="T55" i="29"/>
  <c r="U55" i="29"/>
  <c r="T56" i="29"/>
  <c r="U56" i="29"/>
  <c r="U5" i="29"/>
  <c r="T5" i="29"/>
  <c r="AC72" i="30"/>
  <c r="AB72" i="30"/>
  <c r="AA72" i="30"/>
  <c r="Z72" i="30"/>
  <c r="AC108" i="30"/>
  <c r="AB108" i="30"/>
  <c r="AC106" i="30"/>
  <c r="AB106" i="30"/>
  <c r="AA108" i="30"/>
  <c r="Z108" i="30"/>
  <c r="AA106" i="30"/>
  <c r="Z106" i="30"/>
  <c r="AG28" i="30"/>
  <c r="AF28" i="30"/>
  <c r="S77" i="30"/>
  <c r="T77" i="30"/>
  <c r="AI37" i="24" l="1"/>
  <c r="AI57" i="24"/>
  <c r="AB48" i="24"/>
  <c r="AD37" i="24"/>
  <c r="AD30" i="24"/>
  <c r="P77" i="30"/>
  <c r="O77" i="30"/>
  <c r="P52" i="30"/>
  <c r="O52" i="30"/>
  <c r="P28" i="30"/>
  <c r="O28" i="30"/>
  <c r="P110" i="30"/>
  <c r="O110" i="30"/>
  <c r="N38" i="39"/>
  <c r="O146" i="39"/>
  <c r="P146" i="39"/>
  <c r="P163" i="39"/>
  <c r="O163" i="39"/>
  <c r="O13" i="39"/>
  <c r="P13" i="39"/>
  <c r="O35" i="39"/>
  <c r="P35" i="39"/>
  <c r="O56" i="39"/>
  <c r="P56" i="39"/>
  <c r="O83" i="39"/>
  <c r="P83" i="39"/>
  <c r="O103" i="39"/>
  <c r="P103" i="39"/>
  <c r="O121" i="39"/>
  <c r="P121" i="39"/>
  <c r="P144" i="39"/>
  <c r="O144" i="39"/>
  <c r="I31" i="14"/>
  <c r="J31" i="14"/>
  <c r="I32" i="14"/>
  <c r="J32" i="14"/>
  <c r="I33" i="14"/>
  <c r="J33" i="14"/>
  <c r="I34" i="14"/>
  <c r="J34" i="14"/>
  <c r="I35" i="14"/>
  <c r="J35" i="14"/>
  <c r="I36" i="14"/>
  <c r="J36" i="14"/>
  <c r="I37" i="14"/>
  <c r="J37" i="14"/>
  <c r="I38" i="14"/>
  <c r="J38" i="14"/>
  <c r="I39" i="14"/>
  <c r="J39" i="14"/>
  <c r="I40" i="14"/>
  <c r="J40" i="14"/>
  <c r="I41" i="14"/>
  <c r="J41" i="14"/>
  <c r="J30" i="14"/>
  <c r="I30" i="14"/>
  <c r="H40" i="14"/>
  <c r="G40" i="14"/>
  <c r="G33" i="14"/>
  <c r="H33" i="14"/>
  <c r="G34" i="14"/>
  <c r="H34" i="14"/>
  <c r="G35" i="14"/>
  <c r="H35" i="14"/>
  <c r="G36" i="14"/>
  <c r="H36" i="14"/>
  <c r="G37" i="14"/>
  <c r="H37" i="14"/>
  <c r="G38" i="14"/>
  <c r="H38" i="14"/>
  <c r="G39" i="14"/>
  <c r="H39" i="14"/>
  <c r="G31" i="14"/>
  <c r="H31" i="14"/>
  <c r="G32" i="14"/>
  <c r="H32" i="14"/>
  <c r="G30" i="14"/>
  <c r="H30" i="14"/>
  <c r="AM19" i="14"/>
  <c r="AN19" i="14"/>
  <c r="K129" i="15"/>
  <c r="L129" i="15"/>
  <c r="K130" i="15"/>
  <c r="L130" i="15"/>
  <c r="K131" i="15"/>
  <c r="L131" i="15"/>
  <c r="K132" i="15"/>
  <c r="L132" i="15"/>
  <c r="K133" i="15"/>
  <c r="L133" i="15"/>
  <c r="L128" i="15"/>
  <c r="K42" i="15"/>
  <c r="L42" i="15"/>
  <c r="K43" i="15"/>
  <c r="L43" i="15"/>
  <c r="K44" i="15"/>
  <c r="L44" i="15"/>
  <c r="K45" i="15"/>
  <c r="L45" i="15"/>
  <c r="K46" i="15"/>
  <c r="L46" i="15"/>
  <c r="K48" i="15"/>
  <c r="L48" i="15"/>
  <c r="L41" i="15"/>
  <c r="O5" i="15"/>
  <c r="AT13" i="15"/>
  <c r="Q100" i="13"/>
  <c r="Q99" i="13"/>
  <c r="Q104" i="13"/>
  <c r="Q52" i="13"/>
  <c r="Q20" i="13"/>
  <c r="D71" i="3"/>
  <c r="L61" i="4"/>
  <c r="L32" i="4"/>
  <c r="R28" i="4"/>
  <c r="R29" i="4"/>
  <c r="L13" i="4"/>
  <c r="AE48" i="24" l="1"/>
  <c r="AD48" i="24"/>
  <c r="O6" i="15"/>
  <c r="Q38" i="81"/>
  <c r="J38" i="81"/>
  <c r="I38" i="81"/>
  <c r="H38" i="81"/>
  <c r="G38" i="81"/>
  <c r="F38" i="81"/>
  <c r="E38" i="81"/>
  <c r="Q37" i="81"/>
  <c r="Q36" i="81"/>
  <c r="Q35" i="81"/>
  <c r="Q31" i="81"/>
  <c r="P31" i="81"/>
  <c r="O31" i="81"/>
  <c r="N31" i="81"/>
  <c r="M31" i="81"/>
  <c r="L31" i="81"/>
  <c r="K31" i="81"/>
  <c r="J31" i="81"/>
  <c r="I31" i="81"/>
  <c r="H31" i="81"/>
  <c r="G31" i="81"/>
  <c r="F31" i="81"/>
  <c r="E31" i="81"/>
  <c r="Q24" i="81"/>
  <c r="P24" i="81"/>
  <c r="O24" i="81"/>
  <c r="N24" i="81"/>
  <c r="M24" i="81"/>
  <c r="L24" i="81"/>
  <c r="K24" i="81"/>
  <c r="J24" i="81"/>
  <c r="I24" i="81"/>
  <c r="H24" i="81"/>
  <c r="G24" i="81"/>
  <c r="F24" i="81"/>
  <c r="E24" i="81"/>
  <c r="Q23" i="81"/>
  <c r="Q22" i="81"/>
  <c r="Q21" i="81"/>
  <c r="Q17" i="81"/>
  <c r="P17" i="81"/>
  <c r="O17" i="81"/>
  <c r="N17" i="81"/>
  <c r="M17" i="81"/>
  <c r="L17" i="81"/>
  <c r="K17" i="81"/>
  <c r="J17" i="81"/>
  <c r="I17" i="81"/>
  <c r="H17" i="81"/>
  <c r="G17" i="81"/>
  <c r="F17" i="81"/>
  <c r="E17" i="81"/>
  <c r="Q16" i="81"/>
  <c r="Q15" i="81"/>
  <c r="Q14" i="81"/>
  <c r="Q10" i="81"/>
  <c r="P10" i="81"/>
  <c r="O10" i="81"/>
  <c r="N10" i="81"/>
  <c r="M10" i="81"/>
  <c r="L10" i="81"/>
  <c r="K10" i="81"/>
  <c r="J10" i="81"/>
  <c r="I10" i="81"/>
  <c r="H10" i="81"/>
  <c r="G10" i="81"/>
  <c r="F10" i="81"/>
  <c r="E10" i="81"/>
  <c r="Q9" i="81"/>
  <c r="Q8" i="81"/>
  <c r="Q7" i="81"/>
  <c r="G33" i="86"/>
  <c r="F33" i="86"/>
  <c r="E33" i="86"/>
  <c r="H32" i="86"/>
  <c r="H31" i="86"/>
  <c r="H27" i="86"/>
  <c r="G27" i="86"/>
  <c r="F27" i="86"/>
  <c r="E27" i="86"/>
  <c r="H26" i="86"/>
  <c r="H25" i="86"/>
  <c r="H24" i="86"/>
  <c r="H20" i="86"/>
  <c r="G20" i="86"/>
  <c r="F20" i="86"/>
  <c r="E20" i="86"/>
  <c r="H19" i="86"/>
  <c r="H18" i="86"/>
  <c r="H17" i="86"/>
  <c r="H16" i="86"/>
  <c r="H15" i="86"/>
  <c r="H14" i="86"/>
  <c r="H13" i="86"/>
  <c r="H12" i="86"/>
  <c r="H8" i="86"/>
  <c r="G8" i="86"/>
  <c r="F8" i="86"/>
  <c r="E8" i="86"/>
  <c r="H7" i="86"/>
  <c r="H6" i="86"/>
  <c r="H5" i="86"/>
  <c r="T57" i="70"/>
  <c r="S57" i="70"/>
  <c r="R57" i="70"/>
  <c r="Q57" i="70"/>
  <c r="P57" i="70"/>
  <c r="H57" i="70"/>
  <c r="G57" i="70"/>
  <c r="F57" i="70"/>
  <c r="E57" i="70"/>
  <c r="D57" i="70"/>
  <c r="C57" i="70"/>
  <c r="U56" i="70"/>
  <c r="U55" i="70"/>
  <c r="U54" i="70"/>
  <c r="T48" i="70"/>
  <c r="S48" i="70"/>
  <c r="R48" i="70"/>
  <c r="Q48" i="70"/>
  <c r="P48" i="70"/>
  <c r="H48" i="70"/>
  <c r="G48" i="70"/>
  <c r="F48" i="70"/>
  <c r="E48" i="70"/>
  <c r="T46" i="70"/>
  <c r="S46" i="70"/>
  <c r="R46" i="70"/>
  <c r="Q46" i="70"/>
  <c r="P46" i="70"/>
  <c r="H46" i="70"/>
  <c r="G46" i="70"/>
  <c r="F46" i="70"/>
  <c r="E46" i="70"/>
  <c r="D46" i="70"/>
  <c r="D48" i="70" s="1"/>
  <c r="C46" i="70"/>
  <c r="C48" i="70" s="1"/>
  <c r="U45" i="70"/>
  <c r="U48" i="70" s="1"/>
  <c r="U44" i="70"/>
  <c r="U43" i="70"/>
  <c r="T36" i="70"/>
  <c r="T38" i="70" s="1"/>
  <c r="S36" i="70"/>
  <c r="S38" i="70" s="1"/>
  <c r="R36" i="70"/>
  <c r="R38" i="70" s="1"/>
  <c r="Q36" i="70"/>
  <c r="Q38" i="70" s="1"/>
  <c r="P36" i="70"/>
  <c r="P38" i="70" s="1"/>
  <c r="H36" i="70"/>
  <c r="H38" i="70" s="1"/>
  <c r="G36" i="70"/>
  <c r="G38" i="70" s="1"/>
  <c r="F36" i="70"/>
  <c r="F38" i="70" s="1"/>
  <c r="E36" i="70"/>
  <c r="E38" i="70" s="1"/>
  <c r="D36" i="70"/>
  <c r="D38" i="70" s="1"/>
  <c r="C36" i="70"/>
  <c r="C38" i="70" s="1"/>
  <c r="T29" i="70"/>
  <c r="S29" i="70"/>
  <c r="R29" i="70"/>
  <c r="Q29" i="70"/>
  <c r="P29" i="70"/>
  <c r="H27" i="70"/>
  <c r="H29" i="70" s="1"/>
  <c r="G27" i="70"/>
  <c r="G29" i="70" s="1"/>
  <c r="F27" i="70"/>
  <c r="F29" i="70" s="1"/>
  <c r="E27" i="70"/>
  <c r="E29" i="70" s="1"/>
  <c r="D27" i="70"/>
  <c r="D29" i="70" s="1"/>
  <c r="C27" i="70"/>
  <c r="C29" i="70" s="1"/>
  <c r="T19" i="70"/>
  <c r="S19" i="70"/>
  <c r="R19" i="70"/>
  <c r="Q19" i="70"/>
  <c r="P19" i="70"/>
  <c r="H17" i="70"/>
  <c r="G17" i="70"/>
  <c r="G19" i="70" s="1"/>
  <c r="F17" i="70"/>
  <c r="F19" i="70" s="1"/>
  <c r="E17" i="70"/>
  <c r="E19" i="70" s="1"/>
  <c r="D17" i="70"/>
  <c r="D19" i="70" s="1"/>
  <c r="C17" i="70"/>
  <c r="C19" i="70" s="1"/>
  <c r="G61" i="49"/>
  <c r="F61" i="49"/>
  <c r="E61" i="49"/>
  <c r="G60" i="49"/>
  <c r="F60" i="49"/>
  <c r="E60" i="49"/>
  <c r="G40" i="49"/>
  <c r="F40" i="49"/>
  <c r="E40" i="49"/>
  <c r="G39" i="49"/>
  <c r="F39" i="49"/>
  <c r="E39" i="49"/>
  <c r="M22" i="38"/>
  <c r="M19" i="38"/>
  <c r="M16" i="38"/>
  <c r="M13" i="38"/>
  <c r="M11" i="38"/>
  <c r="M10" i="38"/>
  <c r="M7" i="38"/>
  <c r="R57" i="19"/>
  <c r="R56" i="19"/>
  <c r="R55" i="19"/>
  <c r="S55" i="19" s="1"/>
  <c r="R54" i="19"/>
  <c r="R53" i="19"/>
  <c r="R52" i="19"/>
  <c r="R51" i="19"/>
  <c r="R50" i="19"/>
  <c r="R49" i="19"/>
  <c r="R48" i="19"/>
  <c r="R47" i="19"/>
  <c r="S47" i="19" s="1"/>
  <c r="R46" i="19"/>
  <c r="R45" i="19"/>
  <c r="R44" i="19"/>
  <c r="R43" i="19"/>
  <c r="R42" i="19"/>
  <c r="R41" i="19"/>
  <c r="R40" i="19"/>
  <c r="R39" i="19"/>
  <c r="S40" i="19" s="1"/>
  <c r="R38" i="19"/>
  <c r="R37" i="19"/>
  <c r="R36" i="19"/>
  <c r="R35" i="19"/>
  <c r="R34" i="19"/>
  <c r="R33" i="19"/>
  <c r="R32" i="19"/>
  <c r="R31" i="19"/>
  <c r="R30" i="19"/>
  <c r="R29" i="19"/>
  <c r="R28" i="19"/>
  <c r="R27" i="19"/>
  <c r="R26" i="19"/>
  <c r="R25" i="19"/>
  <c r="R24" i="19"/>
  <c r="R23" i="19"/>
  <c r="R22" i="19"/>
  <c r="R21" i="19"/>
  <c r="R20" i="19"/>
  <c r="R19" i="19"/>
  <c r="R18" i="19"/>
  <c r="R17" i="19"/>
  <c r="S17" i="19" s="1"/>
  <c r="R16" i="19"/>
  <c r="R15" i="19"/>
  <c r="R14" i="19"/>
  <c r="R13" i="19"/>
  <c r="R12" i="19"/>
  <c r="R11" i="19"/>
  <c r="R10" i="19"/>
  <c r="R9" i="19"/>
  <c r="R8" i="19"/>
  <c r="R7" i="19"/>
  <c r="AG6" i="19"/>
  <c r="S26" i="19" s="1"/>
  <c r="R6" i="19"/>
  <c r="T110" i="30"/>
  <c r="S110" i="30"/>
  <c r="N110" i="30"/>
  <c r="M110" i="30"/>
  <c r="L110" i="30"/>
  <c r="K110" i="30"/>
  <c r="J110" i="30"/>
  <c r="I110" i="30"/>
  <c r="H110" i="30"/>
  <c r="G110" i="30"/>
  <c r="F110" i="30"/>
  <c r="E110" i="30"/>
  <c r="AC109" i="30"/>
  <c r="AB109" i="30"/>
  <c r="AA109" i="30"/>
  <c r="Z109" i="30"/>
  <c r="AC107" i="30"/>
  <c r="AB107" i="30"/>
  <c r="AA107" i="30"/>
  <c r="Z107" i="30"/>
  <c r="AC105" i="30"/>
  <c r="AB105" i="30"/>
  <c r="AA105" i="30"/>
  <c r="Z105" i="30"/>
  <c r="AC104" i="30"/>
  <c r="AB104" i="30"/>
  <c r="AA104" i="30"/>
  <c r="Z104" i="30"/>
  <c r="AC103" i="30"/>
  <c r="AB103" i="30"/>
  <c r="AA103" i="30"/>
  <c r="Z103" i="30"/>
  <c r="AC102" i="30"/>
  <c r="AB102" i="30"/>
  <c r="AA102" i="30"/>
  <c r="Z102" i="30"/>
  <c r="AC101" i="30"/>
  <c r="AB101" i="30"/>
  <c r="AA101" i="30"/>
  <c r="Z101" i="30"/>
  <c r="AC100" i="30"/>
  <c r="AA100" i="30"/>
  <c r="Z100" i="30"/>
  <c r="AC99" i="30"/>
  <c r="AA99" i="30"/>
  <c r="Z99" i="30"/>
  <c r="AC98" i="30"/>
  <c r="AA98" i="30"/>
  <c r="Z98" i="30"/>
  <c r="AC97" i="30"/>
  <c r="AB97" i="30"/>
  <c r="AA97" i="30"/>
  <c r="Z97" i="30"/>
  <c r="AC96" i="30"/>
  <c r="AB96" i="30"/>
  <c r="AA96" i="30"/>
  <c r="Z96" i="30"/>
  <c r="AC95" i="30"/>
  <c r="AB95" i="30"/>
  <c r="AA95" i="30"/>
  <c r="Z95" i="30"/>
  <c r="AC94" i="30"/>
  <c r="AB94" i="30"/>
  <c r="AA94" i="30"/>
  <c r="Z94" i="30"/>
  <c r="AC93" i="30"/>
  <c r="AB93" i="30"/>
  <c r="AA93" i="30"/>
  <c r="Z93" i="30"/>
  <c r="AC92" i="30"/>
  <c r="AB92" i="30"/>
  <c r="AA92" i="30"/>
  <c r="Z92" i="30"/>
  <c r="AC91" i="30"/>
  <c r="AB91" i="30"/>
  <c r="AA91" i="30"/>
  <c r="Z91" i="30"/>
  <c r="AC90" i="30"/>
  <c r="AB90" i="30"/>
  <c r="AA90" i="30"/>
  <c r="Z90" i="30"/>
  <c r="AC89" i="30"/>
  <c r="AB89" i="30"/>
  <c r="AA89" i="30"/>
  <c r="Z89" i="30"/>
  <c r="AC88" i="30"/>
  <c r="AB88" i="30"/>
  <c r="AA88" i="30"/>
  <c r="Z88" i="30"/>
  <c r="N77" i="30"/>
  <c r="M77" i="30"/>
  <c r="L77" i="30"/>
  <c r="K77" i="30"/>
  <c r="J77" i="30"/>
  <c r="I77" i="30"/>
  <c r="H77" i="30"/>
  <c r="G77" i="30"/>
  <c r="F77" i="30"/>
  <c r="V77" i="30" s="1"/>
  <c r="E77" i="30"/>
  <c r="AC76" i="30"/>
  <c r="AB76" i="30"/>
  <c r="AA76" i="30"/>
  <c r="Z76" i="30"/>
  <c r="AC75" i="30"/>
  <c r="AB75" i="30"/>
  <c r="AA75" i="30"/>
  <c r="Z75" i="30"/>
  <c r="AC74" i="30"/>
  <c r="AB74" i="30"/>
  <c r="AA74" i="30"/>
  <c r="Z74" i="30"/>
  <c r="AC73" i="30"/>
  <c r="AB73" i="30"/>
  <c r="AA73" i="30"/>
  <c r="Z73" i="30"/>
  <c r="AC71" i="30"/>
  <c r="AB71" i="30"/>
  <c r="AA71" i="30"/>
  <c r="Z71" i="30"/>
  <c r="AC70" i="30"/>
  <c r="AB70" i="30"/>
  <c r="AA70" i="30"/>
  <c r="Z70" i="30"/>
  <c r="AC69" i="30"/>
  <c r="AB69" i="30"/>
  <c r="AA69" i="30"/>
  <c r="Z69" i="30"/>
  <c r="AC68" i="30"/>
  <c r="AB68" i="30"/>
  <c r="AA68" i="30"/>
  <c r="Z68" i="30"/>
  <c r="AC67" i="30"/>
  <c r="AB67" i="30"/>
  <c r="AA67" i="30"/>
  <c r="Z67" i="30"/>
  <c r="AC66" i="30"/>
  <c r="AB66" i="30"/>
  <c r="AA66" i="30"/>
  <c r="Z66" i="30"/>
  <c r="AC65" i="30"/>
  <c r="AB65" i="30"/>
  <c r="AA65" i="30"/>
  <c r="Z65" i="30"/>
  <c r="AC64" i="30"/>
  <c r="AB64" i="30"/>
  <c r="AA64" i="30"/>
  <c r="Z64" i="30"/>
  <c r="AC63" i="30"/>
  <c r="AB63" i="30"/>
  <c r="AA63" i="30"/>
  <c r="Z63" i="30"/>
  <c r="AC62" i="30"/>
  <c r="AB62" i="30"/>
  <c r="AA62" i="30"/>
  <c r="Z62" i="30"/>
  <c r="AC61" i="30"/>
  <c r="AB61" i="30"/>
  <c r="AA61" i="30"/>
  <c r="Z61" i="30"/>
  <c r="AC60" i="30"/>
  <c r="AB60" i="30"/>
  <c r="AA60" i="30"/>
  <c r="Z60" i="30"/>
  <c r="AC59" i="30"/>
  <c r="AB59" i="30"/>
  <c r="AA59" i="30"/>
  <c r="Z59" i="30"/>
  <c r="T52" i="30"/>
  <c r="S52" i="30"/>
  <c r="N52" i="30"/>
  <c r="M52" i="30"/>
  <c r="L52" i="30"/>
  <c r="K52" i="30"/>
  <c r="J52" i="30"/>
  <c r="I52" i="30"/>
  <c r="H52" i="30"/>
  <c r="G52" i="30"/>
  <c r="F52" i="30"/>
  <c r="E52" i="30"/>
  <c r="U52" i="30" s="1"/>
  <c r="AC51" i="30"/>
  <c r="AB51" i="30"/>
  <c r="AA51" i="30"/>
  <c r="Z51" i="30"/>
  <c r="AC50" i="30"/>
  <c r="AB50" i="30"/>
  <c r="AA50" i="30"/>
  <c r="Z50" i="30"/>
  <c r="AC49" i="30"/>
  <c r="AB49" i="30"/>
  <c r="AA49" i="30"/>
  <c r="Z49" i="30"/>
  <c r="AC48" i="30"/>
  <c r="AB48" i="30"/>
  <c r="AA48" i="30"/>
  <c r="Z48" i="30"/>
  <c r="AC47" i="30"/>
  <c r="AB47" i="30"/>
  <c r="AA47" i="30"/>
  <c r="Z47" i="30"/>
  <c r="AC46" i="30"/>
  <c r="AB46" i="30"/>
  <c r="AA46" i="30"/>
  <c r="Z46" i="30"/>
  <c r="AC45" i="30"/>
  <c r="AB45" i="30"/>
  <c r="AA45" i="30"/>
  <c r="Z45" i="30"/>
  <c r="AC44" i="30"/>
  <c r="AB44" i="30"/>
  <c r="AA44" i="30"/>
  <c r="Z44" i="30"/>
  <c r="AC43" i="30"/>
  <c r="AB43" i="30"/>
  <c r="AA43" i="30"/>
  <c r="Z43" i="30"/>
  <c r="AC42" i="30"/>
  <c r="AB42" i="30"/>
  <c r="AA42" i="30"/>
  <c r="Z42" i="30"/>
  <c r="AC41" i="30"/>
  <c r="AB41" i="30"/>
  <c r="AA41" i="30"/>
  <c r="Z41" i="30"/>
  <c r="AC40" i="30"/>
  <c r="AB40" i="30"/>
  <c r="AA40" i="30"/>
  <c r="Z40" i="30"/>
  <c r="AC39" i="30"/>
  <c r="AB39" i="30"/>
  <c r="AA39" i="30"/>
  <c r="Z39" i="30"/>
  <c r="AC38" i="30"/>
  <c r="AB38" i="30"/>
  <c r="AA38" i="30"/>
  <c r="Z38" i="30"/>
  <c r="AC37" i="30"/>
  <c r="AB37" i="30"/>
  <c r="AA37" i="30"/>
  <c r="Z37" i="30"/>
  <c r="T28" i="30"/>
  <c r="S28" i="30"/>
  <c r="N28" i="30"/>
  <c r="M28" i="30"/>
  <c r="L28" i="30"/>
  <c r="K28" i="30"/>
  <c r="J28" i="30"/>
  <c r="I28" i="30"/>
  <c r="H28" i="30"/>
  <c r="G28" i="30"/>
  <c r="F28" i="30"/>
  <c r="V28" i="30" s="1"/>
  <c r="E28" i="30"/>
  <c r="U28" i="30" s="1"/>
  <c r="AC27" i="30"/>
  <c r="AB27" i="30"/>
  <c r="AA27" i="30"/>
  <c r="Z27" i="30"/>
  <c r="AC26" i="30"/>
  <c r="AB26" i="30"/>
  <c r="AA26" i="30"/>
  <c r="Z26" i="30"/>
  <c r="AC25" i="30"/>
  <c r="AB25" i="30"/>
  <c r="AA25" i="30"/>
  <c r="Z25" i="30"/>
  <c r="AC24" i="30"/>
  <c r="AB24" i="30"/>
  <c r="AA24" i="30"/>
  <c r="Z24" i="30"/>
  <c r="AC23" i="30"/>
  <c r="AB23" i="30"/>
  <c r="AA23" i="30"/>
  <c r="Z23" i="30"/>
  <c r="AC22" i="30"/>
  <c r="AB22" i="30"/>
  <c r="AA22" i="30"/>
  <c r="Z22" i="30"/>
  <c r="AC21" i="30"/>
  <c r="AB21" i="30"/>
  <c r="AA21" i="30"/>
  <c r="Z21" i="30"/>
  <c r="AC20" i="30"/>
  <c r="AB20" i="30"/>
  <c r="AA20" i="30"/>
  <c r="Z20" i="30"/>
  <c r="AC19" i="30"/>
  <c r="AB19" i="30"/>
  <c r="AA19" i="30"/>
  <c r="Z19" i="30"/>
  <c r="AC18" i="30"/>
  <c r="AB18" i="30"/>
  <c r="AA18" i="30"/>
  <c r="Z18" i="30"/>
  <c r="AC17" i="30"/>
  <c r="AB17" i="30"/>
  <c r="AA17" i="30"/>
  <c r="Z17" i="30"/>
  <c r="AC16" i="30"/>
  <c r="AB16" i="30"/>
  <c r="AA16" i="30"/>
  <c r="Z16" i="30"/>
  <c r="AC15" i="30"/>
  <c r="AB15" i="30"/>
  <c r="AA15" i="30"/>
  <c r="Z15" i="30"/>
  <c r="AC14" i="30"/>
  <c r="AB14" i="30"/>
  <c r="AA14" i="30"/>
  <c r="Z14" i="30"/>
  <c r="AC13" i="30"/>
  <c r="AB13" i="30"/>
  <c r="AA13" i="30"/>
  <c r="Z13" i="30"/>
  <c r="AC12" i="30"/>
  <c r="AB12" i="30"/>
  <c r="AA12" i="30"/>
  <c r="Z12" i="30"/>
  <c r="AC11" i="30"/>
  <c r="AB11" i="30"/>
  <c r="AA11" i="30"/>
  <c r="Z11" i="30"/>
  <c r="AC10" i="30"/>
  <c r="AB10" i="30"/>
  <c r="AA10" i="30"/>
  <c r="Z10" i="30"/>
  <c r="AC9" i="30"/>
  <c r="AB9" i="30"/>
  <c r="AA9" i="30"/>
  <c r="Z9" i="30"/>
  <c r="AC8" i="30"/>
  <c r="AB8" i="30"/>
  <c r="AA8" i="30"/>
  <c r="Z8" i="30"/>
  <c r="AC7" i="30"/>
  <c r="AB7" i="30"/>
  <c r="AA7" i="30"/>
  <c r="Z7" i="30"/>
  <c r="P125" i="24"/>
  <c r="O125" i="24"/>
  <c r="P123" i="24"/>
  <c r="O123" i="24"/>
  <c r="P121" i="24"/>
  <c r="O121" i="24"/>
  <c r="P119" i="24"/>
  <c r="O119" i="24"/>
  <c r="P117" i="24"/>
  <c r="O117" i="24"/>
  <c r="P115" i="24"/>
  <c r="O115" i="24"/>
  <c r="BD111" i="24"/>
  <c r="BC111" i="24"/>
  <c r="BD109" i="24"/>
  <c r="BC109" i="24"/>
  <c r="BD107" i="24"/>
  <c r="BC107" i="24"/>
  <c r="Q105" i="24"/>
  <c r="Q104" i="24"/>
  <c r="BD102" i="24"/>
  <c r="BC102" i="24"/>
  <c r="P101" i="24"/>
  <c r="BD100" i="24"/>
  <c r="BC100" i="24"/>
  <c r="Q100" i="24"/>
  <c r="Q99" i="24"/>
  <c r="P99" i="24"/>
  <c r="O99" i="24"/>
  <c r="BD98" i="24"/>
  <c r="BC98" i="24"/>
  <c r="Q97" i="24"/>
  <c r="P97" i="24"/>
  <c r="O97" i="24"/>
  <c r="Q95" i="24"/>
  <c r="P95" i="24"/>
  <c r="BD93" i="24"/>
  <c r="BC93" i="24"/>
  <c r="AY93" i="24"/>
  <c r="AX93" i="24"/>
  <c r="R93" i="24"/>
  <c r="Q93" i="24"/>
  <c r="P93" i="24"/>
  <c r="BD91" i="24"/>
  <c r="BC91" i="24"/>
  <c r="AY91" i="24"/>
  <c r="AX91" i="24"/>
  <c r="P91" i="24"/>
  <c r="O91" i="24"/>
  <c r="BD89" i="24"/>
  <c r="BC89" i="24"/>
  <c r="AY89" i="24"/>
  <c r="AX89" i="24"/>
  <c r="Q88" i="24"/>
  <c r="Q87" i="24"/>
  <c r="BD84" i="24"/>
  <c r="BC84" i="24"/>
  <c r="AY84" i="24"/>
  <c r="AX84" i="24"/>
  <c r="AT84" i="24"/>
  <c r="AS84" i="24"/>
  <c r="Q83" i="24"/>
  <c r="P83" i="24"/>
  <c r="M83" i="24"/>
  <c r="BD82" i="24"/>
  <c r="BC82" i="24"/>
  <c r="AY82" i="24"/>
  <c r="AX82" i="24"/>
  <c r="AT82" i="24"/>
  <c r="AS82" i="24"/>
  <c r="T81" i="24"/>
  <c r="S81" i="24"/>
  <c r="R81" i="24"/>
  <c r="Q81" i="24"/>
  <c r="P81" i="24"/>
  <c r="O81" i="24"/>
  <c r="M81" i="24"/>
  <c r="BD80" i="24"/>
  <c r="BC80" i="24"/>
  <c r="AY80" i="24"/>
  <c r="AX80" i="24"/>
  <c r="AT80" i="24"/>
  <c r="AS80" i="24"/>
  <c r="P79" i="24"/>
  <c r="P77" i="24"/>
  <c r="BD75" i="24"/>
  <c r="BC75" i="24"/>
  <c r="AY75" i="24"/>
  <c r="AX75" i="24"/>
  <c r="AT75" i="24"/>
  <c r="AS75" i="24"/>
  <c r="AO75" i="24"/>
  <c r="Q75" i="24"/>
  <c r="P75" i="24"/>
  <c r="O75" i="24"/>
  <c r="M75" i="24"/>
  <c r="BD73" i="24"/>
  <c r="BC73" i="24"/>
  <c r="AY73" i="24"/>
  <c r="AX73" i="24"/>
  <c r="AT73" i="24"/>
  <c r="AS73" i="24"/>
  <c r="AO73" i="24"/>
  <c r="AN73" i="24"/>
  <c r="P73" i="24"/>
  <c r="BD71" i="24"/>
  <c r="BC71" i="24"/>
  <c r="AY71" i="24"/>
  <c r="AX71" i="24"/>
  <c r="AT71" i="24"/>
  <c r="AS71" i="24"/>
  <c r="AO71" i="24"/>
  <c r="AN71" i="24"/>
  <c r="P71" i="24"/>
  <c r="Q69" i="24"/>
  <c r="P69" i="24"/>
  <c r="O69" i="24"/>
  <c r="AJ67" i="24"/>
  <c r="P67" i="24"/>
  <c r="BD66" i="24"/>
  <c r="BC66" i="24"/>
  <c r="AY66" i="24"/>
  <c r="AX66" i="24"/>
  <c r="AT66" i="24"/>
  <c r="AS66" i="24"/>
  <c r="AO66" i="24"/>
  <c r="AJ65" i="24"/>
  <c r="AI65" i="24"/>
  <c r="P65" i="24"/>
  <c r="BD64" i="24"/>
  <c r="BC64" i="24"/>
  <c r="AY64" i="24"/>
  <c r="AX64" i="24"/>
  <c r="AT64" i="24"/>
  <c r="AS64" i="24"/>
  <c r="AO64" i="24"/>
  <c r="AN64" i="24"/>
  <c r="AJ63" i="24"/>
  <c r="AI63" i="24"/>
  <c r="Q63" i="24"/>
  <c r="P63" i="24"/>
  <c r="O63" i="24"/>
  <c r="BD62" i="24"/>
  <c r="AY62" i="24"/>
  <c r="AT62" i="24"/>
  <c r="AO62" i="24"/>
  <c r="P61" i="24"/>
  <c r="Q60" i="24"/>
  <c r="P59" i="24"/>
  <c r="O59" i="24"/>
  <c r="AJ58" i="24"/>
  <c r="AG58" i="24"/>
  <c r="BD57" i="24"/>
  <c r="BC57" i="24"/>
  <c r="BA57" i="24"/>
  <c r="AY57" i="24"/>
  <c r="AX57" i="24"/>
  <c r="AV57" i="24"/>
  <c r="AT57" i="24"/>
  <c r="AS57" i="24"/>
  <c r="AQ57" i="24"/>
  <c r="AO57" i="24"/>
  <c r="AL57" i="24"/>
  <c r="P57" i="24"/>
  <c r="BD55" i="24"/>
  <c r="BA55" i="24"/>
  <c r="AY55" i="24"/>
  <c r="AV55" i="24"/>
  <c r="AT55" i="24"/>
  <c r="AQ55" i="24"/>
  <c r="AO55" i="24"/>
  <c r="AL55" i="24"/>
  <c r="AB57" i="24"/>
  <c r="AE57" i="24" s="1"/>
  <c r="P55" i="24"/>
  <c r="O55" i="24"/>
  <c r="BD53" i="24"/>
  <c r="AY53" i="24"/>
  <c r="AT53" i="24"/>
  <c r="AO53" i="24"/>
  <c r="AE53" i="24"/>
  <c r="BD48" i="24"/>
  <c r="BA48" i="24"/>
  <c r="AY48" i="24"/>
  <c r="AV48" i="24"/>
  <c r="AT48" i="24"/>
  <c r="AQ48" i="24"/>
  <c r="AO48" i="24"/>
  <c r="AL48" i="24"/>
  <c r="Z48" i="24"/>
  <c r="Y48" i="24"/>
  <c r="W48" i="24"/>
  <c r="BD46" i="24"/>
  <c r="BC46" i="24"/>
  <c r="BA46" i="24"/>
  <c r="AY46" i="24"/>
  <c r="AX46" i="24"/>
  <c r="AV46" i="24"/>
  <c r="AT46" i="24"/>
  <c r="AS46" i="24"/>
  <c r="AQ46" i="24"/>
  <c r="AO46" i="24"/>
  <c r="AN46" i="24"/>
  <c r="AL46" i="24"/>
  <c r="Z46" i="24"/>
  <c r="Y46" i="24"/>
  <c r="W46" i="24"/>
  <c r="BD44" i="24"/>
  <c r="AY44" i="24"/>
  <c r="AT44" i="24"/>
  <c r="AO44" i="24"/>
  <c r="Z44" i="24"/>
  <c r="Y44" i="24"/>
  <c r="BD39" i="24"/>
  <c r="BA39" i="24"/>
  <c r="AY39" i="24"/>
  <c r="AV39" i="24"/>
  <c r="AT39" i="24"/>
  <c r="AQ39" i="24"/>
  <c r="AO39" i="24"/>
  <c r="AL39" i="24"/>
  <c r="Z39" i="24"/>
  <c r="Y39" i="24"/>
  <c r="U39" i="24"/>
  <c r="T39" i="24"/>
  <c r="R39" i="24"/>
  <c r="BD37" i="24"/>
  <c r="BC37" i="24"/>
  <c r="BA37" i="24"/>
  <c r="AY37" i="24"/>
  <c r="AX37" i="24"/>
  <c r="AV37" i="24"/>
  <c r="AT37" i="24"/>
  <c r="AS37" i="24"/>
  <c r="AQ37" i="24"/>
  <c r="AO37" i="24"/>
  <c r="AN37" i="24"/>
  <c r="AL37" i="24"/>
  <c r="Z37" i="24"/>
  <c r="Y37" i="24"/>
  <c r="W37" i="24"/>
  <c r="U37" i="24"/>
  <c r="T37" i="24"/>
  <c r="R37" i="24"/>
  <c r="BD35" i="24"/>
  <c r="AY35" i="24"/>
  <c r="AT35" i="24"/>
  <c r="AO35" i="24"/>
  <c r="Z35" i="24"/>
  <c r="Y35" i="24"/>
  <c r="U35" i="24"/>
  <c r="T35" i="24"/>
  <c r="BD30" i="24"/>
  <c r="BA30" i="24"/>
  <c r="AY30" i="24"/>
  <c r="AV30" i="24"/>
  <c r="AT30" i="24"/>
  <c r="AQ30" i="24"/>
  <c r="AO30" i="24"/>
  <c r="AL30" i="24"/>
  <c r="Z30" i="24"/>
  <c r="Y30" i="24"/>
  <c r="W30" i="24"/>
  <c r="U30" i="24"/>
  <c r="T30" i="24"/>
  <c r="R30" i="24"/>
  <c r="P30" i="24"/>
  <c r="M30" i="24"/>
  <c r="BD28" i="24"/>
  <c r="BA28" i="24"/>
  <c r="AY28" i="24"/>
  <c r="AV28" i="24"/>
  <c r="AT28" i="24"/>
  <c r="AQ28" i="24"/>
  <c r="AO28" i="24"/>
  <c r="AL28" i="24"/>
  <c r="Z28" i="24"/>
  <c r="Y28" i="24"/>
  <c r="W28" i="24"/>
  <c r="U28" i="24"/>
  <c r="T28" i="24"/>
  <c r="R28" i="24"/>
  <c r="P28" i="24"/>
  <c r="O28" i="24"/>
  <c r="M28" i="24"/>
  <c r="BD26" i="24"/>
  <c r="AY26" i="24"/>
  <c r="AT26" i="24"/>
  <c r="AO26" i="24"/>
  <c r="Z26" i="24"/>
  <c r="Y26" i="24"/>
  <c r="U26" i="24"/>
  <c r="T26" i="24"/>
  <c r="P26" i="24"/>
  <c r="O26" i="24"/>
  <c r="BD20" i="24"/>
  <c r="BA20" i="24"/>
  <c r="AY20" i="24"/>
  <c r="AV20" i="24"/>
  <c r="AT20" i="24"/>
  <c r="AQ20" i="24"/>
  <c r="AO20" i="24"/>
  <c r="AL20" i="24"/>
  <c r="Z20" i="24"/>
  <c r="Y20" i="24"/>
  <c r="U20" i="24"/>
  <c r="T20" i="24"/>
  <c r="P20" i="24"/>
  <c r="O20" i="24"/>
  <c r="K20" i="24"/>
  <c r="BD18" i="24"/>
  <c r="BC18" i="24"/>
  <c r="BA18" i="24"/>
  <c r="AY18" i="24"/>
  <c r="AX18" i="24"/>
  <c r="AV18" i="24"/>
  <c r="AT18" i="24"/>
  <c r="AS18" i="24"/>
  <c r="AQ18" i="24"/>
  <c r="AO18" i="24"/>
  <c r="AN18" i="24"/>
  <c r="AL18" i="24"/>
  <c r="Z18" i="24"/>
  <c r="Y18" i="24"/>
  <c r="U18" i="24"/>
  <c r="T18" i="24"/>
  <c r="P18" i="24"/>
  <c r="O18" i="24"/>
  <c r="K18" i="24"/>
  <c r="J18" i="24"/>
  <c r="BD16" i="24"/>
  <c r="AY16" i="24"/>
  <c r="AT16" i="24"/>
  <c r="AO16" i="24"/>
  <c r="Z16" i="24"/>
  <c r="U16" i="24"/>
  <c r="P16" i="24"/>
  <c r="K16" i="24"/>
  <c r="BD10" i="24"/>
  <c r="BA10" i="24"/>
  <c r="AY10" i="24"/>
  <c r="AV10" i="24"/>
  <c r="AT10" i="24"/>
  <c r="AQ10" i="24"/>
  <c r="AO10" i="24"/>
  <c r="AL10" i="24"/>
  <c r="Z10" i="24"/>
  <c r="Y10" i="24"/>
  <c r="U10" i="24"/>
  <c r="T10" i="24"/>
  <c r="P10" i="24"/>
  <c r="O10" i="24"/>
  <c r="K10" i="24"/>
  <c r="J10" i="24"/>
  <c r="F10" i="24"/>
  <c r="E10" i="24"/>
  <c r="BD8" i="24"/>
  <c r="BA8" i="24"/>
  <c r="AY8" i="24"/>
  <c r="AV8" i="24"/>
  <c r="AT8" i="24"/>
  <c r="AQ8" i="24"/>
  <c r="AO8" i="24"/>
  <c r="AL8" i="24"/>
  <c r="Z8" i="24"/>
  <c r="U8" i="24"/>
  <c r="P8" i="24"/>
  <c r="K8" i="24"/>
  <c r="F8" i="24"/>
  <c r="BD6" i="24"/>
  <c r="AY6" i="24"/>
  <c r="AT6" i="24"/>
  <c r="AO6" i="24"/>
  <c r="Z6" i="24"/>
  <c r="Y6" i="24"/>
  <c r="U6" i="24"/>
  <c r="T6" i="24"/>
  <c r="P6" i="24"/>
  <c r="O6" i="24"/>
  <c r="K6" i="24"/>
  <c r="J6" i="24"/>
  <c r="F6" i="24"/>
  <c r="E6" i="24"/>
  <c r="N166" i="39"/>
  <c r="E244" i="39" s="1"/>
  <c r="M166" i="39"/>
  <c r="D244" i="39" s="1"/>
  <c r="L166" i="39"/>
  <c r="E243" i="39" s="1"/>
  <c r="K166" i="39"/>
  <c r="J166" i="39"/>
  <c r="C198" i="39" s="1"/>
  <c r="I166" i="39"/>
  <c r="D242" i="39" s="1"/>
  <c r="O165" i="39"/>
  <c r="P162" i="39"/>
  <c r="O162" i="39"/>
  <c r="P161" i="39"/>
  <c r="O161" i="39"/>
  <c r="P160" i="39"/>
  <c r="O160" i="39"/>
  <c r="P159" i="39"/>
  <c r="O159" i="39"/>
  <c r="P158" i="39"/>
  <c r="O158" i="39"/>
  <c r="N147" i="39"/>
  <c r="M147" i="39"/>
  <c r="D221" i="39" s="1"/>
  <c r="L147" i="39"/>
  <c r="K147" i="39"/>
  <c r="D177" i="39" s="1"/>
  <c r="J147" i="39"/>
  <c r="I147" i="39"/>
  <c r="P143" i="39"/>
  <c r="O143" i="39"/>
  <c r="P142" i="39"/>
  <c r="O142" i="39"/>
  <c r="P141" i="39"/>
  <c r="O141" i="39"/>
  <c r="P140" i="39"/>
  <c r="O140" i="39"/>
  <c r="P139" i="39"/>
  <c r="O139" i="39"/>
  <c r="N124" i="39"/>
  <c r="M124" i="39"/>
  <c r="L124" i="39"/>
  <c r="K124" i="39"/>
  <c r="J124" i="39"/>
  <c r="I124" i="39"/>
  <c r="P123" i="39"/>
  <c r="O123" i="39"/>
  <c r="P120" i="39"/>
  <c r="O120" i="39"/>
  <c r="P119" i="39"/>
  <c r="O119" i="39"/>
  <c r="P118" i="39"/>
  <c r="O118" i="39"/>
  <c r="P117" i="39"/>
  <c r="O117" i="39"/>
  <c r="P116" i="39"/>
  <c r="O116" i="39"/>
  <c r="N106" i="39"/>
  <c r="M106" i="39"/>
  <c r="L106" i="39"/>
  <c r="K106" i="39"/>
  <c r="J106" i="39"/>
  <c r="I106" i="39"/>
  <c r="P105" i="39"/>
  <c r="O105" i="39"/>
  <c r="P102" i="39"/>
  <c r="O102" i="39"/>
  <c r="P101" i="39"/>
  <c r="O101" i="39"/>
  <c r="P100" i="39"/>
  <c r="O100" i="39"/>
  <c r="P99" i="39"/>
  <c r="O99" i="39"/>
  <c r="P98" i="39"/>
  <c r="O98" i="39"/>
  <c r="N86" i="39"/>
  <c r="M86" i="39"/>
  <c r="L86" i="39"/>
  <c r="K86" i="39"/>
  <c r="J86" i="39"/>
  <c r="I86" i="39"/>
  <c r="P85" i="39"/>
  <c r="O85" i="39"/>
  <c r="P82" i="39"/>
  <c r="O82" i="39"/>
  <c r="P81" i="39"/>
  <c r="O81" i="39"/>
  <c r="P80" i="39"/>
  <c r="O80" i="39"/>
  <c r="P79" i="39"/>
  <c r="O79" i="39"/>
  <c r="P78" i="39"/>
  <c r="O78" i="39"/>
  <c r="N59" i="39"/>
  <c r="M59" i="39"/>
  <c r="L59" i="39"/>
  <c r="K59" i="39"/>
  <c r="J59" i="39"/>
  <c r="I59" i="39"/>
  <c r="P58" i="39"/>
  <c r="O58" i="39"/>
  <c r="P55" i="39"/>
  <c r="O55" i="39"/>
  <c r="P54" i="39"/>
  <c r="O54" i="39"/>
  <c r="P53" i="39"/>
  <c r="O53" i="39"/>
  <c r="P52" i="39"/>
  <c r="O52" i="39"/>
  <c r="P51" i="39"/>
  <c r="O51" i="39"/>
  <c r="M38" i="39"/>
  <c r="N40" i="39" s="1"/>
  <c r="L38" i="39"/>
  <c r="K38" i="39"/>
  <c r="J38" i="39"/>
  <c r="I38" i="39"/>
  <c r="P34" i="39"/>
  <c r="O34" i="39"/>
  <c r="P33" i="39"/>
  <c r="O33" i="39"/>
  <c r="P32" i="39"/>
  <c r="O32" i="39"/>
  <c r="P31" i="39"/>
  <c r="O31" i="39"/>
  <c r="P30" i="39"/>
  <c r="O30" i="39"/>
  <c r="N16" i="39"/>
  <c r="M16" i="39"/>
  <c r="L16" i="39"/>
  <c r="K16" i="39"/>
  <c r="J16" i="39"/>
  <c r="I16" i="39"/>
  <c r="P15" i="39"/>
  <c r="O15" i="39"/>
  <c r="P12" i="39"/>
  <c r="O12" i="39"/>
  <c r="P11" i="39"/>
  <c r="O11" i="39"/>
  <c r="P10" i="39"/>
  <c r="O10" i="39"/>
  <c r="P9" i="39"/>
  <c r="O9" i="39"/>
  <c r="P8" i="39"/>
  <c r="O8" i="39"/>
  <c r="K53" i="23"/>
  <c r="J53" i="23"/>
  <c r="L52" i="23"/>
  <c r="N52" i="23" s="1"/>
  <c r="K52" i="23"/>
  <c r="J52" i="23"/>
  <c r="L51" i="23"/>
  <c r="N51" i="23" s="1"/>
  <c r="K51" i="23"/>
  <c r="J51" i="23"/>
  <c r="L50" i="23"/>
  <c r="N50" i="23" s="1"/>
  <c r="K50" i="23"/>
  <c r="J50" i="23"/>
  <c r="L49" i="23"/>
  <c r="N49" i="23" s="1"/>
  <c r="K49" i="23"/>
  <c r="J49" i="23"/>
  <c r="L48" i="23"/>
  <c r="N48" i="23" s="1"/>
  <c r="K48" i="23"/>
  <c r="J48" i="23"/>
  <c r="L47" i="23"/>
  <c r="N47" i="23" s="1"/>
  <c r="K47" i="23"/>
  <c r="J47" i="23"/>
  <c r="L46" i="23"/>
  <c r="K46" i="23"/>
  <c r="J46" i="23"/>
  <c r="S41" i="23"/>
  <c r="R41" i="23"/>
  <c r="Q41" i="23"/>
  <c r="P41" i="23"/>
  <c r="O41" i="23"/>
  <c r="N41" i="23"/>
  <c r="M41" i="23"/>
  <c r="L41" i="23"/>
  <c r="K41" i="23"/>
  <c r="J41" i="23"/>
  <c r="T40" i="23"/>
  <c r="T39" i="23"/>
  <c r="T38" i="23"/>
  <c r="T37" i="23"/>
  <c r="T36" i="23"/>
  <c r="T35" i="23"/>
  <c r="L26" i="23"/>
  <c r="J26" i="23"/>
  <c r="I26" i="23"/>
  <c r="K25" i="23"/>
  <c r="J25" i="23"/>
  <c r="I25" i="23"/>
  <c r="K24" i="23"/>
  <c r="J24" i="23"/>
  <c r="I24" i="23"/>
  <c r="K23" i="23"/>
  <c r="J23" i="23"/>
  <c r="I23" i="23"/>
  <c r="K22" i="23"/>
  <c r="J22" i="23"/>
  <c r="I22" i="23"/>
  <c r="K21" i="23"/>
  <c r="J21" i="23"/>
  <c r="I21" i="23"/>
  <c r="R14" i="23"/>
  <c r="Q14" i="23"/>
  <c r="P14" i="23"/>
  <c r="O14" i="23"/>
  <c r="N14" i="23"/>
  <c r="M14" i="23"/>
  <c r="L14" i="23"/>
  <c r="K14" i="23"/>
  <c r="J14" i="23"/>
  <c r="I14" i="23"/>
  <c r="L41" i="14"/>
  <c r="K41" i="14"/>
  <c r="G44" i="14"/>
  <c r="H41" i="14"/>
  <c r="G41" i="14"/>
  <c r="L40" i="14"/>
  <c r="K40" i="14"/>
  <c r="L39" i="14"/>
  <c r="K39" i="14"/>
  <c r="L38" i="14"/>
  <c r="K38" i="14"/>
  <c r="L37" i="14"/>
  <c r="K37" i="14"/>
  <c r="L36" i="14"/>
  <c r="K36" i="14"/>
  <c r="L35" i="14"/>
  <c r="K35" i="14"/>
  <c r="L34" i="14"/>
  <c r="K34" i="14"/>
  <c r="L33" i="14"/>
  <c r="K33" i="14"/>
  <c r="L32" i="14"/>
  <c r="K32" i="14"/>
  <c r="L31" i="14"/>
  <c r="K31" i="14"/>
  <c r="L30" i="14"/>
  <c r="K30" i="14"/>
  <c r="AV21" i="14"/>
  <c r="AU21" i="14"/>
  <c r="AT21" i="14"/>
  <c r="AS21" i="14"/>
  <c r="AR21" i="14"/>
  <c r="AQ21" i="14"/>
  <c r="AP21" i="14"/>
  <c r="AO21" i="14"/>
  <c r="AN21" i="14"/>
  <c r="AD23" i="14" s="1"/>
  <c r="AM21" i="14"/>
  <c r="AC23" i="14" s="1"/>
  <c r="AL21" i="14"/>
  <c r="AK21" i="14"/>
  <c r="AJ21" i="14"/>
  <c r="AI21" i="14"/>
  <c r="AH21" i="14"/>
  <c r="AG21" i="14"/>
  <c r="AF21" i="14"/>
  <c r="AE21" i="14"/>
  <c r="AD21" i="14"/>
  <c r="AC21" i="14"/>
  <c r="X21" i="14"/>
  <c r="W21" i="14"/>
  <c r="V21" i="14"/>
  <c r="U21" i="14"/>
  <c r="T21" i="14"/>
  <c r="S21" i="14"/>
  <c r="R21" i="14"/>
  <c r="Q21" i="14"/>
  <c r="P21" i="14"/>
  <c r="O21" i="14"/>
  <c r="N21" i="14"/>
  <c r="M21" i="14"/>
  <c r="L21" i="14"/>
  <c r="K21" i="14"/>
  <c r="J21" i="14"/>
  <c r="I21" i="14"/>
  <c r="H21" i="14"/>
  <c r="G21" i="14"/>
  <c r="AL19" i="14"/>
  <c r="AK19" i="14"/>
  <c r="AJ19" i="14"/>
  <c r="AI19" i="14"/>
  <c r="AH19" i="14"/>
  <c r="AG19" i="14"/>
  <c r="AF19" i="14"/>
  <c r="AE19" i="14"/>
  <c r="AD19" i="14"/>
  <c r="AC19" i="14"/>
  <c r="J136" i="15"/>
  <c r="G142" i="15" s="1"/>
  <c r="I136" i="15"/>
  <c r="G141" i="15" s="1"/>
  <c r="H136" i="15"/>
  <c r="F142" i="15" s="1"/>
  <c r="G136" i="15"/>
  <c r="F141" i="15" s="1"/>
  <c r="F136" i="15"/>
  <c r="E142" i="15" s="1"/>
  <c r="E136" i="15"/>
  <c r="E141" i="15" s="1"/>
  <c r="L136" i="15"/>
  <c r="K128" i="15"/>
  <c r="K136" i="15" s="1"/>
  <c r="H56" i="15"/>
  <c r="J49" i="15"/>
  <c r="I49" i="15"/>
  <c r="H49" i="15"/>
  <c r="G49" i="15"/>
  <c r="F49" i="15"/>
  <c r="E49" i="15"/>
  <c r="L49" i="15"/>
  <c r="K41" i="15"/>
  <c r="K49" i="15" s="1"/>
  <c r="G33" i="15"/>
  <c r="F33" i="15"/>
  <c r="E33" i="15"/>
  <c r="H32" i="15"/>
  <c r="H31" i="15"/>
  <c r="H30" i="15"/>
  <c r="H29" i="15"/>
  <c r="H28" i="15"/>
  <c r="V23" i="15"/>
  <c r="U23" i="15"/>
  <c r="T23" i="15"/>
  <c r="S23" i="15"/>
  <c r="P22" i="15"/>
  <c r="O22" i="15"/>
  <c r="N22" i="15"/>
  <c r="M22" i="15"/>
  <c r="P21" i="15"/>
  <c r="O21" i="15"/>
  <c r="N21" i="15"/>
  <c r="M21" i="15"/>
  <c r="P20" i="15"/>
  <c r="O20" i="15"/>
  <c r="N20" i="15"/>
  <c r="M20" i="15"/>
  <c r="G18" i="15"/>
  <c r="F18" i="15"/>
  <c r="E18" i="15"/>
  <c r="H17" i="15"/>
  <c r="H16" i="15"/>
  <c r="H15" i="15"/>
  <c r="H14" i="15"/>
  <c r="AS13" i="15"/>
  <c r="AR13" i="15"/>
  <c r="AQ13" i="15"/>
  <c r="AP13" i="15"/>
  <c r="AO13" i="15"/>
  <c r="AN13" i="15"/>
  <c r="AH13" i="15"/>
  <c r="AG13" i="15"/>
  <c r="AF13" i="15"/>
  <c r="AE13" i="15"/>
  <c r="AD13" i="15"/>
  <c r="AC13" i="15"/>
  <c r="AB13" i="15"/>
  <c r="AA13" i="15"/>
  <c r="Z13" i="15"/>
  <c r="Y13" i="15"/>
  <c r="X13" i="15"/>
  <c r="W13" i="15"/>
  <c r="V13" i="15"/>
  <c r="U13" i="15"/>
  <c r="T13" i="15"/>
  <c r="S13" i="15"/>
  <c r="R13" i="15"/>
  <c r="P13" i="15"/>
  <c r="O13" i="15"/>
  <c r="N13" i="15"/>
  <c r="M13" i="15"/>
  <c r="H13" i="15"/>
  <c r="AX12" i="15"/>
  <c r="AI12" i="15"/>
  <c r="H12" i="15"/>
  <c r="AX11" i="15"/>
  <c r="AI11" i="15"/>
  <c r="H11" i="15"/>
  <c r="AX10" i="15"/>
  <c r="AI10" i="15"/>
  <c r="O4" i="15"/>
  <c r="Q121" i="13"/>
  <c r="Q120" i="13"/>
  <c r="Q119" i="13"/>
  <c r="Q118" i="13"/>
  <c r="Q117" i="13"/>
  <c r="Q116" i="13"/>
  <c r="P109" i="13"/>
  <c r="O109" i="13"/>
  <c r="N109" i="13"/>
  <c r="M109" i="13"/>
  <c r="L109" i="13"/>
  <c r="K109" i="13"/>
  <c r="J109" i="13"/>
  <c r="I109" i="13"/>
  <c r="H109" i="13"/>
  <c r="G109" i="13"/>
  <c r="F109" i="13"/>
  <c r="E109" i="13"/>
  <c r="Q108" i="13"/>
  <c r="Q107" i="13"/>
  <c r="Q106" i="13"/>
  <c r="Q105" i="13"/>
  <c r="Q103" i="13"/>
  <c r="Q102" i="13"/>
  <c r="Q101" i="13"/>
  <c r="Q98" i="13"/>
  <c r="Q97" i="13"/>
  <c r="Q96" i="13"/>
  <c r="Q95" i="13"/>
  <c r="Q94" i="13"/>
  <c r="Q93" i="13"/>
  <c r="Q92" i="13"/>
  <c r="Q91" i="13"/>
  <c r="Q90" i="13"/>
  <c r="Q88" i="13"/>
  <c r="N80" i="13"/>
  <c r="M80" i="13"/>
  <c r="L80" i="13"/>
  <c r="K80" i="13"/>
  <c r="J80" i="13"/>
  <c r="I80" i="13"/>
  <c r="H80" i="13"/>
  <c r="G80" i="13"/>
  <c r="F80" i="13"/>
  <c r="E80" i="13"/>
  <c r="Q79" i="13"/>
  <c r="Q78" i="13"/>
  <c r="Q77" i="13"/>
  <c r="Q76" i="13"/>
  <c r="Q75" i="13"/>
  <c r="Q73" i="13"/>
  <c r="Q72" i="13"/>
  <c r="Q71" i="13"/>
  <c r="Q70" i="13"/>
  <c r="Q69" i="13"/>
  <c r="Q68" i="13"/>
  <c r="Q67" i="13"/>
  <c r="Q66" i="13"/>
  <c r="Q65" i="13"/>
  <c r="Q64" i="13"/>
  <c r="Q63" i="13"/>
  <c r="Q62" i="13"/>
  <c r="Q61" i="13"/>
  <c r="N55" i="13"/>
  <c r="M55" i="13"/>
  <c r="L55" i="13"/>
  <c r="K55" i="13"/>
  <c r="J55" i="13"/>
  <c r="I55" i="13"/>
  <c r="H55" i="13"/>
  <c r="G55" i="13"/>
  <c r="F55" i="13"/>
  <c r="E55" i="13"/>
  <c r="Q54" i="13"/>
  <c r="Q53" i="13"/>
  <c r="Q51" i="13"/>
  <c r="Q50" i="13"/>
  <c r="Q49" i="13"/>
  <c r="Q48" i="13"/>
  <c r="Q47" i="13"/>
  <c r="Q46" i="13"/>
  <c r="Q45" i="13"/>
  <c r="Q44" i="13"/>
  <c r="Q43" i="13"/>
  <c r="Q42" i="13"/>
  <c r="Q41" i="13"/>
  <c r="Q39" i="13"/>
  <c r="Q38" i="13"/>
  <c r="Q37" i="13"/>
  <c r="P29" i="13"/>
  <c r="O29" i="13"/>
  <c r="N29" i="13"/>
  <c r="M29" i="13"/>
  <c r="L29" i="13"/>
  <c r="K29" i="13"/>
  <c r="J29" i="13"/>
  <c r="I29" i="13"/>
  <c r="H29" i="13"/>
  <c r="G29" i="13"/>
  <c r="F29" i="13"/>
  <c r="E29" i="13"/>
  <c r="Q28" i="13"/>
  <c r="Q27" i="13"/>
  <c r="Q26" i="13"/>
  <c r="Q25" i="13"/>
  <c r="Q24" i="13"/>
  <c r="Q23" i="13"/>
  <c r="Q22" i="13"/>
  <c r="Q21" i="13"/>
  <c r="Q19" i="13"/>
  <c r="Q18" i="13"/>
  <c r="Q17" i="13"/>
  <c r="Q16" i="13"/>
  <c r="Q15" i="13"/>
  <c r="Q14" i="13"/>
  <c r="Q13" i="13"/>
  <c r="Q12" i="13"/>
  <c r="Q11" i="13"/>
  <c r="Q10" i="13"/>
  <c r="Q9" i="13"/>
  <c r="Q8" i="13"/>
  <c r="Q7" i="13"/>
  <c r="Q6" i="13"/>
  <c r="E104" i="12"/>
  <c r="F102" i="12" s="1"/>
  <c r="E89" i="12"/>
  <c r="F86" i="12" s="1"/>
  <c r="N60" i="12"/>
  <c r="P57" i="12"/>
  <c r="O57" i="12"/>
  <c r="N57" i="12"/>
  <c r="M57" i="12"/>
  <c r="L57" i="12"/>
  <c r="K57" i="12"/>
  <c r="J57" i="12"/>
  <c r="I57" i="12"/>
  <c r="H57" i="12"/>
  <c r="G57" i="12"/>
  <c r="F57" i="12"/>
  <c r="E57" i="12"/>
  <c r="E60" i="12" s="1"/>
  <c r="Q56" i="12"/>
  <c r="Q55" i="12"/>
  <c r="Q54" i="12"/>
  <c r="Q52" i="12"/>
  <c r="Q51" i="12"/>
  <c r="Q50" i="12"/>
  <c r="Q49" i="12"/>
  <c r="Q48" i="12"/>
  <c r="Q47" i="12"/>
  <c r="Q46" i="12"/>
  <c r="Q45" i="12"/>
  <c r="Q44" i="12"/>
  <c r="Q43" i="12"/>
  <c r="Q42" i="12"/>
  <c r="Q41" i="12"/>
  <c r="Q40" i="12"/>
  <c r="Q39" i="12"/>
  <c r="Q38" i="12"/>
  <c r="Q37" i="12"/>
  <c r="P32" i="12"/>
  <c r="O32" i="12"/>
  <c r="N32" i="12"/>
  <c r="M32" i="12"/>
  <c r="L32" i="12"/>
  <c r="K32" i="12"/>
  <c r="J32" i="12"/>
  <c r="I32" i="12"/>
  <c r="H32" i="12"/>
  <c r="G32" i="12"/>
  <c r="F32" i="12"/>
  <c r="E32" i="12"/>
  <c r="Q31" i="12"/>
  <c r="Q30" i="12"/>
  <c r="Q29" i="12"/>
  <c r="Q28" i="12"/>
  <c r="Q27" i="12"/>
  <c r="Q26" i="12"/>
  <c r="Q25" i="12"/>
  <c r="Q24" i="12"/>
  <c r="Q23" i="12"/>
  <c r="Q22" i="12"/>
  <c r="Q21" i="12"/>
  <c r="Q20" i="12"/>
  <c r="P13" i="12"/>
  <c r="P60" i="12" s="1"/>
  <c r="O13" i="12"/>
  <c r="N13" i="12"/>
  <c r="M13" i="12"/>
  <c r="L13" i="12"/>
  <c r="K13" i="12"/>
  <c r="J13" i="12"/>
  <c r="I13" i="12"/>
  <c r="H13" i="12"/>
  <c r="H60" i="12" s="1"/>
  <c r="G13" i="12"/>
  <c r="F13" i="12"/>
  <c r="E13" i="12"/>
  <c r="Q12" i="12"/>
  <c r="Q11" i="12"/>
  <c r="Q10" i="12"/>
  <c r="Q9" i="12"/>
  <c r="Q8" i="12"/>
  <c r="Q7" i="12"/>
  <c r="Q6" i="12"/>
  <c r="P13" i="11"/>
  <c r="O13" i="11"/>
  <c r="N13" i="11"/>
  <c r="M13" i="11"/>
  <c r="L13" i="11"/>
  <c r="K13" i="11"/>
  <c r="J13" i="11"/>
  <c r="I13" i="11"/>
  <c r="H13" i="11"/>
  <c r="G13" i="11"/>
  <c r="F13" i="11"/>
  <c r="R12" i="11"/>
  <c r="O13" i="10"/>
  <c r="N13" i="10"/>
  <c r="M13" i="10"/>
  <c r="L13" i="10"/>
  <c r="K13" i="10"/>
  <c r="J13" i="10"/>
  <c r="I13" i="10"/>
  <c r="H13" i="10"/>
  <c r="G13" i="10"/>
  <c r="F13" i="10"/>
  <c r="R12" i="10"/>
  <c r="K42" i="8"/>
  <c r="J42" i="8"/>
  <c r="I42" i="8"/>
  <c r="H42" i="8"/>
  <c r="F42" i="8"/>
  <c r="Q38" i="8"/>
  <c r="P38" i="8"/>
  <c r="O38" i="8"/>
  <c r="N38" i="8"/>
  <c r="M38" i="8"/>
  <c r="L38" i="8"/>
  <c r="K38" i="8"/>
  <c r="J38" i="8"/>
  <c r="I38" i="8"/>
  <c r="H38" i="8"/>
  <c r="G38" i="8"/>
  <c r="F38" i="8"/>
  <c r="R37" i="8"/>
  <c r="K26" i="8"/>
  <c r="J26" i="8"/>
  <c r="I26" i="8"/>
  <c r="H26" i="8"/>
  <c r="G26" i="8"/>
  <c r="F26" i="8"/>
  <c r="R25" i="8"/>
  <c r="R24" i="8"/>
  <c r="R23" i="8"/>
  <c r="Q11" i="8"/>
  <c r="P11" i="8"/>
  <c r="O11" i="8"/>
  <c r="N11" i="8"/>
  <c r="M11" i="8"/>
  <c r="L11" i="8"/>
  <c r="K11" i="8"/>
  <c r="J11" i="8"/>
  <c r="I11" i="8"/>
  <c r="H11" i="8"/>
  <c r="G11" i="8"/>
  <c r="F11" i="8"/>
  <c r="R10" i="8"/>
  <c r="R9" i="8"/>
  <c r="R8" i="8"/>
  <c r="P41" i="7"/>
  <c r="O41" i="7"/>
  <c r="L41" i="7"/>
  <c r="K41" i="7"/>
  <c r="J41" i="7"/>
  <c r="I41" i="7"/>
  <c r="H41" i="7"/>
  <c r="G41" i="7"/>
  <c r="R38" i="7"/>
  <c r="Q38" i="7"/>
  <c r="P38" i="7"/>
  <c r="O38" i="7"/>
  <c r="N38" i="7"/>
  <c r="M38" i="7"/>
  <c r="L38" i="7"/>
  <c r="K38" i="7"/>
  <c r="J38" i="7"/>
  <c r="I38" i="7"/>
  <c r="H38" i="7"/>
  <c r="G38" i="7"/>
  <c r="S37" i="7"/>
  <c r="S35" i="7"/>
  <c r="R23" i="7"/>
  <c r="Q23" i="7"/>
  <c r="P23" i="7"/>
  <c r="O23" i="7"/>
  <c r="N23" i="7"/>
  <c r="M23" i="7"/>
  <c r="S23" i="7" s="1"/>
  <c r="G51" i="7" s="1"/>
  <c r="L23" i="7"/>
  <c r="K23" i="7"/>
  <c r="J23" i="7"/>
  <c r="I23" i="7"/>
  <c r="H23" i="7"/>
  <c r="G23" i="7"/>
  <c r="S22" i="7"/>
  <c r="R10" i="7"/>
  <c r="Q10" i="7"/>
  <c r="P10" i="7"/>
  <c r="O10" i="7"/>
  <c r="N10" i="7"/>
  <c r="M10" i="7"/>
  <c r="L10" i="7"/>
  <c r="K10" i="7"/>
  <c r="J10" i="7"/>
  <c r="I10" i="7"/>
  <c r="H10" i="7"/>
  <c r="G10" i="7"/>
  <c r="S9" i="7"/>
  <c r="S8" i="7"/>
  <c r="O50" i="6"/>
  <c r="N50" i="6"/>
  <c r="K50" i="6"/>
  <c r="J50" i="6"/>
  <c r="I50" i="6"/>
  <c r="H50" i="6"/>
  <c r="G50" i="6"/>
  <c r="F50" i="6"/>
  <c r="Q47" i="6"/>
  <c r="P47" i="6"/>
  <c r="O47" i="6"/>
  <c r="N47" i="6"/>
  <c r="M47" i="6"/>
  <c r="L47" i="6"/>
  <c r="K47" i="6"/>
  <c r="J47" i="6"/>
  <c r="I47" i="6"/>
  <c r="H47" i="6"/>
  <c r="G47" i="6"/>
  <c r="F47" i="6"/>
  <c r="R46" i="6"/>
  <c r="R45" i="6"/>
  <c r="R44" i="6"/>
  <c r="R43" i="6"/>
  <c r="R42" i="6"/>
  <c r="R41" i="6"/>
  <c r="R40" i="6"/>
  <c r="R39" i="6"/>
  <c r="R38" i="6"/>
  <c r="R37" i="6"/>
  <c r="R36" i="6"/>
  <c r="R35" i="6"/>
  <c r="Q28" i="6"/>
  <c r="P28" i="6"/>
  <c r="O28" i="6"/>
  <c r="N28" i="6"/>
  <c r="M28" i="6"/>
  <c r="L28" i="6"/>
  <c r="K28" i="6"/>
  <c r="J28" i="6"/>
  <c r="I28" i="6"/>
  <c r="H28" i="6"/>
  <c r="G28" i="6"/>
  <c r="F28" i="6"/>
  <c r="R27" i="6"/>
  <c r="R26" i="6"/>
  <c r="R25" i="6"/>
  <c r="R24" i="6"/>
  <c r="R23" i="6"/>
  <c r="R22" i="6"/>
  <c r="R21" i="6"/>
  <c r="Q12" i="6"/>
  <c r="P12" i="6"/>
  <c r="O12" i="6"/>
  <c r="N12" i="6"/>
  <c r="M12" i="6"/>
  <c r="L12" i="6"/>
  <c r="K12" i="6"/>
  <c r="J12" i="6"/>
  <c r="I12" i="6"/>
  <c r="H12" i="6"/>
  <c r="G12" i="6"/>
  <c r="F12" i="6"/>
  <c r="R11" i="6"/>
  <c r="R10" i="6"/>
  <c r="R9" i="6"/>
  <c r="R8" i="6"/>
  <c r="R7" i="6"/>
  <c r="N62" i="5"/>
  <c r="M62" i="5"/>
  <c r="J62" i="5"/>
  <c r="I62" i="5"/>
  <c r="H62" i="5"/>
  <c r="G62" i="5"/>
  <c r="F62" i="5"/>
  <c r="E62" i="5"/>
  <c r="P59" i="5"/>
  <c r="O59" i="5"/>
  <c r="N59" i="5"/>
  <c r="M59" i="5"/>
  <c r="L59" i="5"/>
  <c r="K59" i="5"/>
  <c r="J59" i="5"/>
  <c r="I59" i="5"/>
  <c r="H59" i="5"/>
  <c r="G59" i="5"/>
  <c r="F59" i="5"/>
  <c r="E59" i="5"/>
  <c r="Q58" i="5"/>
  <c r="Q57" i="5"/>
  <c r="Q56" i="5"/>
  <c r="Q55" i="5"/>
  <c r="Q54" i="5"/>
  <c r="Q53" i="5"/>
  <c r="Q52" i="5"/>
  <c r="Q51" i="5"/>
  <c r="Q50" i="5"/>
  <c r="Q49" i="5"/>
  <c r="Q48" i="5"/>
  <c r="Q47" i="5"/>
  <c r="Q46" i="5"/>
  <c r="Q45" i="5"/>
  <c r="Q44" i="5"/>
  <c r="P31" i="5"/>
  <c r="O31" i="5"/>
  <c r="N31" i="5"/>
  <c r="M31" i="5"/>
  <c r="L31" i="5"/>
  <c r="K31" i="5"/>
  <c r="J31" i="5"/>
  <c r="I31" i="5"/>
  <c r="H31" i="5"/>
  <c r="G31" i="5"/>
  <c r="F31" i="5"/>
  <c r="E31" i="5"/>
  <c r="Q30" i="5"/>
  <c r="Q29" i="5"/>
  <c r="Q27" i="5"/>
  <c r="Q26" i="5"/>
  <c r="P12" i="5"/>
  <c r="O12" i="5"/>
  <c r="N12" i="5"/>
  <c r="M12" i="5"/>
  <c r="L12" i="5"/>
  <c r="K12" i="5"/>
  <c r="J12" i="5"/>
  <c r="I12" i="5"/>
  <c r="H12" i="5"/>
  <c r="G12" i="5"/>
  <c r="F12" i="5"/>
  <c r="E12" i="5"/>
  <c r="Q11" i="5"/>
  <c r="Q10" i="5"/>
  <c r="Q9" i="5"/>
  <c r="Q8" i="5"/>
  <c r="Q7" i="5"/>
  <c r="O65" i="4"/>
  <c r="N61" i="4"/>
  <c r="N65" i="4" s="1"/>
  <c r="M61" i="4"/>
  <c r="M65" i="4" s="1"/>
  <c r="L65" i="4"/>
  <c r="K61" i="4"/>
  <c r="J61" i="4"/>
  <c r="I61" i="4"/>
  <c r="H61" i="4"/>
  <c r="G61" i="4"/>
  <c r="F61" i="4"/>
  <c r="R60" i="4"/>
  <c r="R59" i="4"/>
  <c r="R58" i="4"/>
  <c r="R56" i="4"/>
  <c r="R55" i="4"/>
  <c r="R54" i="4"/>
  <c r="R53" i="4"/>
  <c r="R52" i="4"/>
  <c r="R51" i="4"/>
  <c r="R50" i="4"/>
  <c r="R49" i="4"/>
  <c r="R48" i="4"/>
  <c r="R47" i="4"/>
  <c r="R46" i="4"/>
  <c r="R45" i="4"/>
  <c r="R44" i="4"/>
  <c r="K32" i="4"/>
  <c r="J32" i="4"/>
  <c r="I32" i="4"/>
  <c r="H32" i="4"/>
  <c r="G32" i="4"/>
  <c r="F32" i="4"/>
  <c r="R31" i="4"/>
  <c r="R30" i="4"/>
  <c r="R27" i="4"/>
  <c r="R26" i="4"/>
  <c r="R25" i="4"/>
  <c r="K13" i="4"/>
  <c r="J13" i="4"/>
  <c r="I13" i="4"/>
  <c r="H13" i="4"/>
  <c r="G13" i="4"/>
  <c r="F13" i="4"/>
  <c r="R12" i="4"/>
  <c r="R11" i="4"/>
  <c r="R10" i="4"/>
  <c r="R9" i="4"/>
  <c r="R8" i="4"/>
  <c r="R7" i="4"/>
  <c r="C161" i="3"/>
  <c r="C152" i="3"/>
  <c r="C143" i="3"/>
  <c r="C128" i="3"/>
  <c r="C110" i="3"/>
  <c r="D110" i="3" s="1"/>
  <c r="C104" i="3"/>
  <c r="E104" i="3" s="1"/>
  <c r="E96" i="3"/>
  <c r="D96" i="3"/>
  <c r="C96" i="3"/>
  <c r="E88" i="3"/>
  <c r="D88" i="3"/>
  <c r="C88" i="3"/>
  <c r="E71" i="3"/>
  <c r="C71" i="3"/>
  <c r="E52" i="3"/>
  <c r="D52" i="3"/>
  <c r="C52" i="3"/>
  <c r="E28" i="3"/>
  <c r="D28" i="3"/>
  <c r="C28" i="3"/>
  <c r="V52" i="30" l="1"/>
  <c r="U57" i="70"/>
  <c r="U110" i="30"/>
  <c r="U46" i="70"/>
  <c r="H19" i="70"/>
  <c r="V110" i="30"/>
  <c r="AA52" i="30"/>
  <c r="Z52" i="30"/>
  <c r="U77" i="30"/>
  <c r="I40" i="39"/>
  <c r="I41" i="39"/>
  <c r="N22" i="39"/>
  <c r="J22" i="39"/>
  <c r="I18" i="39"/>
  <c r="D219" i="39"/>
  <c r="C177" i="39"/>
  <c r="J41" i="39"/>
  <c r="I62" i="39"/>
  <c r="N62" i="39" s="1"/>
  <c r="L40" i="39"/>
  <c r="J61" i="39"/>
  <c r="J62" i="39"/>
  <c r="E220" i="39"/>
  <c r="K152" i="39"/>
  <c r="T41" i="23"/>
  <c r="O49" i="23" s="1"/>
  <c r="M7" i="15"/>
  <c r="M15" i="15"/>
  <c r="N15" i="15"/>
  <c r="N7" i="15"/>
  <c r="F60" i="12"/>
  <c r="J60" i="12"/>
  <c r="M60" i="12"/>
  <c r="I60" i="12"/>
  <c r="G60" i="12"/>
  <c r="O60" i="12"/>
  <c r="L60" i="12"/>
  <c r="R13" i="11"/>
  <c r="R16" i="11" s="1"/>
  <c r="R13" i="10"/>
  <c r="R16" i="10" s="1"/>
  <c r="R38" i="8"/>
  <c r="F50" i="8" s="1"/>
  <c r="R11" i="8"/>
  <c r="F48" i="8" s="1"/>
  <c r="N41" i="7"/>
  <c r="S38" i="7"/>
  <c r="G52" i="7" s="1"/>
  <c r="R47" i="6"/>
  <c r="F57" i="6" s="1"/>
  <c r="M50" i="6"/>
  <c r="R28" i="6"/>
  <c r="F56" i="6" s="1"/>
  <c r="Q59" i="5"/>
  <c r="E71" i="5" s="1"/>
  <c r="Q31" i="5"/>
  <c r="E70" i="5" s="1"/>
  <c r="L62" i="5"/>
  <c r="I65" i="4"/>
  <c r="R13" i="4"/>
  <c r="J65" i="4"/>
  <c r="G65" i="4"/>
  <c r="H65" i="4"/>
  <c r="F88" i="3"/>
  <c r="Q57" i="12"/>
  <c r="E68" i="12" s="1"/>
  <c r="Q32" i="12"/>
  <c r="E67" i="12" s="1"/>
  <c r="F100" i="12"/>
  <c r="F98" i="12"/>
  <c r="F101" i="12"/>
  <c r="F97" i="12"/>
  <c r="F99" i="12"/>
  <c r="F85" i="12"/>
  <c r="F87" i="12"/>
  <c r="H33" i="15"/>
  <c r="I31" i="15" s="1"/>
  <c r="M23" i="15"/>
  <c r="P23" i="15"/>
  <c r="M27" i="15"/>
  <c r="E51" i="15"/>
  <c r="AE55" i="24"/>
  <c r="U19" i="70"/>
  <c r="S11" i="19"/>
  <c r="S33" i="19"/>
  <c r="S36" i="19"/>
  <c r="S44" i="19"/>
  <c r="S50" i="19"/>
  <c r="S8" i="19"/>
  <c r="S14" i="19"/>
  <c r="S23" i="19"/>
  <c r="S30" i="19"/>
  <c r="AC52" i="30"/>
  <c r="AA28" i="30"/>
  <c r="AA77" i="30"/>
  <c r="AC77" i="30"/>
  <c r="AA110" i="30"/>
  <c r="Z28" i="30"/>
  <c r="Z77" i="30"/>
  <c r="AB77" i="30"/>
  <c r="Z110" i="30"/>
  <c r="AB110" i="30"/>
  <c r="AB52" i="30"/>
  <c r="AC28" i="30"/>
  <c r="AB28" i="30"/>
  <c r="AC110" i="30"/>
  <c r="E177" i="39"/>
  <c r="J89" i="39"/>
  <c r="E198" i="39"/>
  <c r="M88" i="39"/>
  <c r="O147" i="39"/>
  <c r="O59" i="39"/>
  <c r="K107" i="39"/>
  <c r="P124" i="39"/>
  <c r="E242" i="39"/>
  <c r="E245" i="39" s="1"/>
  <c r="P16" i="39"/>
  <c r="K88" i="39"/>
  <c r="O106" i="39"/>
  <c r="M107" i="39"/>
  <c r="N152" i="39"/>
  <c r="N66" i="39"/>
  <c r="N61" i="39"/>
  <c r="P86" i="39"/>
  <c r="J108" i="39"/>
  <c r="O124" i="39"/>
  <c r="C197" i="39"/>
  <c r="P59" i="39"/>
  <c r="P106" i="39"/>
  <c r="P147" i="39"/>
  <c r="K168" i="39"/>
  <c r="M168" i="39"/>
  <c r="D198" i="39"/>
  <c r="O16" i="39"/>
  <c r="N18" i="39"/>
  <c r="L18" i="39"/>
  <c r="O38" i="39"/>
  <c r="I89" i="39"/>
  <c r="O86" i="39"/>
  <c r="L61" i="39"/>
  <c r="I88" i="39"/>
  <c r="C178" i="39"/>
  <c r="E219" i="39"/>
  <c r="J149" i="39"/>
  <c r="E178" i="39"/>
  <c r="E221" i="39"/>
  <c r="O166" i="39"/>
  <c r="P38" i="39"/>
  <c r="I107" i="39"/>
  <c r="I108" i="39"/>
  <c r="N153" i="39"/>
  <c r="P166" i="39"/>
  <c r="I169" i="39"/>
  <c r="D197" i="39"/>
  <c r="D220" i="39"/>
  <c r="D222" i="39" s="1"/>
  <c r="D243" i="39"/>
  <c r="D245" i="39" s="1"/>
  <c r="N65" i="39"/>
  <c r="I168" i="39"/>
  <c r="J169" i="39"/>
  <c r="D178" i="39"/>
  <c r="E197" i="39"/>
  <c r="O204" i="39"/>
  <c r="N149" i="39"/>
  <c r="L53" i="23"/>
  <c r="N53" i="23" s="1"/>
  <c r="O51" i="23"/>
  <c r="O47" i="23"/>
  <c r="O50" i="23"/>
  <c r="U40" i="23"/>
  <c r="U38" i="23"/>
  <c r="U36" i="23"/>
  <c r="O48" i="23"/>
  <c r="U39" i="23"/>
  <c r="U37" i="23"/>
  <c r="U35" i="23"/>
  <c r="U34" i="23"/>
  <c r="N46" i="23"/>
  <c r="O46" i="23" s="1"/>
  <c r="K26" i="23"/>
  <c r="H44" i="14"/>
  <c r="AD25" i="14"/>
  <c r="E143" i="15"/>
  <c r="M25" i="15"/>
  <c r="M26" i="15"/>
  <c r="G146" i="15"/>
  <c r="O23" i="15"/>
  <c r="G51" i="15"/>
  <c r="J51" i="15"/>
  <c r="L51" i="15"/>
  <c r="H142" i="15"/>
  <c r="F143" i="15"/>
  <c r="H141" i="15"/>
  <c r="N17" i="15"/>
  <c r="Y21" i="15"/>
  <c r="H18" i="15"/>
  <c r="I12" i="15" s="1"/>
  <c r="N23" i="15"/>
  <c r="M51" i="15"/>
  <c r="G143" i="15"/>
  <c r="Y20" i="15"/>
  <c r="Y22" i="15"/>
  <c r="AX13" i="15"/>
  <c r="R23" i="15"/>
  <c r="AI13" i="15"/>
  <c r="Q23" i="15"/>
  <c r="Q109" i="13"/>
  <c r="Q80" i="13"/>
  <c r="Q55" i="13"/>
  <c r="Q29" i="13"/>
  <c r="K60" i="12"/>
  <c r="Q13" i="12"/>
  <c r="E66" i="12" s="1"/>
  <c r="R26" i="8"/>
  <c r="F49" i="8" s="1"/>
  <c r="F51" i="8" s="1"/>
  <c r="G48" i="8" s="1"/>
  <c r="M41" i="7"/>
  <c r="S10" i="7"/>
  <c r="G50" i="7" s="1"/>
  <c r="L50" i="6"/>
  <c r="R12" i="6"/>
  <c r="K62" i="5"/>
  <c r="Q12" i="5"/>
  <c r="E69" i="5" s="1"/>
  <c r="F73" i="4"/>
  <c r="K65" i="4"/>
  <c r="R32" i="4"/>
  <c r="F72" i="4" s="1"/>
  <c r="F65" i="4"/>
  <c r="F71" i="3"/>
  <c r="F52" i="3"/>
  <c r="F96" i="3"/>
  <c r="F28" i="3"/>
  <c r="J63" i="39" l="1"/>
  <c r="N63" i="39" s="1"/>
  <c r="O52" i="23"/>
  <c r="I13" i="15"/>
  <c r="I17" i="15"/>
  <c r="I28" i="15"/>
  <c r="I29" i="15"/>
  <c r="I30" i="15"/>
  <c r="I32" i="15"/>
  <c r="E70" i="12"/>
  <c r="F66" i="12" s="1"/>
  <c r="R43" i="8"/>
  <c r="Q62" i="5"/>
  <c r="O169" i="39"/>
  <c r="O89" i="39"/>
  <c r="O107" i="39"/>
  <c r="O41" i="39"/>
  <c r="J42" i="39"/>
  <c r="N169" i="39"/>
  <c r="J171" i="39"/>
  <c r="J150" i="39"/>
  <c r="N150" i="39" s="1"/>
  <c r="O149" i="39"/>
  <c r="N108" i="39"/>
  <c r="J109" i="39"/>
  <c r="N109" i="39" s="1"/>
  <c r="J23" i="39"/>
  <c r="N23" i="39" s="1"/>
  <c r="P23" i="39"/>
  <c r="E222" i="39"/>
  <c r="O62" i="39"/>
  <c r="J90" i="39"/>
  <c r="N90" i="39" s="1"/>
  <c r="N89" i="39"/>
  <c r="O108" i="39"/>
  <c r="O7" i="15"/>
  <c r="I15" i="15"/>
  <c r="M53" i="15"/>
  <c r="I14" i="15"/>
  <c r="I11" i="15"/>
  <c r="Y23" i="15"/>
  <c r="I16" i="15"/>
  <c r="H143" i="15"/>
  <c r="I142" i="15"/>
  <c r="Q60" i="12"/>
  <c r="G49" i="8"/>
  <c r="G50" i="8"/>
  <c r="S42" i="7"/>
  <c r="G53" i="7"/>
  <c r="H50" i="7" s="1"/>
  <c r="R50" i="6"/>
  <c r="F55" i="6"/>
  <c r="E72" i="5"/>
  <c r="F69" i="5" s="1"/>
  <c r="R64" i="4"/>
  <c r="F71" i="4"/>
  <c r="F74" i="4" s="1"/>
  <c r="G71" i="4" s="1"/>
  <c r="F67" i="12" l="1"/>
  <c r="F68" i="12"/>
  <c r="H52" i="7"/>
  <c r="I18" i="15"/>
  <c r="H51" i="7"/>
  <c r="F58" i="6"/>
  <c r="F70" i="5"/>
  <c r="F71" i="5"/>
  <c r="G73" i="4"/>
  <c r="G72" i="4"/>
  <c r="G56" i="6" l="1"/>
  <c r="G57" i="6"/>
  <c r="G55" i="6"/>
  <c r="L42" i="8" l="1"/>
  <c r="M42" i="8"/>
  <c r="O26" i="8" l="1"/>
  <c r="U41" i="23"/>
  <c r="Q26" i="8"/>
  <c r="O42" i="8"/>
  <c r="O53" i="23"/>
  <c r="N26" i="8"/>
  <c r="P26" i="8"/>
  <c r="N42" i="8"/>
</calcChain>
</file>

<file path=xl/sharedStrings.xml><?xml version="1.0" encoding="utf-8"?>
<sst xmlns="http://schemas.openxmlformats.org/spreadsheetml/2006/main" count="13360" uniqueCount="2481">
  <si>
    <t>RADICADO</t>
  </si>
  <si>
    <t>FECHA</t>
  </si>
  <si>
    <t>MEDIO DE RECEPCION</t>
  </si>
  <si>
    <t>SERVICIO</t>
  </si>
  <si>
    <t>OBJETO</t>
  </si>
  <si>
    <t>CODIGO DE CAUSAL</t>
  </si>
  <si>
    <t>CAUSAL</t>
  </si>
  <si>
    <t>DIVISION DE CAUSAL</t>
  </si>
  <si>
    <t>APLICA</t>
  </si>
  <si>
    <t>PETICIONARIO</t>
  </si>
  <si>
    <t>CODIGO</t>
  </si>
  <si>
    <t>TELEFONO</t>
  </si>
  <si>
    <t>CORREO</t>
  </si>
  <si>
    <t>DIAS</t>
  </si>
  <si>
    <t>FECHA LIMITE DE RESPUESTA</t>
  </si>
  <si>
    <t>FECHA DE TRASLADO</t>
  </si>
  <si>
    <t>SEGUIMIENTO</t>
  </si>
  <si>
    <t>FECHA DE VISITA TECNICA</t>
  </si>
  <si>
    <t>FECHA DE RADICADO</t>
  </si>
  <si>
    <t>Verbal</t>
  </si>
  <si>
    <t>Acueducto</t>
  </si>
  <si>
    <t>USUARIO SOLICITA CAMBIO DE LLAVE DE PASO</t>
  </si>
  <si>
    <t>Queja</t>
  </si>
  <si>
    <t>Estado de la Infraestructura </t>
  </si>
  <si>
    <t>Cambio de Llave</t>
  </si>
  <si>
    <t>SI</t>
  </si>
  <si>
    <t>N/A</t>
  </si>
  <si>
    <t>Cerrado</t>
  </si>
  <si>
    <t>Correo Electrónico</t>
  </si>
  <si>
    <t>AAA</t>
  </si>
  <si>
    <t>Petición</t>
  </si>
  <si>
    <t>Solicitud General</t>
  </si>
  <si>
    <t>Dúplicado de Factura</t>
  </si>
  <si>
    <t>Documento Físico</t>
  </si>
  <si>
    <t>Reclamo</t>
  </si>
  <si>
    <t>Cobro de otros bienes o servicios en la factura, no autorizados por el usuario</t>
  </si>
  <si>
    <t>Inconformidad con el Cobro de Materiales</t>
  </si>
  <si>
    <t>Vinculación del Servicio</t>
  </si>
  <si>
    <t>Conexión del Servicio</t>
  </si>
  <si>
    <t>Aseo</t>
  </si>
  <si>
    <t>USUARIA REPORTA PREDIO DESOCUPADO</t>
  </si>
  <si>
    <t>Descuento por predio desocupado</t>
  </si>
  <si>
    <t>Predio Desocupado</t>
  </si>
  <si>
    <t>Variaciones en las características del suministro o prestación del servicio</t>
  </si>
  <si>
    <t>Deficiencia de Presión</t>
  </si>
  <si>
    <t>USUARIA REPORTA FUGA EN EL MEDIDOR</t>
  </si>
  <si>
    <t>Fuga de Medidor</t>
  </si>
  <si>
    <t>NO</t>
  </si>
  <si>
    <t>USUARIO REPORTA FUGA EN EL MEDIDOR</t>
  </si>
  <si>
    <t>Cambio de datos básicos</t>
  </si>
  <si>
    <t>Suscriptor que efectúa el pago pero este no es aplicado por la empresa en la facturación</t>
  </si>
  <si>
    <t>Tarifa Incorrecta</t>
  </si>
  <si>
    <t>Inconformidad con la Tarifa</t>
  </si>
  <si>
    <t>Cambio de Nombre</t>
  </si>
  <si>
    <t>Hundimiento de Vía</t>
  </si>
  <si>
    <t>Reubicar Medidor</t>
  </si>
  <si>
    <t>Reparcheo</t>
  </si>
  <si>
    <t>Fuga de Domiciliaria</t>
  </si>
  <si>
    <t>USUARIO REPORTA PREDIO DESOCUPADO</t>
  </si>
  <si>
    <t>Cotización</t>
  </si>
  <si>
    <t>Corte de Cesped</t>
  </si>
  <si>
    <t>Alcantarillado</t>
  </si>
  <si>
    <t>Limpiar Sumidero de Alcantarillado</t>
  </si>
  <si>
    <t>Alumbrado Público</t>
  </si>
  <si>
    <t>Frecuencias adicionales de recolección</t>
  </si>
  <si>
    <t>El Recolector No Avisa Su Llegada</t>
  </si>
  <si>
    <t>Luminaria Dañada</t>
  </si>
  <si>
    <t>Servicios Inmobiliarios</t>
  </si>
  <si>
    <t>Restricción de Cuenta</t>
  </si>
  <si>
    <t>Cobro por consumo registrado por medidor de otro predio</t>
  </si>
  <si>
    <t>Inconformidad con la medición del consumo o producción facturado</t>
  </si>
  <si>
    <t>Revisión de Consumo</t>
  </si>
  <si>
    <t>No se Efectua Recolección Puerta a Puerta</t>
  </si>
  <si>
    <t>Inconformidad con la Recolección de Residuos</t>
  </si>
  <si>
    <t>Instalar Luminaria</t>
  </si>
  <si>
    <t>Luminaria Apagada</t>
  </si>
  <si>
    <t>Página Web</t>
  </si>
  <si>
    <t>Terminación del contrato</t>
  </si>
  <si>
    <t>Cambio de Acometida</t>
  </si>
  <si>
    <t>No atención de condiciones de seguridad o riesgo</t>
  </si>
  <si>
    <t>Conexión Fraudulenta</t>
  </si>
  <si>
    <t>Solicitud de Información</t>
  </si>
  <si>
    <t>Cobros por promedio</t>
  </si>
  <si>
    <t>Vence Hoy</t>
  </si>
  <si>
    <t>Servicios Complementarios</t>
  </si>
  <si>
    <t>Poda de Arbol</t>
  </si>
  <si>
    <t>Taponamiento de Tuberia</t>
  </si>
  <si>
    <t>Punto Critico</t>
  </si>
  <si>
    <t>Inconformidad por desviación significativa</t>
  </si>
  <si>
    <t>ABIERTO EN TÉRMINOS</t>
  </si>
  <si>
    <t>USUARIO REPORTA FUGA EN RED DOMICILIARIA</t>
  </si>
  <si>
    <t>Frecuencias adicionales de barrido</t>
  </si>
  <si>
    <t>USUARIA SOLICITA CAMBIO DE NOMBRE EN LA FACTURA</t>
  </si>
  <si>
    <t>Recolección de Residuos Especiales</t>
  </si>
  <si>
    <t>Revisión con Geofono</t>
  </si>
  <si>
    <t>Detección de Fuga</t>
  </si>
  <si>
    <t>Cambio de clase de uso</t>
  </si>
  <si>
    <t>Cambio Clase de Uso</t>
  </si>
  <si>
    <t>Suspensión o corte del servicio sin previo aviso o sin causa aparente</t>
  </si>
  <si>
    <t>USUARIA REPORTA FUGA DE MEDIDOR</t>
  </si>
  <si>
    <t>LIMPIAR SUMIDERO DE ALCANTARILLADO</t>
  </si>
  <si>
    <t>Cesión de Contrato</t>
  </si>
  <si>
    <t>USUARIO REPORTA FUGA MEDIDOR</t>
  </si>
  <si>
    <t>Telefónico</t>
  </si>
  <si>
    <t>Etiquetas de fila</t>
  </si>
  <si>
    <t>Total general</t>
  </si>
  <si>
    <t xml:space="preserve">Total </t>
  </si>
  <si>
    <t>Total</t>
  </si>
  <si>
    <t xml:space="preserve">ESTADO DE LA  INFRAESTRUCTURA  ACUEDUCTO </t>
  </si>
  <si>
    <t>ESTADO DE LA  INFRAESTRUCTURA  ALCANTARILLADO</t>
  </si>
  <si>
    <t>ASEO</t>
  </si>
  <si>
    <t>ESTADO DE LA  INFRAESTRUCTURA  ALUMBRADO PÚBLICO</t>
  </si>
  <si>
    <t>Datos Generales Incorrectos</t>
  </si>
  <si>
    <t>Fallas en la conexión del servicio</t>
  </si>
  <si>
    <t>Quejas Administrativas</t>
  </si>
  <si>
    <t>Cobro de cargos relacionados con intereses de mora, refinanciación, cartera o acuerdos de pago</t>
  </si>
  <si>
    <t>Cobros Inoportunos</t>
  </si>
  <si>
    <t>Cobro Múltiple y/o acumulado</t>
  </si>
  <si>
    <t>Cobros por conexión, reconexión, reinstalación.</t>
  </si>
  <si>
    <t>Estrato Incorrecto</t>
  </si>
  <si>
    <t>Inconformidad con el cambio o con el cobro del medidor</t>
  </si>
  <si>
    <t>Inconformidad por desviaciòn significativa de consumo</t>
  </si>
  <si>
    <t>Subsidios y contribucciones</t>
  </si>
  <si>
    <t xml:space="preserve"> PETICIONES  ALCANTARILLADO </t>
  </si>
  <si>
    <t xml:space="preserve">QUEJAS  ALCANTARILLADO </t>
  </si>
  <si>
    <t xml:space="preserve">RECLAMOS ALCANTARILLADO </t>
  </si>
  <si>
    <t>Cobros por servicios no prestados</t>
  </si>
  <si>
    <t>PETICIONES ASEO</t>
  </si>
  <si>
    <t>QUEJAS ASEO</t>
  </si>
  <si>
    <t>Afectación Ambiental</t>
  </si>
  <si>
    <t>Recolector no avisa su llegada</t>
  </si>
  <si>
    <t>RECLAMACIONES ASEO</t>
  </si>
  <si>
    <t xml:space="preserve">  PETICIONES ALUMBRADO PÚBLICO   </t>
  </si>
  <si>
    <t xml:space="preserve">  QUEJAS ALUMBRADO PÚBLICO   </t>
  </si>
  <si>
    <t xml:space="preserve">  RECLAMOS  ALUMBRADO PÚBLICO   </t>
  </si>
  <si>
    <t>Cobro por servicios no prestados</t>
  </si>
  <si>
    <t xml:space="preserve"> PETICIONES  SERVICIOS INMOBILIARIOS </t>
  </si>
  <si>
    <t xml:space="preserve"> QUEJAS SERVICIOS INMOBILIARIOS </t>
  </si>
  <si>
    <t>Terminación de Contrato</t>
  </si>
  <si>
    <t xml:space="preserve"> RECLAMOS SERVICIOS INMOBILIARIOS </t>
  </si>
  <si>
    <t xml:space="preserve"> PETICIONES  SERVICIOS COMPLEMENTARIOS</t>
  </si>
  <si>
    <t>ACUEDUCTO</t>
  </si>
  <si>
    <t>ALCANTARILLADO</t>
  </si>
  <si>
    <t>ALUMBRADO PÚBLICO</t>
  </si>
  <si>
    <t>SERVICIOS INMOBILIARIOS</t>
  </si>
  <si>
    <t>SERVICIOS COMPLEMENTARIOS</t>
  </si>
  <si>
    <t>Cobros por Conexión, Reconexión Reinstalación,</t>
  </si>
  <si>
    <t xml:space="preserve">PETICIONES </t>
  </si>
  <si>
    <t xml:space="preserve">QUEJAS </t>
  </si>
  <si>
    <t>RECLAMOS</t>
  </si>
  <si>
    <t>PETICIONES</t>
  </si>
  <si>
    <t xml:space="preserve">CAUSAL </t>
  </si>
  <si>
    <t xml:space="preserve">ENERO </t>
  </si>
  <si>
    <t xml:space="preserve">FEBRERO </t>
  </si>
  <si>
    <t xml:space="preserve">MARZO </t>
  </si>
  <si>
    <t xml:space="preserve">ABRIL </t>
  </si>
  <si>
    <t xml:space="preserve">MAYO </t>
  </si>
  <si>
    <t>JUNIO</t>
  </si>
  <si>
    <t>JULIO</t>
  </si>
  <si>
    <t xml:space="preserve">AGOSTO </t>
  </si>
  <si>
    <t>SEPTIEMBRE</t>
  </si>
  <si>
    <t>OCTUBRE</t>
  </si>
  <si>
    <t>NOVIEMBRE</t>
  </si>
  <si>
    <t>DICIEMBRE</t>
  </si>
  <si>
    <t xml:space="preserve">TOTAL </t>
  </si>
  <si>
    <t>Afectaciones por Obra</t>
  </si>
  <si>
    <t>Cambio de Medidor</t>
  </si>
  <si>
    <t>Fuga en Red Principal</t>
  </si>
  <si>
    <t>Instalar Tapa de Medidor</t>
  </si>
  <si>
    <t>Recoger Escombros</t>
  </si>
  <si>
    <t>Retiro de Tuberia</t>
  </si>
  <si>
    <t>Reubicación de Acometida</t>
  </si>
  <si>
    <t>Revisión de Medidor</t>
  </si>
  <si>
    <t>Solicitud Revisión de Redes</t>
  </si>
  <si>
    <t>Cambio de la Acometida</t>
  </si>
  <si>
    <t>Daño Red de Alcantarillado</t>
  </si>
  <si>
    <t>Fuga en Red  Principal</t>
  </si>
  <si>
    <t>Hundimiento en Vía</t>
  </si>
  <si>
    <t>Información Intervención de Pavimento</t>
  </si>
  <si>
    <t>Limpiar Pozo Séptico</t>
  </si>
  <si>
    <t xml:space="preserve">ESTADO DE LA  INFRAESTRUCTURA  ALUMBRADO PÚBLICO </t>
  </si>
  <si>
    <t>Cuerdas Sueltas</t>
  </si>
  <si>
    <t>Instalar Poste</t>
  </si>
  <si>
    <t>Luminaria Encendida</t>
  </si>
  <si>
    <t>Modernización de Alumbrado Público</t>
  </si>
  <si>
    <t>Poste en mal estado</t>
  </si>
  <si>
    <t>Retirar Poste</t>
  </si>
  <si>
    <t>ESTADO DE LA  INFRAESTRUCTURA  SERVICIOS INMOBILIARIOS</t>
  </si>
  <si>
    <t>Adecuación de locales</t>
  </si>
  <si>
    <t xml:space="preserve">Arreglar Techo </t>
  </si>
  <si>
    <t>Daño en red electrica</t>
  </si>
  <si>
    <t>Inconformidad espaciós Plaza de Mercado</t>
  </si>
  <si>
    <t>Mantenimiento Edificio Emca</t>
  </si>
  <si>
    <t>ESTADO DE LA  INFRAESTRUCTURA  ASEO</t>
  </si>
  <si>
    <t>PROMEDIO TIEMPO DE RESPUESTA SICESP</t>
  </si>
  <si>
    <t xml:space="preserve">CLASE </t>
  </si>
  <si>
    <t xml:space="preserve">SERVICIO </t>
  </si>
  <si>
    <t xml:space="preserve">ACUEDUCTO </t>
  </si>
  <si>
    <t xml:space="preserve">ALCANTARILLADO </t>
  </si>
  <si>
    <t xml:space="preserve">ASEO </t>
  </si>
  <si>
    <t>QUEJA</t>
  </si>
  <si>
    <t xml:space="preserve">DAÑOS </t>
  </si>
  <si>
    <t>PQR  POR SERVICIOS PÚBLICOS</t>
  </si>
  <si>
    <t>SERVICIO/ TRAMITE</t>
  </si>
  <si>
    <t>PORCENTAJE</t>
  </si>
  <si>
    <t>TRATAMIENTO Y DISPOSICION FINAL RCD</t>
  </si>
  <si>
    <t xml:space="preserve">PQR/MES </t>
  </si>
  <si>
    <t xml:space="preserve">RECLAMOS </t>
  </si>
  <si>
    <t>Marca temporal</t>
  </si>
  <si>
    <t>Dirección de correo electrónico</t>
  </si>
  <si>
    <t>Autoriza a EMCA para el tratamiento de sus Datos Personales, de acuerdo a lo establecido en la Política de seguridad de la información y protección de datos personales (PO-09).</t>
  </si>
  <si>
    <t>Nombre y Apellido (Código de Suscriptor)</t>
  </si>
  <si>
    <t>Indique el estrato socioeconómico que aparece en las facturas de los servicios públicos.</t>
  </si>
  <si>
    <t>Sector (Barrio)</t>
  </si>
  <si>
    <t>¿Cuál es su percepción de Empresas Públicas de Calarcá E.S.P (EMCA)?</t>
  </si>
  <si>
    <t>¿Cómo considera el proceso de atención de un servicio en el Punto Integrado de Atención - PIA de EMCA?</t>
  </si>
  <si>
    <t>¿Cómo considera el tiempo de solución a sus tramites y/o PQR's?</t>
  </si>
  <si>
    <t>La información que contiene la factura de EMCA es clara:</t>
  </si>
  <si>
    <t>¿En qué lugar acostumbra cancelar la factura de EMCA? :</t>
  </si>
  <si>
    <t>¿Qué opina de la calidad del agua que suministra EMCA?</t>
  </si>
  <si>
    <t>¿La presión del agua que suministra EMCA es?</t>
  </si>
  <si>
    <t>¿Está enterado sobre el manejo que EMCA da a las aguas residuales?</t>
  </si>
  <si>
    <t>Califique la calidad y cobertura del servicio de Acueducto prestado por EMCA:</t>
  </si>
  <si>
    <t>Califique la calidad y cobertura del servicio de Alcantarillado prestado por EMCA:</t>
  </si>
  <si>
    <t>Califique la calidad y cobertura del servicio de Aseo prestado por EMCA:</t>
  </si>
  <si>
    <t>Califique la calidad y cobertura del servicio de Alumbrado Público prestado por EMCA:</t>
  </si>
  <si>
    <t>Califique la calidad del servicio de arrendamiento de bienes inmuebles prestado por EMCA (Solo para arrendatarios de EMCA):</t>
  </si>
  <si>
    <t>Cual de los siguientes problemas ambientales es el que mas afecta a su sector, priorice dos según su gravedad</t>
  </si>
  <si>
    <t>Si</t>
  </si>
  <si>
    <t>Empresa en crecimiento</t>
  </si>
  <si>
    <t>Rápido</t>
  </si>
  <si>
    <t>Punto Integrado de Atención de EMCA</t>
  </si>
  <si>
    <t>Excelente</t>
  </si>
  <si>
    <t>Buena</t>
  </si>
  <si>
    <t>Bueno</t>
  </si>
  <si>
    <t>Regular</t>
  </si>
  <si>
    <t>NA</t>
  </si>
  <si>
    <t>Inadecuada disposición de residuos solidos</t>
  </si>
  <si>
    <t>Perdida de flora y fauna</t>
  </si>
  <si>
    <t>No existen problemas ambientales</t>
  </si>
  <si>
    <t>PREGUNTA</t>
  </si>
  <si>
    <t>RESPUESTA</t>
  </si>
  <si>
    <t xml:space="preserve">¿Cuál es su percepción de Empresas Públicas de
 Calarcá E.S.P (EMCA)? </t>
  </si>
  <si>
    <t>Empresa consolidada para la prestación de los servicios  públicos.</t>
  </si>
  <si>
    <t>Empresa debil para la prestación de los
servicios públicos</t>
  </si>
  <si>
    <t>NS/NR</t>
  </si>
  <si>
    <t>¿Cómo considera  el proceso de atención de un servicio en  el Punto
 Integrado de Atenciónn - PIA de EMCA?</t>
  </si>
  <si>
    <t xml:space="preserve">Adecuado </t>
  </si>
  <si>
    <t xml:space="preserve">Rapido </t>
  </si>
  <si>
    <t xml:space="preserve">Demorado </t>
  </si>
  <si>
    <t>¿Cómo considera el tiempo de solución a sus tramites
 y/o PQR's?</t>
  </si>
  <si>
    <t>La información que contiene la factura de EMCA  es clara?</t>
  </si>
  <si>
    <t xml:space="preserve">Si </t>
  </si>
  <si>
    <t xml:space="preserve">No </t>
  </si>
  <si>
    <t>¿En qué lugar acostumbra cancelar la factura de
 EMCA?    :</t>
  </si>
  <si>
    <t xml:space="preserve">Av Villas </t>
  </si>
  <si>
    <t xml:space="preserve">Bancos </t>
  </si>
  <si>
    <t>Edeq</t>
  </si>
  <si>
    <t xml:space="preserve">Facilisimo </t>
  </si>
  <si>
    <t>Pse</t>
  </si>
  <si>
    <t>Pia</t>
  </si>
  <si>
    <t>Punto Barcelona</t>
  </si>
  <si>
    <t>¿Qué opina de la calidad del agua que  suministra
 EMCA?</t>
  </si>
  <si>
    <t xml:space="preserve">Excelente </t>
  </si>
  <si>
    <t xml:space="preserve">Buena </t>
  </si>
  <si>
    <t xml:space="preserve">Regular </t>
  </si>
  <si>
    <t>¿La presión del
 agua que suministra EMCA es?</t>
  </si>
  <si>
    <t>Mala</t>
  </si>
  <si>
    <t>¿Está enterado sobre el manejo que EMCA da a las
 aguas residuales?</t>
  </si>
  <si>
    <t>Califique la calidad y cobertura del servicio de
 Acueducto prestado por EMCA:</t>
  </si>
  <si>
    <t>Califique la calidad y cobertura del servicio de
 Alcantarillado prestado por EMCA:</t>
  </si>
  <si>
    <t xml:space="preserve">Malo </t>
  </si>
  <si>
    <t>Califique la calidad y cobertura del servicio de
 Aseo prestado por EMCA:</t>
  </si>
  <si>
    <t>Califique la calidad y cobertura del servicio de 
Alumbrado Público prestado por EMCA:</t>
  </si>
  <si>
    <t>Califique la calidad del servicio de arrendamiento de
 bienes inmuebles prestado por EMCA
 (Solo para arrendatarios de EMCA):</t>
  </si>
  <si>
    <t>Vacias</t>
  </si>
  <si>
    <t>Cual de los siguientes problemas ambientales es el que mas
 afecta a su sector, priorice dos según su gravedad</t>
  </si>
  <si>
    <t>Contaminación del agua</t>
  </si>
  <si>
    <t>Contaminación del aire</t>
  </si>
  <si>
    <t>Contaminación del suelo</t>
  </si>
  <si>
    <t>ENCUESTA DE SATISFACCION PIA  2025</t>
  </si>
  <si>
    <t>PQR POR MEDIO DE RECEPCION</t>
  </si>
  <si>
    <t>Cancelación de Matricula</t>
  </si>
  <si>
    <t>No se Efectua Barrido Manual</t>
  </si>
  <si>
    <t>USUARIO SOLICITA LIMPIAR SUMIDERO DE ALCANTARILLADO DEL SECTOR</t>
  </si>
  <si>
    <t>Pago sin Aplicar</t>
  </si>
  <si>
    <t>USUARIA SOLICITA CAMBIO DE LLAVE DE PASO</t>
  </si>
  <si>
    <t>Arrendamiento de Local</t>
  </si>
  <si>
    <t>Cambio de LLave</t>
  </si>
  <si>
    <t>Disponibilidad del Servicio</t>
  </si>
  <si>
    <t>DATOS GENERALES INCORRECTOS CAMBIO DE NOMBRE</t>
  </si>
  <si>
    <t>No  atención de condiciones de seguridad o riesgo</t>
  </si>
  <si>
    <t>Daño De Antejardin Con el Compactador</t>
  </si>
  <si>
    <t>El Vehiculo Pasa Muy Rapido</t>
  </si>
  <si>
    <t>Maniobras Peligrosas Con el Compactador</t>
  </si>
  <si>
    <t>Mantenimiento de Guadual</t>
  </si>
  <si>
    <t>TOTAL</t>
  </si>
  <si>
    <t xml:space="preserve">ALUMBRADO PÚBLICO </t>
  </si>
  <si>
    <t xml:space="preserve">SERVICIOS INMOBILIARIOS </t>
  </si>
  <si>
    <t>ENERO</t>
  </si>
  <si>
    <t>QUEJAS</t>
  </si>
  <si>
    <t>FEBRERO</t>
  </si>
  <si>
    <t xml:space="preserve">TOTAL PQR'S ENERO </t>
  </si>
  <si>
    <t>CON RESPUESTA</t>
  </si>
  <si>
    <t xml:space="preserve">SIN RESPUESTA </t>
  </si>
  <si>
    <t xml:space="preserve">% DE EFECTIVIDAD </t>
  </si>
  <si>
    <t>EN TERMIMOS</t>
  </si>
  <si>
    <t>FUERA DE TERMINOS</t>
  </si>
  <si>
    <t xml:space="preserve">TOTAL PQR'S CON RESPUESTA </t>
  </si>
  <si>
    <t xml:space="preserve">A FAVOR DEL USUARIO </t>
  </si>
  <si>
    <t>A FAVOR DE LA EMPRESA</t>
  </si>
  <si>
    <t xml:space="preserve">% DE PROCEDENCIA </t>
  </si>
  <si>
    <t>PQR POR SERVICIOS PÚBLICOS</t>
  </si>
  <si>
    <t>INDICADORES MES DE ENERO 2025</t>
  </si>
  <si>
    <t>Contaminación Visual Por Cableado</t>
  </si>
  <si>
    <t>Recolección de Residuos</t>
  </si>
  <si>
    <t>Precaución Carro Recolector</t>
  </si>
  <si>
    <t>Sencibilización de Disposicion de Residuos</t>
  </si>
  <si>
    <t>INDICADORES MES DE FEBRERO  2025</t>
  </si>
  <si>
    <t>MES/AÑO</t>
  </si>
  <si>
    <t>TOTAL PQR'S FEBRERO</t>
  </si>
  <si>
    <t xml:space="preserve">PROMEDIO TIEMPO </t>
  </si>
  <si>
    <t xml:space="preserve">PROMEDIO </t>
  </si>
  <si>
    <t xml:space="preserve">ENCUESTA DE SATISFACCION PIA </t>
  </si>
  <si>
    <t>Mantenimiento de Alumbrado Público</t>
  </si>
  <si>
    <t>Reparación de Cableado</t>
  </si>
  <si>
    <t>Daño de Vivienda por Presión de Hidrante</t>
  </si>
  <si>
    <t xml:space="preserve">Deficiencia de Presión </t>
  </si>
  <si>
    <t>ABRIL</t>
  </si>
  <si>
    <t>INDICADORES MES DE MARZO  2025</t>
  </si>
  <si>
    <t>TOTAL PQR'S MARZO</t>
  </si>
  <si>
    <t>¿La atención fue acorde a su solicitud?</t>
  </si>
  <si>
    <t>¿El espacio utilizado en la atención es cómodo y adecuado?</t>
  </si>
  <si>
    <t>El servidor público se identifica antes de iniciar la atención</t>
  </si>
  <si>
    <t>El conocimiento del servidor público que lo atendió fue:</t>
  </si>
  <si>
    <t xml:space="preserve">Trato digno y respetuoso en la atención </t>
  </si>
  <si>
    <t xml:space="preserve">Bueno </t>
  </si>
  <si>
    <t>Atención Rápida y Oportuna</t>
  </si>
  <si>
    <t>CALIFICACION</t>
  </si>
  <si>
    <t xml:space="preserve">Afectación Ambiental </t>
  </si>
  <si>
    <t>Inconformidad por el trato de los funiconarios 
en el desarrollo de la actividad</t>
  </si>
  <si>
    <t xml:space="preserve">Robo de Cableado </t>
  </si>
  <si>
    <t xml:space="preserve">TOTAL PQR'S MARZO </t>
  </si>
  <si>
    <t>PQR/MES</t>
  </si>
  <si>
    <t>Reubicar Poste</t>
  </si>
  <si>
    <t>SOLICITUD REVISION DE REDES</t>
  </si>
  <si>
    <t>FUGA DE DOMICILIARIA</t>
  </si>
  <si>
    <t>Cobro Multiple y/o Acumulado</t>
  </si>
  <si>
    <t>Incumplimiento en Recoleciión de Residuos Especiales</t>
  </si>
  <si>
    <t>Queja Contra Funcionario</t>
  </si>
  <si>
    <t>Queja Por  Cambio De Horario</t>
  </si>
  <si>
    <t>INDICADORES MES DE ABRIL  2025</t>
  </si>
  <si>
    <t>TOTAL PQR'S ABRIL</t>
  </si>
  <si>
    <t>Queja Por Cambio de Horario</t>
  </si>
  <si>
    <t>MAYO</t>
  </si>
  <si>
    <t>=</t>
  </si>
  <si>
    <t>Febr-25</t>
  </si>
  <si>
    <t>Marz-25</t>
  </si>
  <si>
    <t>TOTAL PQR'S</t>
  </si>
  <si>
    <t>USUARIO SOLICITA CAMBIO DE NOMBRE EN LA FACTURA</t>
  </si>
  <si>
    <t>Solicitud de Mantenimiento</t>
  </si>
  <si>
    <t>INDICADORES MES DE MAYO  2025</t>
  </si>
  <si>
    <t>TOTAL PQR'S MAYO</t>
  </si>
  <si>
    <t>MARZO</t>
  </si>
  <si>
    <t xml:space="preserve">PERIODO </t>
  </si>
  <si>
    <t>Descuento por Predio Desocupado</t>
  </si>
  <si>
    <t>ANDRES FELIPE CAMARGO POSADA</t>
  </si>
  <si>
    <t>Reubicar Luminaria</t>
  </si>
  <si>
    <t>Perdida de Caneca</t>
  </si>
  <si>
    <t>Luminaria Robada</t>
  </si>
  <si>
    <t xml:space="preserve">Luminaria Robada </t>
  </si>
  <si>
    <t>INDICADORES MES DE JUNIO  2025</t>
  </si>
  <si>
    <t>TOTAL PQR'SJUNIO</t>
  </si>
  <si>
    <t>R</t>
  </si>
  <si>
    <t xml:space="preserve">ALUMBRADO
PÚBLICO </t>
  </si>
  <si>
    <t>SERVICIOS
 INMOBILIARIOS</t>
  </si>
  <si>
    <t>No se Efectúa Barrido  Manual</t>
  </si>
  <si>
    <t>No se Efectúa Recolección Puerta a Puerta</t>
  </si>
  <si>
    <t>Incumplimiento o negación del acuerdo de suspensión del servicio</t>
  </si>
  <si>
    <t>Mantenimiento de Luminarias</t>
  </si>
  <si>
    <t>USUARIA SOLICITA CAMBIO DE LA LLAVE DE PASO</t>
  </si>
  <si>
    <t>Clase de Uso Incorrecto (Industrial, comercial, oficial, otros)</t>
  </si>
  <si>
    <t>Inconformidad con el aforo</t>
  </si>
  <si>
    <t>Incumplimiento con Compromisos Adquiridos</t>
  </si>
  <si>
    <t>AGOSTO</t>
  </si>
  <si>
    <t>Incumplimento con los compromisos adquiridos</t>
  </si>
  <si>
    <t>pia.emca@gmail.com</t>
  </si>
  <si>
    <t>INDICADORES MES DE JULIO  2025</t>
  </si>
  <si>
    <t>Quedaron Residuos en el Recorrido</t>
  </si>
  <si>
    <t>INDICADORES MES DE AGOSTO  2025</t>
  </si>
  <si>
    <t>PRIMER TRIMESTRE</t>
  </si>
  <si>
    <t>TERCER TRIMESTRE</t>
  </si>
  <si>
    <t>USUARIO SOLICITA CAMBIO DE LA LLAVE DE PASO</t>
  </si>
  <si>
    <t xml:space="preserve">Clase de Uso Incorrecto </t>
  </si>
  <si>
    <t xml:space="preserve">Cambio de Datos Básicos </t>
  </si>
  <si>
    <t>Inconformidad con la Disposición   de Residuos</t>
  </si>
  <si>
    <t>INDICADORES MES DE SEPTIEMBRE  2025</t>
  </si>
  <si>
    <t>TOTAL PQR'SJULIO</t>
  </si>
  <si>
    <t>TOTAL PQR'S SEPTIEMBRE</t>
  </si>
  <si>
    <t>TOTAL PQR'S AGOSTO</t>
  </si>
  <si>
    <t xml:space="preserve">PRIMER TRIMESTRE </t>
  </si>
  <si>
    <t xml:space="preserve">SEGUNDO TRIMESTRE </t>
  </si>
  <si>
    <t xml:space="preserve">TERCER TRIMESTRE </t>
  </si>
  <si>
    <t xml:space="preserve">NOVIEMBRE </t>
  </si>
  <si>
    <t>SEGUNDO SEMESTRE</t>
  </si>
  <si>
    <t>TERCER SEMESTRE</t>
  </si>
  <si>
    <t>LUISA FERNANDA CASTRILLON BARBOSA</t>
  </si>
  <si>
    <t>DEIVI FLOREZ</t>
  </si>
  <si>
    <t>USUARIA REPORTA DEFICIENCIA DE PRESION YA QUE LLEGA POCA AGUA AL PREDIO</t>
  </si>
  <si>
    <t>Entrega inoportuna o no entrega de la factura</t>
  </si>
  <si>
    <t>No se Efectua Entrega de la Factura</t>
  </si>
  <si>
    <t>LUIS ALBERTO SANCHEZ PACHECO</t>
  </si>
  <si>
    <t>Daño de Fachada por Obra</t>
  </si>
  <si>
    <t>DIANA AGUIRRE</t>
  </si>
  <si>
    <t>Hundimento de Vía</t>
  </si>
  <si>
    <t>johnper1973@gmail.com</t>
  </si>
  <si>
    <t>ELIZABETH CHATE MURCIA</t>
  </si>
  <si>
    <t>PETICIONES  ACUEDUCTO 2026</t>
  </si>
  <si>
    <t>QUEJAS ACUEDUCTO 2026</t>
  </si>
  <si>
    <t>RECLAMOS  ACUEDUCTO 2026</t>
  </si>
  <si>
    <t xml:space="preserve"> PETICIONES TRATAMIENTO Y DISPOSICION FINAL RCD 2026</t>
  </si>
  <si>
    <t>TOTAL PETICIONES 2026</t>
  </si>
  <si>
    <t>TOTAL QUEJAS 2026</t>
  </si>
  <si>
    <t>TOTAL RECLAMOS 2026</t>
  </si>
  <si>
    <t>Entrega Inoportuna o no entrega de la Factura</t>
  </si>
  <si>
    <t>INDICADORES MES DE OCTUBRE  2025</t>
  </si>
  <si>
    <t>TOTAL PQR'S OCTUBRE</t>
  </si>
  <si>
    <t>TOTAL PQR'S NOVIEMBRE</t>
  </si>
  <si>
    <t>INDICADORES MES DE DICIEMBRE  2025</t>
  </si>
  <si>
    <t>TOTAL PQR'S DICIEMBRE</t>
  </si>
  <si>
    <t>INDICADORES MES DENOVIEMBRE  2025</t>
  </si>
  <si>
    <t>ESTADO DE LA  INFRAESTRUCTURA  ACUEDUCTO 2025 vs 2026</t>
  </si>
  <si>
    <t>ESTADO DE LA  INFRAESTRUCTURA ALCANTARILLADO 202 vs 2026</t>
  </si>
  <si>
    <t>PETICION</t>
  </si>
  <si>
    <t>RECLAMO</t>
  </si>
  <si>
    <t>ESTADO DE LA  INFRAESTRUCTURA ASEO 2025 vs 2026</t>
  </si>
  <si>
    <t>ESTADO DE LA  INFRAESTRUCTURA ALUMBRADO PÚBLICO 2025 vs 2026</t>
  </si>
  <si>
    <t>INDICADORES MES DE ENERO 2026</t>
  </si>
  <si>
    <t xml:space="preserve">INFORME MENSUAL DE ACTIVIDADES </t>
  </si>
  <si>
    <t xml:space="preserve">GESTIÓN COMERCIAL </t>
  </si>
  <si>
    <t>ATENCIÓN DE PQR</t>
  </si>
  <si>
    <t>Indice de PQRs</t>
  </si>
  <si>
    <t>Total PQRs</t>
  </si>
  <si>
    <t>x 100</t>
  </si>
  <si>
    <t>Total Suscriptores del Servicio</t>
  </si>
  <si>
    <t>Servicio de Acueducto</t>
  </si>
  <si>
    <t xml:space="preserve">Componente </t>
  </si>
  <si>
    <t>Total 2025</t>
  </si>
  <si>
    <t>Peticiones</t>
  </si>
  <si>
    <t>Quejas</t>
  </si>
  <si>
    <t>Reclamos</t>
  </si>
  <si>
    <t>Suscriptores</t>
  </si>
  <si>
    <t>Índice PQRs por cada 100 Suscriptores</t>
  </si>
  <si>
    <t>Servicio de Alcantarillado</t>
  </si>
  <si>
    <t>Componente</t>
  </si>
  <si>
    <t>Servicio de Aseo</t>
  </si>
  <si>
    <t xml:space="preserve">Servicio de Alumbrado Público </t>
  </si>
  <si>
    <t xml:space="preserve">Servicios Inmobiliriarios </t>
  </si>
  <si>
    <t>Total 2026</t>
  </si>
  <si>
    <t>VARIACIÓN</t>
  </si>
  <si>
    <t>Ac y Alc</t>
  </si>
  <si>
    <t>ABIERTA FUERA DE LOS TÉRMINOS</t>
  </si>
  <si>
    <t>USUARIA SOLICITA RECOLECCION DE 1 COLCHON</t>
  </si>
  <si>
    <t>Oficio Informativo</t>
  </si>
  <si>
    <t>CAMBIO DE LLAVE</t>
  </si>
  <si>
    <t>ARIEL FELIPE ARCILA ZAMBRANO</t>
  </si>
  <si>
    <t>USUARIA SOLICITA LIMPIAR SUMIDERO DE ALCANTARILLADO DEL SECTOR</t>
  </si>
  <si>
    <t>FUGA DE MEDIDOR</t>
  </si>
  <si>
    <t>Al y As</t>
  </si>
  <si>
    <t>Instalar Contenedor</t>
  </si>
  <si>
    <t>MARIA ROSA BENITEZ</t>
  </si>
  <si>
    <t>PEDRO HUMBERTO SUAREZ</t>
  </si>
  <si>
    <t>ALBERTO VEGA ARIAS</t>
  </si>
  <si>
    <t>Inconformidad con la Disposición de Residuos</t>
  </si>
  <si>
    <t>ANCIZAR ANTONIO DUQUE MONTOYA</t>
  </si>
  <si>
    <t>OLGA LUCIA ARBELAEZ</t>
  </si>
  <si>
    <t>Poda de Árbol</t>
  </si>
  <si>
    <t>JOSE DEL CARMEN PRIETO VALENCIA</t>
  </si>
  <si>
    <t>Ac y As</t>
  </si>
  <si>
    <t>USUARIO SOLICITA RECOLECCION DE MUEBLES</t>
  </si>
  <si>
    <t>Daño de Cableado</t>
  </si>
  <si>
    <t>Reparación  de Cableado</t>
  </si>
  <si>
    <t>Febr-26</t>
  </si>
  <si>
    <t>Daño en Cabledao</t>
  </si>
  <si>
    <t xml:space="preserve">AÑO </t>
  </si>
  <si>
    <t xml:space="preserve">VARIACION </t>
  </si>
  <si>
    <t>BUZON DE SUGERENCIAS 2026</t>
  </si>
  <si>
    <t>JHON ALEJANDRO MURIEL SANCHEZ</t>
  </si>
  <si>
    <t>DEFICIENCIA DE PRESION</t>
  </si>
  <si>
    <t>JAIME VALENCIA</t>
  </si>
  <si>
    <t>SUPERINTENDENCIA DE SERVICIOS PUBLICOS DOMICILIARIOS</t>
  </si>
  <si>
    <t>INGNOVARQ CONSTRUCTORA</t>
  </si>
  <si>
    <t>Clase de uso incorrecto 
(Industrial, comercial, oficial, otros)</t>
  </si>
  <si>
    <t>Inconformidad con el Cambio de Clase de Uso</t>
  </si>
  <si>
    <t>Prestamo de Infraestructura</t>
  </si>
  <si>
    <t>HUNDIMIENTO DE VIA</t>
  </si>
  <si>
    <t>Daño de Anden</t>
  </si>
  <si>
    <t>DORIS BONILLA PABON</t>
  </si>
  <si>
    <t>USUARIO REPORTA PREDIO DESOCUPADO HACE MAS DE 3 MESES</t>
  </si>
  <si>
    <t>WILSON BURGOS SILVA</t>
  </si>
  <si>
    <t>HECTOR GALINDO</t>
  </si>
  <si>
    <t>Medidores Trocados</t>
  </si>
  <si>
    <t>CARLOS ALBERTO GIRALDO</t>
  </si>
  <si>
    <t>HUGO MARIO CARVAJAL</t>
  </si>
  <si>
    <t>MARIELA CAICEDO</t>
  </si>
  <si>
    <t>USUARIA SOLICITA CAMBIO DE LLAVE DE PASO LLAMAR ANTES DE IR</t>
  </si>
  <si>
    <t>|</t>
  </si>
  <si>
    <t>Marz-26</t>
  </si>
  <si>
    <t xml:space="preserve">Daño de Anden </t>
  </si>
  <si>
    <t>Limpieza de Pozo Séptico</t>
  </si>
  <si>
    <t>INDICADORES  2026</t>
  </si>
  <si>
    <t>Inconformiad con el Cambio de Clase de Uso</t>
  </si>
  <si>
    <t>Apoyo</t>
  </si>
  <si>
    <t>Incoformidad con la Suspensión del Servicio</t>
  </si>
  <si>
    <t>USUARIO REPORTA FUGA ACOMETIDA</t>
  </si>
  <si>
    <t>USUARIO REPORTA FUGA DE MEDIDOR LLAMAR ANTES DE IR</t>
  </si>
  <si>
    <t>DATOS GENERALES INCORRECTOS CAMBIO DE NOMENCLATURA</t>
  </si>
  <si>
    <t>Instalar Macromedidor</t>
  </si>
  <si>
    <t>Cambio de Poste</t>
  </si>
  <si>
    <t>USUARIO INCONFORME POR DESVIACION SIGNIFICATIVA DE CONSUMO</t>
  </si>
  <si>
    <t>Seguimiento a Derecho de Petición</t>
  </si>
  <si>
    <t>Reubicar  Cableado</t>
  </si>
  <si>
    <t>INDICADORES MES DE FEBRERO  2026</t>
  </si>
  <si>
    <t>INDICADORES MES DE MARZO  2026</t>
  </si>
  <si>
    <t xml:space="preserve">Reubicar Cableado </t>
  </si>
  <si>
    <t>PIA</t>
  </si>
  <si>
    <t>CAJA</t>
  </si>
  <si>
    <t xml:space="preserve">DISPONIBILIDAD Y CONEXIÓN DEL SERVICIO </t>
  </si>
  <si>
    <t>DÚPLICADO DE FACTURA</t>
  </si>
  <si>
    <t>PAGOS PARCIALES</t>
  </si>
  <si>
    <t>PQR´S</t>
  </si>
  <si>
    <t>RADICACION</t>
  </si>
  <si>
    <t>MARIA ISABEL MUÑOZ</t>
  </si>
  <si>
    <t>MARIELA CARDONA</t>
  </si>
  <si>
    <t>HENRY PEÑA MEDINA</t>
  </si>
  <si>
    <t>USUARIO REPORTA DEFICIENCIA DE PRESION</t>
  </si>
  <si>
    <t>JOSE ANGEL RODRIGUEZ</t>
  </si>
  <si>
    <t>Reubicación Alcantarilla</t>
  </si>
  <si>
    <t>Punto Critico por Instalación de Contenedor</t>
  </si>
  <si>
    <t>INDICADORES MES DE ABRIL  2026</t>
  </si>
  <si>
    <t>FABIAN ANDRES RODRIGUEZ OSPINA</t>
  </si>
  <si>
    <t>USUARIA SOLICITA LIMPIA DE LOS SUMIDEROS DEL SECTOR</t>
  </si>
  <si>
    <t>jnieto@dvssas.com</t>
  </si>
  <si>
    <t>USUARIA REPORTA PREDIO DESOCUPADO HACE MAS DE 3 MESES</t>
  </si>
  <si>
    <t>GLADYS CARDONA GRANADA</t>
  </si>
  <si>
    <t>JOSE ARLES AGUDELO</t>
  </si>
  <si>
    <t>willingtonvalencia1982@gmail.com</t>
  </si>
  <si>
    <t>GRUPO EXITO</t>
  </si>
  <si>
    <t>ALBA LUCIA LOPEZ CASTAÑO</t>
  </si>
  <si>
    <t>PATRICIA LOPEZ</t>
  </si>
  <si>
    <t>YASIR ZAMORA SALAZAR</t>
  </si>
  <si>
    <t>Descuento de Recargos</t>
  </si>
  <si>
    <t>RICARDO ESTEBAN SANTA MARIA</t>
  </si>
  <si>
    <t>PREDIO DESOCUPADO</t>
  </si>
  <si>
    <t>No Instalar Cableado</t>
  </si>
  <si>
    <t xml:space="preserve">Daño de Pared por Instalación de Medidor </t>
  </si>
  <si>
    <t>Reubicación Acometida</t>
  </si>
  <si>
    <t>INDICADORES MES DE MAYO  2026</t>
  </si>
  <si>
    <t>Daño de Pared por Instalación de Medidor</t>
  </si>
  <si>
    <t xml:space="preserve">Poda de Árbol </t>
  </si>
  <si>
    <t>Cuenta de Marca temporal</t>
  </si>
  <si>
    <t>Caja</t>
  </si>
  <si>
    <t>Disponibilidad y conexión de servicios</t>
  </si>
  <si>
    <t>Duplicados y facturas</t>
  </si>
  <si>
    <t>Financiaciones</t>
  </si>
  <si>
    <t>Pagos parciales</t>
  </si>
  <si>
    <t>PQRSF</t>
  </si>
  <si>
    <t>Radicación</t>
  </si>
  <si>
    <t>Radicación de documentos</t>
  </si>
  <si>
    <t>Cancelados</t>
  </si>
  <si>
    <t>Completados</t>
  </si>
  <si>
    <t>No Presentados</t>
  </si>
  <si>
    <t xml:space="preserve">Queja </t>
  </si>
  <si>
    <t>TURNO SOLICITADOS</t>
  </si>
  <si>
    <t xml:space="preserve">CATEGORIA DEL SERVICIO </t>
  </si>
  <si>
    <t>CLASE DE SOLICITUD</t>
  </si>
  <si>
    <t>PRIORIDAD</t>
  </si>
  <si>
    <t>General</t>
  </si>
  <si>
    <t>Preferential</t>
  </si>
  <si>
    <t>SEGUNDO TRIMSTRE</t>
  </si>
  <si>
    <t>Recolección de Residuos RCD</t>
  </si>
  <si>
    <t>USUARIA REPORTA FUGA ANTES DEL MEDIDOR LLAMAR ANTES DE IR</t>
  </si>
  <si>
    <t>DIANA MARITZA SAAVEDRA LÓPEZ</t>
  </si>
  <si>
    <t>yloaiza@energymaster.co</t>
  </si>
  <si>
    <t>Tratamiento y Disposición Final RCD</t>
  </si>
  <si>
    <t>Solicitud de Visita Técnica</t>
  </si>
  <si>
    <t>LUZ ENIDT AMAYA DEVIA</t>
  </si>
  <si>
    <t>USUARIA REPORTA DEFICIENCIA DE PRESION YA QUE LLEGA MUY POCA AGUA AL PREDIO</t>
  </si>
  <si>
    <t>LEIDY VIVIANA BARAHONA</t>
  </si>
  <si>
    <t>YADIRA ATENCIA</t>
  </si>
  <si>
    <t>EIDER ALEXANDER SEGOVIA</t>
  </si>
  <si>
    <t>YIRLEY LOAIZA ANALISTA DE GESTIÓN</t>
  </si>
  <si>
    <t>LUZ ADRIANA ROJAS GONZáLEZ -ASARTECA</t>
  </si>
  <si>
    <t>SOLICITUD DUPLICADO DE FACTURA CÓDIGO 1250889</t>
  </si>
  <si>
    <t>FUGA DOMICILIARIA</t>
  </si>
  <si>
    <t>Cambio de llave</t>
  </si>
  <si>
    <t>LECTOR REPORTA FUGA EN EL MEDIDOR</t>
  </si>
  <si>
    <t>JORGE HUMBERTO GUEVARA</t>
  </si>
  <si>
    <t>MARIA ORFANELI BUITRAGO SANCHEZ</t>
  </si>
  <si>
    <t>Revisión de Transformador</t>
  </si>
  <si>
    <t>Etiquetas de columna</t>
  </si>
  <si>
    <t xml:space="preserve">Instalar Medidor </t>
  </si>
  <si>
    <t xml:space="preserve">JULIO </t>
  </si>
  <si>
    <t>Sonido del Carro Recole ctor</t>
  </si>
  <si>
    <t>X</t>
  </si>
  <si>
    <t>INDICADORES MES DE JUNIO  2026</t>
  </si>
  <si>
    <t>Prestamo de Contenedor</t>
  </si>
  <si>
    <t>Certificado de Arrendamiento</t>
  </si>
  <si>
    <t>GUSTAVO ALBERTO DUQUE ROJAS</t>
  </si>
  <si>
    <t>gustavoduque48@hotmail.com</t>
  </si>
  <si>
    <t>CRISTHIAN FELIPE VANEGAS TELLEZ</t>
  </si>
  <si>
    <t>CAMILO CERON CRISTIAN</t>
  </si>
  <si>
    <t>Negación de la solicitud de suspensión</t>
  </si>
  <si>
    <t>RINCON G MARTHA CECILIA</t>
  </si>
  <si>
    <t>INCONFORMIDAD POR DESVIACION SIGNIFICATIVA</t>
  </si>
  <si>
    <t>ARIOSTO GARCIA GARCIA</t>
  </si>
  <si>
    <t>ALEJANDRA SANABRIA SANABRIA</t>
  </si>
  <si>
    <t>sanabria.vertebra@gmail.com</t>
  </si>
  <si>
    <t>MUNICIPAL PERSONERIA</t>
  </si>
  <si>
    <t>USUARIO (A)</t>
  </si>
  <si>
    <t>DATOS GENERALES INCORRECTOS</t>
  </si>
  <si>
    <t>porasignar@gmail.com</t>
  </si>
  <si>
    <t>Habilitar Pago PSE</t>
  </si>
  <si>
    <t>CECILIA RAMIREZ HURTADO</t>
  </si>
  <si>
    <t>LUIS ALFONSO GARZON</t>
  </si>
  <si>
    <t>LILIANA RAMIREZ GIRALDO</t>
  </si>
  <si>
    <t>NATALIA FERNANDA BRICEÑO PINTO</t>
  </si>
  <si>
    <t>ALCALDIA CALARCÁ</t>
  </si>
  <si>
    <t>Levantamiento de Restricción de Cuenta</t>
  </si>
  <si>
    <t>RAMIRO GOMEZ GOMEZ</t>
  </si>
  <si>
    <t>MUÑOZ ARNOBY AGUIRRE</t>
  </si>
  <si>
    <t>LUZ ESPERANZA ARBELAEZ ATEHORTUA</t>
  </si>
  <si>
    <t>OLMED MARIN VALENCIA</t>
  </si>
  <si>
    <t>ALFONSO LÓPEZ AGUIRRE</t>
  </si>
  <si>
    <t>JHON SEBASTIÁN NIETO QUINTERO</t>
  </si>
  <si>
    <t>LEIDY LILIANA PETEVIA CRISTOBAL</t>
  </si>
  <si>
    <t>WILLINGTON VALENCIA SAMBONI</t>
  </si>
  <si>
    <t>LUZ STELLA PELAEZ MONTOYA</t>
  </si>
  <si>
    <t>LIBRADA ALARCON SANCHEZ</t>
  </si>
  <si>
    <t>LUZ LEIDY CRUZ VILLA</t>
  </si>
  <si>
    <t>GARZON CARDONA ANTONIO ANTONIO</t>
  </si>
  <si>
    <t>Cambio de Dirección Entrega de Factura</t>
  </si>
  <si>
    <t>JUAN FELIPE GONZÁLEZ ZULUAGA</t>
  </si>
  <si>
    <t>OLGA VALENCIA MARIN</t>
  </si>
  <si>
    <t>INSTITUTO COLOMBIANO DE BIENESTAR FAMILIAR</t>
  </si>
  <si>
    <t>Mantenimiento de Lote</t>
  </si>
  <si>
    <t>Mantenimiento Peventivo</t>
  </si>
  <si>
    <t>USUARIA REPORTA PREDIO DESOCUPADO POR EVACUACION DEBIDO AL TERREMOTO</t>
  </si>
  <si>
    <t>LUZ MARY RODRIGUEZ</t>
  </si>
  <si>
    <t>CRISTIAN EMILIO COLORADO</t>
  </si>
  <si>
    <t>Cuenta de CODIGO DE CAUSAL</t>
  </si>
  <si>
    <t>TOTAL PQR  AGOSTO 2026</t>
  </si>
  <si>
    <t>TOTAL PQR ACUEDUCTO AGOSTO 2026</t>
  </si>
  <si>
    <t>TOTAL PQR ALCANTARILLADO AGOSTO 2026</t>
  </si>
  <si>
    <t>TOTAL PQR ASEO AGOSTO 2026</t>
  </si>
  <si>
    <t>TOTAL PQR ALUMBRADO PÚBLICO AGOSTO 2026</t>
  </si>
  <si>
    <t>TOTAL PQR SERVICIOS INMOBILIARIOS AGOSTO 2026</t>
  </si>
  <si>
    <t>TOTAL PQR SERVICIOS COMPLEMENTARIOS AGOSTO 2026</t>
  </si>
  <si>
    <t>Quedaron Residuso en el Recorrido</t>
  </si>
  <si>
    <t>INDICADORES MES DE JULIO  2026</t>
  </si>
  <si>
    <t>GREGORIO LOPEZ 1122760</t>
  </si>
  <si>
    <t>RINCON DEL BOSQUE MZ 5 # 43</t>
  </si>
  <si>
    <t>YESSICA AMAYA 1079600</t>
  </si>
  <si>
    <t>CR 30 # 37-30 ALTOS</t>
  </si>
  <si>
    <t>LINA XIMENA NIÑO 1238396</t>
  </si>
  <si>
    <t>LL/GUARALA MZ.12 # 12</t>
  </si>
  <si>
    <t>MIRIAN DEL SOCORRO 1204780</t>
  </si>
  <si>
    <t>CL 40 # 25-21 PISO 2 AP. 2</t>
  </si>
  <si>
    <t>DANIELA ARANZASU 1231200</t>
  </si>
  <si>
    <t>GAITAN MZ R # 6</t>
  </si>
  <si>
    <t>OLIVA SALCEDO 1220260</t>
  </si>
  <si>
    <t>CR 23 # 46-81</t>
  </si>
  <si>
    <t>CARLOS OVALLE 1252903</t>
  </si>
  <si>
    <t>CR 36 # 12-107 BLOQUE A APTO 401</t>
  </si>
  <si>
    <t>JULIO OCAMPO 1178480</t>
  </si>
  <si>
    <t>CL 34 # 22-09</t>
  </si>
  <si>
    <t>JOSUE NAVARRO 1242882</t>
  </si>
  <si>
    <t>Q/CACIQUE MZ J # 6</t>
  </si>
  <si>
    <t>(Varios elementos)</t>
  </si>
  <si>
    <t>SEPTEIMBRE</t>
  </si>
  <si>
    <t>PQR-SUI-4</t>
  </si>
  <si>
    <t>3227/2026</t>
  </si>
  <si>
    <t>SOLICITUD DE CAMBIO DE NOMBRE EN LA FACTURA Y NOMENCLATURA CRA 27 # 37-31</t>
  </si>
  <si>
    <t>JULIO CESAR LOPEZ ESPINOSA</t>
  </si>
  <si>
    <t>EMCA-I-5418-2026</t>
  </si>
  <si>
    <t>PQR-SUI-6</t>
  </si>
  <si>
    <t>3228/2026</t>
  </si>
  <si>
    <t>SOLICITUD REVISIÓN DE FACTUA Y UN COBRO DE SUSPENSIÓN BARRIO VERACRUZ MZ 21 CASA 1 APTO 202</t>
  </si>
  <si>
    <t>Inconformidad con el Cobro de la Suspensióny la Reinstalación</t>
  </si>
  <si>
    <t>JAIME VILLAMIL BENITEZ</t>
  </si>
  <si>
    <t>EMCA-I-5453-2026</t>
  </si>
  <si>
    <t>PQR-I-9</t>
  </si>
  <si>
    <t>3229/2026</t>
  </si>
  <si>
    <t>SOLICITUD DE COTIZACIÓN PARA TOMA DE MUESTRAS Y MEDICIONES (LAVADERO DE VEHICULOS CIUDAD PEREIRA )</t>
  </si>
  <si>
    <t>FREDY FUQUEN Q BALANCE AMBIENTAL BIOINGENIERIA SAS</t>
  </si>
  <si>
    <t>dirtecnico@babsas.com.co</t>
  </si>
  <si>
    <t>EMCA-I-5327-2026</t>
  </si>
  <si>
    <t>PQR-SUI-1</t>
  </si>
  <si>
    <t>3230/2026</t>
  </si>
  <si>
    <t>ALONSO OJEDA</t>
  </si>
  <si>
    <t>EMCA-I-5452-2026</t>
  </si>
  <si>
    <t>PQR-SUI-18</t>
  </si>
  <si>
    <t>3231/2026</t>
  </si>
  <si>
    <t>DERECHO DE PETICIÓN - SOLICITUD TAPAR HUECO EN LA URBANIZACION BOMBEROS CASA 7 FRENTE AL ESTADIO</t>
  </si>
  <si>
    <t>BENJAMIN GONZALEZ GONZALEZ</t>
  </si>
  <si>
    <t>PQR-I-13</t>
  </si>
  <si>
    <t>3232/2026</t>
  </si>
  <si>
    <t>SOLICITUD DE COLABORACIÓN DE LIMPIEZA DE ALCANTARILLADO INDUSTRIAL - COTIZACION DEL SERVICIO DEL EQUIPO VACTOR PARA EL DESTAPONAMIENTO DE ALCANTARILLADO</t>
  </si>
  <si>
    <t>ASOCIACION DE CURTIDORES LA MARIA</t>
  </si>
  <si>
    <t>01/09/0206</t>
  </si>
  <si>
    <t>EMCA-I-5020-2026</t>
  </si>
  <si>
    <t>3233/2026</t>
  </si>
  <si>
    <t>DERECHO DE PETICIÓN - REVISION DE FACTURA Y CONSUMOS DEL INMUEBLE CRA 27 # 35-25 PISO 2</t>
  </si>
  <si>
    <t>CRISTIAN DAVID LOPERA CALDERON</t>
  </si>
  <si>
    <t>EMCA-I-5454-2026</t>
  </si>
  <si>
    <t>3234/2026</t>
  </si>
  <si>
    <t>DERECHO DE PETICIÓN - SOLICITUD REALIZAR EL DEBIDO PROCESO DE LA INSPECCIÓN TÉCNICA REVISION DE MEDIDOR POR PARTE DE LABORATORIO EN EL PREDIO BARRIO GUADUALES ETAPA 1 MZ D CASA 31 PISO 2</t>
  </si>
  <si>
    <t>DIEGO FERNANDO YEPES JIMENEZ</t>
  </si>
  <si>
    <t>EMCA-I-5465-2026</t>
  </si>
  <si>
    <t>3235/2026</t>
  </si>
  <si>
    <t>DERECHO DE PETICIÓN - OPOSICIÓN A CAMBIO DE MEDIDOR No. 2017-007598-EMC-SOLICITUD DE NULIDAD POR ERROR EN NOTIFICACIÓN Y SOLICITUD DE PRUEBAS TÉCNICAS</t>
  </si>
  <si>
    <t>JOHN FREDY FERNANDEZ MARTINEZ</t>
  </si>
  <si>
    <t>jf.fernandez@gmail.com</t>
  </si>
  <si>
    <t>EMCA-I-5473-2026</t>
  </si>
  <si>
    <t>PQR-IN-2</t>
  </si>
  <si>
    <t>3236/2026</t>
  </si>
  <si>
    <t>USUARIA SOLICITA QUE RECOJAN UN COLCHON EN LA DIRECCION VERACRUZ MZ 12 CASA 2</t>
  </si>
  <si>
    <t>DIANA JANET TORRES MARULANDA</t>
  </si>
  <si>
    <t>EMCA-I-5451-2026</t>
  </si>
  <si>
    <t>PQR-SUI-2</t>
  </si>
  <si>
    <t>3237/2026</t>
  </si>
  <si>
    <t>1151960 USUARIO REPORTA HUNDIMIENTO EN VIA Y SE VE PASAR AGUA</t>
  </si>
  <si>
    <t>JHON DEIBER BONILLA</t>
  </si>
  <si>
    <t>EMCA-I-5450-2026</t>
  </si>
  <si>
    <t>PQR-SUI-3</t>
  </si>
  <si>
    <t>3238/2026</t>
  </si>
  <si>
    <t>CLAUDIA PATRICIA VALENCIA ECHEVERRY</t>
  </si>
  <si>
    <t>EMCA-I-5459-2026</t>
  </si>
  <si>
    <t>3239/2026</t>
  </si>
  <si>
    <t>USUARIA SOLICITA AJUSTE EN LA FACTURA POR DESCUENTO DE PREDIO DESOCUPADO DE ACUERDO A LA RESPUESTA DEL RECLAMO 8063</t>
  </si>
  <si>
    <t>LUZ ADRIANA QUINTERO MONTOYA</t>
  </si>
  <si>
    <t>EMCA-I-5464-2026</t>
  </si>
  <si>
    <t>PQR-SUI-5</t>
  </si>
  <si>
    <t>3240/2026</t>
  </si>
  <si>
    <t>1082321 USUARIO REPORTA DAÑO EN LA RED DE ALCANTARILLADO</t>
  </si>
  <si>
    <t>PQR-SUI-7</t>
  </si>
  <si>
    <t>3241/2026</t>
  </si>
  <si>
    <t>USUARIO SOLICITA AJUSTE EN LA FACTURA YA QUE POR ERROR EN LA ORDEN DEL TRABAJO SE COBRO 5 METROS DE TUBERIA Y SE INSTALO 30 CM</t>
  </si>
  <si>
    <t>ABEL SAIS GARZON</t>
  </si>
  <si>
    <t>EMCA-I-5470-2026</t>
  </si>
  <si>
    <t>PQR-SUI-8</t>
  </si>
  <si>
    <t>3242/2026</t>
  </si>
  <si>
    <t>USUARIA SOLICTA CAMBIO DE LLAVE DE PASO LLAMAR ANTES DE IR</t>
  </si>
  <si>
    <t>ACOSTA DONNELIA BORJA</t>
  </si>
  <si>
    <t>EMCA-I-5449-2026</t>
  </si>
  <si>
    <t>PQR-SUI-9</t>
  </si>
  <si>
    <t>3243/2026</t>
  </si>
  <si>
    <t>PQR-IN-6</t>
  </si>
  <si>
    <t>3244/2026</t>
  </si>
  <si>
    <t>1155900 USUARIO SOLICITA LE RECOJAN 3 COLCHONES Y 3 MUEBLES</t>
  </si>
  <si>
    <t>GERMAN EMILIO VANEGAS</t>
  </si>
  <si>
    <t>EMCA-I-5447-2026</t>
  </si>
  <si>
    <t>PQR-IN-14</t>
  </si>
  <si>
    <t>3245/2026</t>
  </si>
  <si>
    <t>O-JA-0008-2026 SEGUNDO DERECHO PETICIÓN -SOLICITUD DE CUMPLIMIENTO DE LOS COMPROMISOS ADQUIRIDOS Y EJECUCIÓN DEL PROBLEMA DEL ALCANTARILLADO DE LA MZ 22 BARRIO LLANITOS PILOTO</t>
  </si>
  <si>
    <t>PQR-SUI-10</t>
  </si>
  <si>
    <t>3246/2026</t>
  </si>
  <si>
    <t>ALBA DELIS OLARTE GUZMAN</t>
  </si>
  <si>
    <t>PQR-IN-12</t>
  </si>
  <si>
    <t>3247/2026</t>
  </si>
  <si>
    <t>SOLICITUD DE COTIZACIÓN DE CARACTERIZACIÓN CONSULTORIO ODONTOLOGICO DRA TATIANA SAA</t>
  </si>
  <si>
    <t>TATIANA MARIA SAA BLANCO</t>
  </si>
  <si>
    <t>EMCA-I-5384-2026</t>
  </si>
  <si>
    <t>PQR-SUI-20</t>
  </si>
  <si>
    <t>3248/2026</t>
  </si>
  <si>
    <t>GESTION PARA SUBSANAR DE LA SECRETARIA DE SALUD EN EL ALOJAMIENTO TEMPORAL COLISEO DEL SUR LIMPIEZA DE POZO SEPTICO</t>
  </si>
  <si>
    <t>asuntosadministrativos@calarca-quindio.gov.co</t>
  </si>
  <si>
    <t>PQR-SUI-27</t>
  </si>
  <si>
    <t>3249/2026</t>
  </si>
  <si>
    <t>DERECHO DE PETICIÓN NUEVAMENTE SE REALIZA LA PRESENTACIÓN DE LOS HECHOS OCURRIDOS POR VERTIMIENTOS AL SISTEMA DE ALCANTARILLADO</t>
  </si>
  <si>
    <t>PQR-IN-7</t>
  </si>
  <si>
    <t>3250/2026</t>
  </si>
  <si>
    <t>USUARIA SOLICITA QUE RECOJAN UNAS GUADUAS UNAS TEJAS DE BARRO EN LA DIRECCION CL 31 # 25-42</t>
  </si>
  <si>
    <t>BLANCA RUBY ROA PULIDO</t>
  </si>
  <si>
    <t>EMCA-I-5481-2026</t>
  </si>
  <si>
    <t>PQR-SUI-11</t>
  </si>
  <si>
    <t>3251/2026</t>
  </si>
  <si>
    <t>USUARIA REPORTA DEFICIENCIA DE PRESION YA QUE AL PREDIO SE LE FUE LA PRESION DEL AGUA</t>
  </si>
  <si>
    <t>LUZ DARY CABALLERO</t>
  </si>
  <si>
    <t>EMCA-I-5482-2026</t>
  </si>
  <si>
    <t>PQR-SUI-12</t>
  </si>
  <si>
    <t>3252/2026</t>
  </si>
  <si>
    <t>ANTONIO DE JESUS ESCOBAR FERNANDEZ</t>
  </si>
  <si>
    <t>EMCA-I-5483-2026</t>
  </si>
  <si>
    <t>PQR-SUI-13</t>
  </si>
  <si>
    <t>3253/2026</t>
  </si>
  <si>
    <t>USUARIO REPORTA INCONFORMIDAD CON EL CONSUMO DEL MES DE AGOSTO YA QUE SE INCREMENTO BASTANTE EL CONSUMO LLAMAR ANTES DE IR</t>
  </si>
  <si>
    <t>JUAN ANDRES OLAYA VANEGAS</t>
  </si>
  <si>
    <t>EMCA-I-5492-2026</t>
  </si>
  <si>
    <t>PQR-SUI-14</t>
  </si>
  <si>
    <t>3254/2026</t>
  </si>
  <si>
    <t>vanegastelcristhian@miugca.edu.co</t>
  </si>
  <si>
    <t>EMCA-I-5471-2026</t>
  </si>
  <si>
    <t>PQR-SUI-15</t>
  </si>
  <si>
    <t>3255/2026</t>
  </si>
  <si>
    <t>G. DUVAN SANCHEZ</t>
  </si>
  <si>
    <t>EMCA-I-5458-2026</t>
  </si>
  <si>
    <t>PQR-IN-11</t>
  </si>
  <si>
    <t>3256/2026</t>
  </si>
  <si>
    <t>USUARIA REPORTA LUMINARIA APAGADA FRENTE A LA CARRERA 21 # 36 - 18</t>
  </si>
  <si>
    <t>IVON OSMA</t>
  </si>
  <si>
    <t>PQR-SUI-16</t>
  </si>
  <si>
    <t>3257/2026</t>
  </si>
  <si>
    <t>NATALIA GOMEZ MARTINEZ</t>
  </si>
  <si>
    <t>PQR-SUI-17</t>
  </si>
  <si>
    <t>3258/2026</t>
  </si>
  <si>
    <t>ALEXANDER GUEVARA LONDOÑO</t>
  </si>
  <si>
    <t>EMCA-I-5472-2026</t>
  </si>
  <si>
    <t>3259/2026</t>
  </si>
  <si>
    <t>PRESUNTO ROBO DE AGUA EN LA CRA 27 A # 30B-79</t>
  </si>
  <si>
    <t>EMCA-I-5484-2026</t>
  </si>
  <si>
    <t>PQR-SUI-29</t>
  </si>
  <si>
    <t>3260/2026</t>
  </si>
  <si>
    <t>SOLICITUD DE SUSPENSIÓN TEMPORAL DE COBROS POR SEVICIOS DE ASEO,ACUEDUCTO Y ALCANTARILLADO DEL PREDIO EDIFICIO SAN JOSE CRA 23 # 38-55</t>
  </si>
  <si>
    <t>EDIFICIO SAN JOSE CALARCA</t>
  </si>
  <si>
    <t>EMCA-I-5515-2026</t>
  </si>
  <si>
    <t>PQR-SUI-23</t>
  </si>
  <si>
    <t>3261/2026</t>
  </si>
  <si>
    <t>SOLICITUD EMPALME DE RED DE ALCANTARILLADO BARRIO VALENCIA CRA 27A # 30A-284</t>
  </si>
  <si>
    <t>STELLA AMERICA APRAEZ OVIEDO</t>
  </si>
  <si>
    <t>EMCA-I-5488-2026</t>
  </si>
  <si>
    <t>PQR-SUI-24</t>
  </si>
  <si>
    <t>3262/2026</t>
  </si>
  <si>
    <t>SOLICITUD DE REPARACIÓN DE ALCANTARILLADO CALLE 40A No. 31B - 20</t>
  </si>
  <si>
    <t>JOSE ALDEMAR PAZ CASTAÑO</t>
  </si>
  <si>
    <t>PQR-IN-15</t>
  </si>
  <si>
    <t>3263/2026</t>
  </si>
  <si>
    <t>SOLICITUD ARRENDAMIENTO DE LOCALES COMERCIALES - PLAZA DE MERCADO</t>
  </si>
  <si>
    <t>TORRES MARTINEZ ANA ODILIA</t>
  </si>
  <si>
    <t>EMCA-I-5487-2026</t>
  </si>
  <si>
    <t>PQR-SUI-25</t>
  </si>
  <si>
    <t>3264/2026</t>
  </si>
  <si>
    <t>LINA CARMENZA MENESES</t>
  </si>
  <si>
    <t>EMCA-I-5500-2026</t>
  </si>
  <si>
    <t>PQR-SUI-26</t>
  </si>
  <si>
    <t>3265/2026</t>
  </si>
  <si>
    <t>USUARIO REPORTA PREDIO DESOCUPADO DIRECCION DE NOTIFICACION BALCONES DE LA VILLA MZ 8 CASA 13</t>
  </si>
  <si>
    <t>JOSE RUBIEL HENAO VARGAS</t>
  </si>
  <si>
    <t>EMCA-I-5499-2026</t>
  </si>
  <si>
    <t>PQR-SUI-28</t>
  </si>
  <si>
    <t>3266/2026</t>
  </si>
  <si>
    <t>SOLICITUD REVISION PREVENTIVA DE TUBERIA DE ALCANTARILLADO - CRA 18 ENTRE CALLES 38 Y 37</t>
  </si>
  <si>
    <t>ACCION COMUNAL JUNTA</t>
  </si>
  <si>
    <t>PQR-IN-16</t>
  </si>
  <si>
    <t>3267/2026</t>
  </si>
  <si>
    <t>SOLICITUD DE COTIZACIÓN ANÁLISIS DE MUESTRAS DE VERTIMIENTOS - CONDOMINIO EL BOSQUE</t>
  </si>
  <si>
    <t>CONDOMINIO EL BOSQUE</t>
  </si>
  <si>
    <t>ccelbosque2025@gmail.com</t>
  </si>
  <si>
    <t>EMCA-I-5328-2026</t>
  </si>
  <si>
    <t>PQR-SUI-3}0</t>
  </si>
  <si>
    <t>3268/2026</t>
  </si>
  <si>
    <t>USUARIO REPORTA PREDIO DESOCUPADO DIRECCION DE CORRESPONDECIA CR 22 # 37-47</t>
  </si>
  <si>
    <t>DALADIER CABALLERO JOSE</t>
  </si>
  <si>
    <t>EMCA-I-5498-2026</t>
  </si>
  <si>
    <t>PQR-SUI-31</t>
  </si>
  <si>
    <t>3269/2026</t>
  </si>
  <si>
    <t>USUARIO SOLICITA REVISION DE REDES DE ACUEDUCTO YA QUE NO TIENE AGUA Y NO ESTA SUSPENDIDO LLAMAR ANTES DE IR</t>
  </si>
  <si>
    <t>JUAN PABLO SANTAMARIA MORALES</t>
  </si>
  <si>
    <t>EMCA-I-5486-2026</t>
  </si>
  <si>
    <t>PQR-SUI-32</t>
  </si>
  <si>
    <t>3270/2026</t>
  </si>
  <si>
    <t>USUARIO REPORTA PREDIO DESOCUPADO POR EVACUACION</t>
  </si>
  <si>
    <t>ALBERTO GIRALDO ABEL</t>
  </si>
  <si>
    <t>EMCA-I-5508-2026</t>
  </si>
  <si>
    <t>PQR-SUI-33</t>
  </si>
  <si>
    <t>3271/2026</t>
  </si>
  <si>
    <t>USUARIO REPORTA PREDIO DESOCUPADO POR DEMOLICION</t>
  </si>
  <si>
    <t>ALVARO VALENCIA</t>
  </si>
  <si>
    <t>PQR-SUI-34</t>
  </si>
  <si>
    <t>3272/2026</t>
  </si>
  <si>
    <t>MARIA ACENETH OCAMPO MARIN</t>
  </si>
  <si>
    <t>EMCA-I-5522-2026</t>
  </si>
  <si>
    <t>PQR-IN-17</t>
  </si>
  <si>
    <t>3273/2026</t>
  </si>
  <si>
    <t>SOLICITUD DE REMOCION Y RECOLECCION DE MUEBLES</t>
  </si>
  <si>
    <t>MARTHA PATRICIA GALINDO GALINDO</t>
  </si>
  <si>
    <t>EMCA-I-5521-2026</t>
  </si>
  <si>
    <t>PQR-IN-18</t>
  </si>
  <si>
    <t>3274/2026</t>
  </si>
  <si>
    <t>1241504 USUARIO REPORTA QUE EL PREDIO QUEDA DESOCUPADO YA QUE SALE DE VIAJE</t>
  </si>
  <si>
    <t>FERNANDO ALZATE</t>
  </si>
  <si>
    <t>PQR-SUI-35</t>
  </si>
  <si>
    <t>3275/2026</t>
  </si>
  <si>
    <t>AJUSTE DE ACUERDO CON LA RESPUESTA EMCA-I-4784-2026</t>
  </si>
  <si>
    <t>PQR-IN-19</t>
  </si>
  <si>
    <t>3276/2026</t>
  </si>
  <si>
    <t>SOLICITUD DE RECOLECCIÓN DE ESCOMBROS CRA 23 No. 38-55 - EDIFICIO SAN JOSE</t>
  </si>
  <si>
    <t>MARIA CECILIA MURILLO TORRES</t>
  </si>
  <si>
    <t>EMCA-I-5520-2026</t>
  </si>
  <si>
    <t>PQR-SUI-37</t>
  </si>
  <si>
    <t>3277/2026</t>
  </si>
  <si>
    <t>SOLICITUD DE REVISIÓN DE CONSUMO Y FACTURACIÓN EL SERVICIO DE ACUEDUCTO</t>
  </si>
  <si>
    <t>LILIANA TORRES</t>
  </si>
  <si>
    <t>EMCA-I-5523-2026</t>
  </si>
  <si>
    <t>PQR-SUI-38</t>
  </si>
  <si>
    <t>3278/2026</t>
  </si>
  <si>
    <t>EMCA-I-5519-2026</t>
  </si>
  <si>
    <t>PQR-SUI-40</t>
  </si>
  <si>
    <t>3279/2026</t>
  </si>
  <si>
    <t>IVON JOHANA LOAIZA</t>
  </si>
  <si>
    <t>EMCA-I-5533-2026</t>
  </si>
  <si>
    <t>PQR-IN-20</t>
  </si>
  <si>
    <t>3280/2026</t>
  </si>
  <si>
    <t>SOLICITUD DE RECOLECCIÓN DE ESCOMBROS CALLE 40 No. 27-26 EDIFICIO LOS CORALES</t>
  </si>
  <si>
    <t>DIEGO FERNANDO GUEVARA</t>
  </si>
  <si>
    <t>EMCA-I-5540-2026</t>
  </si>
  <si>
    <t>PQR-SUI-42</t>
  </si>
  <si>
    <t>3281/2026</t>
  </si>
  <si>
    <t>USUARIA REPORTA FUGA DE DOMICILIARIA YA QUE SE ESTA FILTRANDO MUCHA AGUA POR EL ANDEN LLAMAR ANTES DE IR</t>
  </si>
  <si>
    <t>LUZ MARINA RODRIGUEZ BETANCUR</t>
  </si>
  <si>
    <t>EMCA-I-5532-2026</t>
  </si>
  <si>
    <t>PQR-SUI-43</t>
  </si>
  <si>
    <t>3282/2026</t>
  </si>
  <si>
    <t>USUARIA SOLICITA SE RECOJAN LOS ESCOMBROS QUE LE DEJARON CUANDO SE CAMBIO EL MEDIDOR</t>
  </si>
  <si>
    <t>EMCA-I-5531-2026</t>
  </si>
  <si>
    <t>PQR-SUI-44</t>
  </si>
  <si>
    <t>3283/2026</t>
  </si>
  <si>
    <t>VANESSA ALEXANDRA RODRIGUEZ SANCHEZ</t>
  </si>
  <si>
    <t>EMCA-I-5601-2026</t>
  </si>
  <si>
    <t>PQR-SUI-45</t>
  </si>
  <si>
    <t>3284/2026</t>
  </si>
  <si>
    <t>SOLICITUD DE CONEXIÓN TEMPORAL DE SERVICIO DEL ACUEDUCTO Y ALCANTARILLADO Y ASEO BARRIO VERACRUZ MZ 7 CASA 15 PISO 2</t>
  </si>
  <si>
    <t>diana.saavedra404@correo.policia.gov.co</t>
  </si>
  <si>
    <t>EMCA-I-5319-2026</t>
  </si>
  <si>
    <t>PQR-SUI-46</t>
  </si>
  <si>
    <t>3285/2026</t>
  </si>
  <si>
    <t>LUZ ESTELA CARDONA MEJIA</t>
  </si>
  <si>
    <t>PQR-IN-21</t>
  </si>
  <si>
    <t>3286/2026</t>
  </si>
  <si>
    <t>SOLICITUD DE CONEXIÓN TEMPORAL DE SERVICIO DEL ACUEDUCTO Y ALCANTARILLADO Y ASEO BARRIO GAITAN MZ M CASA 8 PISO 2</t>
  </si>
  <si>
    <t>SUAREZ WILLIAM ALVAREZ</t>
  </si>
  <si>
    <t>EMCA-I-5590-2026</t>
  </si>
  <si>
    <t>PQR-SUI-48</t>
  </si>
  <si>
    <t>3287/2026</t>
  </si>
  <si>
    <t>RECURSO DE REPOSICIÓN A RESPUESTA DEL DERECHO DE PETICIÓN EMCA-E-2658-2026</t>
  </si>
  <si>
    <t>CALZADO BATA</t>
  </si>
  <si>
    <t>paolaaguirrego9@gmail.com</t>
  </si>
  <si>
    <t>EMCA-I-5588-2026</t>
  </si>
  <si>
    <t>PQR-SUI-47</t>
  </si>
  <si>
    <t>3288/2026</t>
  </si>
  <si>
    <t>EMCA-I-5602-2026</t>
  </si>
  <si>
    <t>PQR-IN-22</t>
  </si>
  <si>
    <t>3289/2026</t>
  </si>
  <si>
    <t>RECOLECCION ESPECIAL USUARIO SOLICITA LE RECOJAN 2 MUEBLES 1 COLCHON Y UN CORRAÑL DE MADERA</t>
  </si>
  <si>
    <t>BERNARDO BETANCURT</t>
  </si>
  <si>
    <t>EMCA-I-5514-2026</t>
  </si>
  <si>
    <t>PQR-SUI-49</t>
  </si>
  <si>
    <t>3290/2026</t>
  </si>
  <si>
    <t>SOLICITUD DE REVISIÓN CON GEOFONO CRA 21 No. 43-39</t>
  </si>
  <si>
    <t>JHON JAIRO HENAO</t>
  </si>
  <si>
    <t>EMCA-I-5587-2026</t>
  </si>
  <si>
    <t>PQR-SUI-50</t>
  </si>
  <si>
    <t>3291/2026</t>
  </si>
  <si>
    <t>DERECHO DE PETICIÓN - SOLICITUD DE REVISIÓN DE CONSUMO, INVESTIGACIÓN DE DESVIACIÓN SIGNIFICATIVA Y RELIQUIDACIÓN DE FACTURA CON CODIGO DE USUARIO 1047847</t>
  </si>
  <si>
    <t>GISSELLE CASTRILLON GIL</t>
  </si>
  <si>
    <t>EMCA-I-5589-2026</t>
  </si>
  <si>
    <t>PQR-SUI-51</t>
  </si>
  <si>
    <t>3292/2026</t>
  </si>
  <si>
    <t>STEVEN ALEJANDRO PEÑA ZAPATA</t>
  </si>
  <si>
    <t>EMCA-I-5539-2026</t>
  </si>
  <si>
    <t>3293/2026</t>
  </si>
  <si>
    <t>PQR-SUI-52</t>
  </si>
  <si>
    <t>3294/2026</t>
  </si>
  <si>
    <t>EMCA-I-5600-2026</t>
  </si>
  <si>
    <t>PQR-SUI-53</t>
  </si>
  <si>
    <t>3295/2026</t>
  </si>
  <si>
    <t>DERECHO DE PETICION CONTAMINACION AMBIENTAL - CARRERA 28 # 46-110</t>
  </si>
  <si>
    <t>JOHN SILVIO GUEVARA PINILLA</t>
  </si>
  <si>
    <t>EMCA-I-5530-2026</t>
  </si>
  <si>
    <t>PQR-SUI-54</t>
  </si>
  <si>
    <t>3296/2026</t>
  </si>
  <si>
    <t>DERECHO DE PETICIÓN -INCONFORMIDAD POR EL ALTO CONSUMO DE LA FACTURA DEL PREDIO CON CODIGO 1239630</t>
  </si>
  <si>
    <t>DANIELA ALEJANDRA RIOS SALGADO</t>
  </si>
  <si>
    <t>EMCA-I-5599-2026</t>
  </si>
  <si>
    <t>PQR-SUI-55</t>
  </si>
  <si>
    <t>3297/2026</t>
  </si>
  <si>
    <t>DIANA LUCIA VALLEJO LOPEZ</t>
  </si>
  <si>
    <t>EMCA-I-5585-2026</t>
  </si>
  <si>
    <t>PQR-IN-23</t>
  </si>
  <si>
    <t>3298/2026</t>
  </si>
  <si>
    <t>DERECHO DE PETICION - SOLICITUD INTERVENCION DE ALUMBRADO PUBLICO PREDIO UBICADO EN BARCELONA B- CONGAL 1 TRANSVERSAL 8B- 508</t>
  </si>
  <si>
    <t>EDGAR CALDERON GALLEGO</t>
  </si>
  <si>
    <t>EMCA-I-5529-2026</t>
  </si>
  <si>
    <t>PQR-IN-24</t>
  </si>
  <si>
    <t>3299/2026</t>
  </si>
  <si>
    <t>SOLICITUD APOYO JORNADA DE RECOLECCION DE ESCOMBROS CONJUNTO CABO MARIPOSA</t>
  </si>
  <si>
    <t>YAZMIN SANTOYO</t>
  </si>
  <si>
    <t>EMCA-I-5528-2026</t>
  </si>
  <si>
    <t>PQR-IN-25</t>
  </si>
  <si>
    <t>3300/2026</t>
  </si>
  <si>
    <t>USUARIO SOLICITA RECOLECCION DE 1 CAMA</t>
  </si>
  <si>
    <t>JESSICA CARDONA</t>
  </si>
  <si>
    <t>EMCA-I-5527-2026</t>
  </si>
  <si>
    <t>PQR-IN-26</t>
  </si>
  <si>
    <t>3301/2026</t>
  </si>
  <si>
    <t>SOLICITUD DE RECOLECCION DE RESIDUOS ESPECIALES - URBANIZACION LAS VILLAS CASA # 5 PISO 1</t>
  </si>
  <si>
    <t>CLARA MORALES</t>
  </si>
  <si>
    <t>EMCA-I-5525-2026</t>
  </si>
  <si>
    <t>PQR-SUI-56</t>
  </si>
  <si>
    <t>3302/2026</t>
  </si>
  <si>
    <t>USUARIA SOLITA AJUSTE EN LA FACTURA YA QUE POR ERROR CANCELO LA FACTURA CON CODIGO 1254398 POR UN VALOR DE 42.863 Y EL PAGO SE DEBE APLICARSE AL CODIGO 1254397</t>
  </si>
  <si>
    <t>DANIELA VARGAS CASTAÑEDA</t>
  </si>
  <si>
    <t>EMCA-I-5640-2026</t>
  </si>
  <si>
    <t>PQR-SUI-57</t>
  </si>
  <si>
    <t>3303/2026</t>
  </si>
  <si>
    <t>DERECHO DE PETICION SOLICITUD DE VISITA - POR DAÑO OCASIONADO AL MOMENTO DE LA LECTURA EN EL PREDIO B- MANANTIAL MZ L # 10</t>
  </si>
  <si>
    <t>OSCAR ARIZA</t>
  </si>
  <si>
    <t>PQR-IN-28</t>
  </si>
  <si>
    <t>3304/2026</t>
  </si>
  <si>
    <t>USUARIA SOLICITA RECOLECCION DE 1 COLCHON Y 1 SOFA</t>
  </si>
  <si>
    <t>V. MARIELA LOPEZ DE</t>
  </si>
  <si>
    <t>EMCA-I-5526-2026</t>
  </si>
  <si>
    <t>PQR-IN-27</t>
  </si>
  <si>
    <t>3305/2026</t>
  </si>
  <si>
    <t>DERECHO DE PETICIÓN -SOLICITUD SENSIBILIZACION - ASEO Y AVISO PROHIBIDO ARROJAR BASURAS CRA 27A # 24-28 PISO 2</t>
  </si>
  <si>
    <t>Aviso Prfohibio Arrojar Basura</t>
  </si>
  <si>
    <t>EMCA-I-5612-2026</t>
  </si>
  <si>
    <t>PQR-IN-29</t>
  </si>
  <si>
    <t>3306/2026</t>
  </si>
  <si>
    <t>DERECHOS DE PETICION - INCONFORMIDAD MALA PRACTICA AMBIENTAL DE AGUA LIMPIA EN ACTIVIDADES INDUSTRIALES</t>
  </si>
  <si>
    <t>Infracción Redes de Alcantarillado</t>
  </si>
  <si>
    <t>EMCA-I-5534-2026</t>
  </si>
  <si>
    <t>PQR-SUI-58</t>
  </si>
  <si>
    <t>3307/2026</t>
  </si>
  <si>
    <t>SE DEBE EALIZAR AJSUTE A LA FADCTURA PRO 6 METROS DE ACUERDO A LA RESPUESTA EMCA-2897</t>
  </si>
  <si>
    <t>MONTOYA JOSE A.</t>
  </si>
  <si>
    <t>PQR-IN-30</t>
  </si>
  <si>
    <t>3308/2026</t>
  </si>
  <si>
    <t>DERECHO DE PETICIÓN -SOLICITUD RECOLECCION DE ESCOMBROS B- LLANITOS GUARALA MZ 33 # 20</t>
  </si>
  <si>
    <t>ANGIE MARCELA SUAREZ CRUZ</t>
  </si>
  <si>
    <t>EMCA-I-5611-2026</t>
  </si>
  <si>
    <t>PQR-IN-31</t>
  </si>
  <si>
    <t>3309/2026</t>
  </si>
  <si>
    <t>DERECHO DE PETICIÓN -SOLICITUD RECOLECCION DE RESIDUOS ESPECIALES INSTITUCION EDUCATIVA RAFAEL URIBE URIBE</t>
  </si>
  <si>
    <t>ROSA JUDITH PEREZ YUCUMA</t>
  </si>
  <si>
    <t>EMCA-I-5538-2026</t>
  </si>
  <si>
    <t>PQR-IN-32</t>
  </si>
  <si>
    <t>3310/2026</t>
  </si>
  <si>
    <t>SOLICITUD CONEXION DE SERVICIOS CRA 22 # 32-43 PARQUEADERO</t>
  </si>
  <si>
    <t>zamoraalfonso07@gmail.com</t>
  </si>
  <si>
    <t>EMCA-I-5317-2026</t>
  </si>
  <si>
    <t>PQR-SUI-59</t>
  </si>
  <si>
    <t>3311/2026</t>
  </si>
  <si>
    <t>USUARIA REPORTA PREDIO DESOCUPADO POR MOTIVOS DE VIAJE</t>
  </si>
  <si>
    <t>CIELO JANETH GUEVARA FORERO</t>
  </si>
  <si>
    <t>EMCA-I-5598-2026</t>
  </si>
  <si>
    <t>PQR-IN-33</t>
  </si>
  <si>
    <t>3312/2026</t>
  </si>
  <si>
    <t>SOLICITUD DE CERTIFICACION DE CONEXION AL SISTEMA DE ALCANTARILLADO PUBLICO Y CONCEPTO SOBRE PERMISO DE VERTIMIENTO EN EL PREDIO CALLE 36 # 24-42</t>
  </si>
  <si>
    <t>ISABEL CRISTINA ARBELAEZ DUQUE</t>
  </si>
  <si>
    <t>PQR-IN-34</t>
  </si>
  <si>
    <t>3313/2026</t>
  </si>
  <si>
    <t>ENTREGA DE LOCAL COMERCIAL No 2727</t>
  </si>
  <si>
    <t>Entrega de Local</t>
  </si>
  <si>
    <t>MURCIAELIZABETH07@GMAIL.COM</t>
  </si>
  <si>
    <t>EMCA-I-5535-2026</t>
  </si>
  <si>
    <t>3314/2026</t>
  </si>
  <si>
    <t>SOLICITUD DE APOYO CON PERSONAL OPERATIVO DAÑO RED HIDROSANITARIO INSTITUCION EDUCATIVA RURAL SAN RAFAEL</t>
  </si>
  <si>
    <t>TALLIN SAMANTA GIRALDO GOMEZ</t>
  </si>
  <si>
    <t>samantagiraldo1@gmail.com</t>
  </si>
  <si>
    <t>PQR-SUI-60</t>
  </si>
  <si>
    <t>3315/2026</t>
  </si>
  <si>
    <t>MIGUEL VILLAMIL LEYTON</t>
  </si>
  <si>
    <t>PQR-SUI-61</t>
  </si>
  <si>
    <t>3316/2026</t>
  </si>
  <si>
    <t>1061740 USUARIO REPORTA FUGA EN EL MEDIDOR</t>
  </si>
  <si>
    <t>JOHN JAIRO PÉREZ</t>
  </si>
  <si>
    <t>PQR-SUI-62</t>
  </si>
  <si>
    <t>3317/2026</t>
  </si>
  <si>
    <t>USUARIA REPORTA FUGA EN LA RED PRINCIPAL YA QUE DICE QUE ES LA MANGUERA GRUESA QUE PASA POR TODA LA PEATONAL</t>
  </si>
  <si>
    <t>ESTEFANYA JIMENEZ</t>
  </si>
  <si>
    <t>PQR-IN-36</t>
  </si>
  <si>
    <t>3318/2026</t>
  </si>
  <si>
    <t>RECOLECCION ESPECIAL USUARIO SOLICITA LE RECOJAN 3 COLCHONES QUE TIENE PARA VOTAR</t>
  </si>
  <si>
    <t>EMCA-I-5608-2026</t>
  </si>
  <si>
    <t>PQR-SUI-63</t>
  </si>
  <si>
    <t>3319/2026</t>
  </si>
  <si>
    <t>RECURSO DE REPOSICIÓN Y EN SUBSIDIO DE APELACION IMPUGNACIÓN POR REINCIDENCIA DE COBRO DE RECONEXIÓN EN LA NUEVA FACTURA Y AUSENCIA DE CANALES DIGITALES DE CONSULTA CODIGO - 1253498</t>
  </si>
  <si>
    <t>LINA VANESA ROCHA GAMBOA</t>
  </si>
  <si>
    <t>rochalina1@hotmail.com</t>
  </si>
  <si>
    <t>EMCA-I-5617-2026</t>
  </si>
  <si>
    <t>PQR-SUI-64</t>
  </si>
  <si>
    <t>3320/2026</t>
  </si>
  <si>
    <t>SUARIA SOLICITA CAMBIO DE LA LLAVE DE PASO</t>
  </si>
  <si>
    <t>YOMALY MORENO</t>
  </si>
  <si>
    <t>PQR-IN-37</t>
  </si>
  <si>
    <t>3321/2026</t>
  </si>
  <si>
    <t>DERECHO DE PETICIÓN - SOLICITUD DE VISITA DE INSPECCIÓN A ESTABLECIMIENTO COMERCIAL POR DISPOSICIÓN INADECUADA DE RESIDUOS DE GRASA Y SEDIMENTOS EN EL SISTEMA DE ALCANTARILLADO</t>
  </si>
  <si>
    <t>Inadecuada Disposición de Residuos de Gras</t>
  </si>
  <si>
    <t>EMCA-I-5610-2026</t>
  </si>
  <si>
    <t>PQR-SUI-65</t>
  </si>
  <si>
    <t>3322/2026</t>
  </si>
  <si>
    <t>USUARIA SOLICITA CAMBIO DE LLAVE DE PASO ( URGENTE FUGA INTERNA EN EL BAÑO) LLAMAR ANTES DE IR</t>
  </si>
  <si>
    <t>CRISTINA MARIN ISABEL</t>
  </si>
  <si>
    <t>EMCA-I-5609-2026</t>
  </si>
  <si>
    <t>PQR-SUI-66</t>
  </si>
  <si>
    <t>3323/2026</t>
  </si>
  <si>
    <t>20268304413231 - REQUIERE AL PRESTADOR RADICADO No. 20265293968332 - REF EMCA-PQRS-2843-2026</t>
  </si>
  <si>
    <t>sspd@superservicios.gov.co</t>
  </si>
  <si>
    <t>EMCA-I-5326-2026</t>
  </si>
  <si>
    <t>PQR-IN-38</t>
  </si>
  <si>
    <t>3324/2026</t>
  </si>
  <si>
    <t>SOLICITUD DUPLICADO DE FACTURAS CON CÓDIGOS 1045240-1200020-1071720-1071920-1254280-1250889</t>
  </si>
  <si>
    <t>PQR-IN-39</t>
  </si>
  <si>
    <t>3325/2026</t>
  </si>
  <si>
    <t>SOLICITUD DE CERTIFICADO DE ARRENDAMIENTO LOCAL COMERCIAL 217 - PLAZA DE MERCADO</t>
  </si>
  <si>
    <t>GLORIA PIEDAD ARBELAEZ SANCHEZ</t>
  </si>
  <si>
    <t>EMCA-I-5537-2026</t>
  </si>
  <si>
    <t>PQR-SUI-67</t>
  </si>
  <si>
    <t>3326/2026</t>
  </si>
  <si>
    <t>LUZ HELENA RESTREPO ECHEVERRI</t>
  </si>
  <si>
    <t>EMCA-I-5619-2026</t>
  </si>
  <si>
    <t>PQR-SUI-68</t>
  </si>
  <si>
    <t>3327/2026</t>
  </si>
  <si>
    <t>PQR-SUI-69</t>
  </si>
  <si>
    <t>3328/2026</t>
  </si>
  <si>
    <t>JORGE ELIECER ORTEGON ORTIZ</t>
  </si>
  <si>
    <t>EMCA-I-5622-2026</t>
  </si>
  <si>
    <t>PQR-SUI-70</t>
  </si>
  <si>
    <t>3329/2026</t>
  </si>
  <si>
    <t>USUARIA REPORTA DEFICIENCIA DE PRESION Y MANIFIESTA QUE YA CON ESTE REPORTE SON 5 QUE A ECHO DE ESTE MISMO PREDIO</t>
  </si>
  <si>
    <t>EMCA-I-5636-2026</t>
  </si>
  <si>
    <t>PQR-IN-40</t>
  </si>
  <si>
    <t>3330/2026</t>
  </si>
  <si>
    <t>SOLICITUD DE CONEXIÓN DE SERVICIOS - CRA 32 No. 9-152 LOTE TERRENO # 11 CONJUNTO CABO MARIPOSA</t>
  </si>
  <si>
    <t>PQR-SUI-71</t>
  </si>
  <si>
    <t>3331/2026</t>
  </si>
  <si>
    <t>MYRIAM VARON</t>
  </si>
  <si>
    <t>EMCA-I-5634-2026</t>
  </si>
  <si>
    <t>PQR-IN-41</t>
  </si>
  <si>
    <t>3332/2026</t>
  </si>
  <si>
    <t>SOLICITUD DE RECOLECCIÓN DE RESIDIOS ESPECIALES (PUPITRES, SILLAS, MESAS) COLEGIO URIBE URIBE</t>
  </si>
  <si>
    <t>DUBAN CASTRO SALCEDO</t>
  </si>
  <si>
    <t>SALUDVECTORES@GOBERNACIONDELQUINDIO.GOV.CO</t>
  </si>
  <si>
    <t>PQR-IN-42</t>
  </si>
  <si>
    <t>3333/2026</t>
  </si>
  <si>
    <t>OFICIO IMP-1048-2026 - TRASLADO POR COMPETENCIA EMCA-PQRS-3306-2026</t>
  </si>
  <si>
    <t>EMCA-I-5629-2026</t>
  </si>
  <si>
    <t>PQR-IN-43</t>
  </si>
  <si>
    <t>3334/2026</t>
  </si>
  <si>
    <t>SOLICITUD DE RECOLECCIÓN DE ESCOMBROS Y DESECHOS GENERADOS POR EL SISMO DEL 10 DE AGOSTO - COLEGIO GENERAL SANTANDER</t>
  </si>
  <si>
    <t>SANTANDER ESCUELA SANTANDER</t>
  </si>
  <si>
    <t>EMCA-I-5643-2026</t>
  </si>
  <si>
    <t>PQR-SUI-72</t>
  </si>
  <si>
    <t>3335/2026</t>
  </si>
  <si>
    <t>ISLENY CARDONA PUENTES</t>
  </si>
  <si>
    <t>EMCA-I-5638-2026</t>
  </si>
  <si>
    <t>PQR-SUI-73</t>
  </si>
  <si>
    <t>3336/2026</t>
  </si>
  <si>
    <t>PQR-SUI-74</t>
  </si>
  <si>
    <t>3337/2026</t>
  </si>
  <si>
    <t>PMC-660-2026 - SEGUIMIENTO A DERECHO DE PETICION - EMCA-PQRS-3159-2026</t>
  </si>
  <si>
    <t>EMCA-I-5623-2026</t>
  </si>
  <si>
    <t>PQR-IN-44</t>
  </si>
  <si>
    <t>3338/2026</t>
  </si>
  <si>
    <t>CLARA INES MORALES</t>
  </si>
  <si>
    <t>EMCA-I-5644-2026</t>
  </si>
  <si>
    <t>PQR-SUI-75</t>
  </si>
  <si>
    <t>3339/2026</t>
  </si>
  <si>
    <t>DERECHO DE PETICIÓN - SOLICITUD CAMBIO DE ACOMETIDA CALLE 39 No. 25-45 CASINO CLUB</t>
  </si>
  <si>
    <t>mariangel170411@hotmail.com</t>
  </si>
  <si>
    <t>PQR-IN-45</t>
  </si>
  <si>
    <t>3340/2026</t>
  </si>
  <si>
    <t>LUZ STELLA RODRIGUEZ M.</t>
  </si>
  <si>
    <t>PQR-SUI-76</t>
  </si>
  <si>
    <t>3341/2026</t>
  </si>
  <si>
    <t>SOLICITUD ACLARACIÓN A DERECHO DE PETICIÓN EMCA-PQRS-2883-2026 REF: EMCA-I-4854-2026</t>
  </si>
  <si>
    <t>Aclaración a Respuesta</t>
  </si>
  <si>
    <t>PQR-IN-46</t>
  </si>
  <si>
    <t>3342/2026</t>
  </si>
  <si>
    <t>FEDERMAN MEDINA</t>
  </si>
  <si>
    <t>PQR-SUI-77</t>
  </si>
  <si>
    <t>3343/2026</t>
  </si>
  <si>
    <t>USUARIO SOLICIA DESCUENTO EN EL COBRO DE CONSUMO DE ACUERDO CON LA RESPUESTA AL EMCA-2822-2026</t>
  </si>
  <si>
    <t>A. RAMOS CAMILO</t>
  </si>
  <si>
    <t>PQR-SUI-78</t>
  </si>
  <si>
    <t>3344/2026</t>
  </si>
  <si>
    <t>USUARIA REPORT FUGA EN RED PRINCIPAL YA QUE HAY UN TUBO QUE SE REVENTO Y ESTA BOTANDO MUCHA AGUA POR EL LADO DEL ROMBOY IZQUIERDO LLAMAR ANTES DE IR</t>
  </si>
  <si>
    <t>CASTELLANOS PINILLA MYRIAM LUCIA</t>
  </si>
  <si>
    <t>PQR-SUI-79</t>
  </si>
  <si>
    <t>3345/2026</t>
  </si>
  <si>
    <t>1190245 USUARIO REPORTA FUGA EN LA RED DOMICILIARIA</t>
  </si>
  <si>
    <t>ALCIDES RAMIRES</t>
  </si>
  <si>
    <t>EMCA-I-5633-2026</t>
  </si>
  <si>
    <t>PQR-SUI-80</t>
  </si>
  <si>
    <t>3346/2026</t>
  </si>
  <si>
    <t>SOLICITUD DE CONEXIÓN DE SERVICIOS - CONDOMINIO CAMPESTRE POTOSI LOTE 27</t>
  </si>
  <si>
    <t>DIEGO RICARDO RUBIANO VALERO</t>
  </si>
  <si>
    <t>PQR-IN-47</t>
  </si>
  <si>
    <t>3347/2026</t>
  </si>
  <si>
    <t>USUARIO SOLICITA QUE RECOJAN UNA PUERTA DE MADERA EN LA DIRECCION LA HUERTA MZ C CASA 6</t>
  </si>
  <si>
    <t>CARLOS ALBERTO SIERRA</t>
  </si>
  <si>
    <t>EMCA-I-5649-2026</t>
  </si>
  <si>
    <t>PQR-IN-48</t>
  </si>
  <si>
    <t>3348/2026</t>
  </si>
  <si>
    <t>SOLICITUD ARRENDAMIENTO DE LOCAL COMERCIAL - PLAZA DE MERCADO</t>
  </si>
  <si>
    <t>PQR-IN-116</t>
  </si>
  <si>
    <t>HERNANDO GIRALDO VELEZ</t>
  </si>
  <si>
    <t>hernandogiraldovelez.1958@gmail.com</t>
  </si>
  <si>
    <t>EMCA-I-5647-2026</t>
  </si>
  <si>
    <t>PQR-SUI-81</t>
  </si>
  <si>
    <t>3349/2026</t>
  </si>
  <si>
    <t>DERECHO DE PETICIÓN - SOLICITUD DE REVISIÓN POR CRUCE EN MEDIDORES DEL SERVICIO DE ACUEDUCTO EN EL RINCON DEL BOSQUE MZ 4 CASA 38 PISO 1 Y 2</t>
  </si>
  <si>
    <t>HERNAN CARVAJAL RINCON</t>
  </si>
  <si>
    <t>EMCA-I-5641-2026</t>
  </si>
  <si>
    <t>PQR-IN-49</t>
  </si>
  <si>
    <t>3350/2026</t>
  </si>
  <si>
    <t>2026EE-6562 - REMISIÓN DE SOLICITUD - PODA DE ARBOL MANGO EN PARQUE RAFAEL URIBE, SDEAC-2026-0519</t>
  </si>
  <si>
    <t>EMCA-I-5646-2026</t>
  </si>
  <si>
    <t>PQR-IN-50</t>
  </si>
  <si>
    <t>3351/2026</t>
  </si>
  <si>
    <t>SOLICITUD DE ANÁLISIS DE AGUA - TORONTO GREEN S.A.S</t>
  </si>
  <si>
    <t>EMCA-I-5325-2026</t>
  </si>
  <si>
    <t>PQR-SUI-82</t>
  </si>
  <si>
    <t>3352/2026</t>
  </si>
  <si>
    <t>USUARIA REPORTA FUGA DOMICILIARIA POR LLAMADA TELEFONICA LLAMAR YA QUE HAY UN TUBO QUE SE REVENTO Y ESTA CAUSANDO INUNDACION EN VARIOS PREDIOS</t>
  </si>
  <si>
    <t>PIEDAD DIAZ</t>
  </si>
  <si>
    <t>PQR-SUI-84</t>
  </si>
  <si>
    <t>3353/2026</t>
  </si>
  <si>
    <t>USUARIO SOLICITA CAMBIO DE LLAVE(PRESENTA FUGA DEBIDO A ESTE DAÑO)</t>
  </si>
  <si>
    <t>YOLANDA ARANZAZU</t>
  </si>
  <si>
    <t>PQR-SUI-83</t>
  </si>
  <si>
    <t>3354/2026</t>
  </si>
  <si>
    <t>MARIELA CONTENTO QUINTERO</t>
  </si>
  <si>
    <t>EMCA-I-5645-2026</t>
  </si>
  <si>
    <t>PQR-SUI-85</t>
  </si>
  <si>
    <t>3355/2026</t>
  </si>
  <si>
    <t>EMCA-I-5648-2026</t>
  </si>
  <si>
    <t>PQR-SUI-87</t>
  </si>
  <si>
    <t>3356/2026</t>
  </si>
  <si>
    <t>EMCA-I-5652-2026</t>
  </si>
  <si>
    <t>PQR-SUI-86</t>
  </si>
  <si>
    <t>3357/2026</t>
  </si>
  <si>
    <t>PAULA ANDREA CELIS ECHEVERRI</t>
  </si>
  <si>
    <t>EMCA-I-5651-2026</t>
  </si>
  <si>
    <t>PQR-IN-52</t>
  </si>
  <si>
    <t>3358/2026</t>
  </si>
  <si>
    <t>YESID SUAREZ M.</t>
  </si>
  <si>
    <t>EMCA-I-5661-2026</t>
  </si>
  <si>
    <t>PQR-SUI-88</t>
  </si>
  <si>
    <t>3359/2026</t>
  </si>
  <si>
    <t>ALZATE ALZATE JAVIER HUMBERTO</t>
  </si>
  <si>
    <t>EMCA-I-5660-2026</t>
  </si>
  <si>
    <t>PQR-IN-53</t>
  </si>
  <si>
    <t>3360/2026</t>
  </si>
  <si>
    <t>USUARIA SOLICITA RECOLECCION DE 1 COLCHON Y BASE CAMA</t>
  </si>
  <si>
    <t>CECILIA BONILLA CERQUERA</t>
  </si>
  <si>
    <t>EMCA-I-5659-2026</t>
  </si>
  <si>
    <t>PQR-SUI-89</t>
  </si>
  <si>
    <t>3361/2026</t>
  </si>
  <si>
    <t>CAMBIO DE DATOS INCORRECTOS</t>
  </si>
  <si>
    <t>LINA MARIA GONZALEZ CARDENAS</t>
  </si>
  <si>
    <t>EMCA-I-5658-2026</t>
  </si>
  <si>
    <t>PQR-SUI-90</t>
  </si>
  <si>
    <t>3362/2026</t>
  </si>
  <si>
    <t>OLGA CECILIA ARBELAEZ DE GIRALDO</t>
  </si>
  <si>
    <t>PQR-SUI-91</t>
  </si>
  <si>
    <t>3363/2026</t>
  </si>
  <si>
    <t>20268304464311 - NOTIFICACIÓN ELECTRÓNICA RESOLUCIÓN No. SSPD-20268300780725 DEL 07/09/2026 EXPEDIENTE No. 2025830420108484E</t>
  </si>
  <si>
    <t>PQR-SUI-92</t>
  </si>
  <si>
    <t>3364/2026</t>
  </si>
  <si>
    <t>GLORIA ESPERANZA JARAMILLO CASTRO</t>
  </si>
  <si>
    <t>PQR-SUI-93</t>
  </si>
  <si>
    <t>3365/20026</t>
  </si>
  <si>
    <t>DERECHO DE PETICIÓN - SOLICITUD DE REVISIÓN POR DAÑO EN RED DE ALCANTARILLADO DE LA MZ 6 CASA 32 LLANITOS DE GUARALA</t>
  </si>
  <si>
    <t>ANA JULIA FLOREZ</t>
  </si>
  <si>
    <t>EMCA-I-5657-2026</t>
  </si>
  <si>
    <t>PQR-SUI-94</t>
  </si>
  <si>
    <t>3366/2026</t>
  </si>
  <si>
    <t>MONTENEGRO ARDILA MARTHA LUCIA</t>
  </si>
  <si>
    <t>PQR-SUI-95</t>
  </si>
  <si>
    <t>3367/2026</t>
  </si>
  <si>
    <t>RECLAMACIÓN POR INCREMENTO EN EL SERVICIO DE ACUEDUCTO - BARRIO LA FLORESTA MZ A CASA 03</t>
  </si>
  <si>
    <t>VELEZ ESQUIVEL JANETH ROCIO</t>
  </si>
  <si>
    <t>PQR-SUI-96</t>
  </si>
  <si>
    <t>3368/2026</t>
  </si>
  <si>
    <t>USUARIO SOLICITA CXAMBIO DE LA LLAVE DE PASO</t>
  </si>
  <si>
    <t>OSCAR BERMUDEZ</t>
  </si>
  <si>
    <t>EMCA-I-5674-2026</t>
  </si>
  <si>
    <t>PQR-IN-55</t>
  </si>
  <si>
    <t>3369/2026</t>
  </si>
  <si>
    <t>SOLICITUD DE COTIZACIÓN DE CARACTERIZACIÓN CONSULTORIO ODONTOLOGICO DRA OLGA LUCIA ARANGO BOTERO</t>
  </si>
  <si>
    <t>OLGA LUCIA ARANGO BOTERO</t>
  </si>
  <si>
    <t>EMCA-I-5673-2026</t>
  </si>
  <si>
    <t>PQR-SUI-97</t>
  </si>
  <si>
    <t>3370/2026</t>
  </si>
  <si>
    <t>DERECHO DE PETICIÓN SOLICITUD DE REVISIÓN REDES DE ALCANTARILLADO - CRA 28 No. 46-137 BARRIO ANTONIO NARIÑO</t>
  </si>
  <si>
    <t>LUZ PATRICIA VEGA GARCIA</t>
  </si>
  <si>
    <t>EMCA-I-5656-2026</t>
  </si>
  <si>
    <t>PQR-SUI-98</t>
  </si>
  <si>
    <t>3371/2026</t>
  </si>
  <si>
    <t>DORA LUCIDIA RESTREPO</t>
  </si>
  <si>
    <t>PQR-IN-56</t>
  </si>
  <si>
    <t>3372/2026</t>
  </si>
  <si>
    <t>SOLICITUD DE COTIZACIÓN DEL SERVICIO DE VIDEO INSPECCIÓN CON ROBOT ROVVER 125</t>
  </si>
  <si>
    <t>JAIRO PALACIO JARAMILLO</t>
  </si>
  <si>
    <t>EMCA-I-5411-2026</t>
  </si>
  <si>
    <t>PQR-SUI-99</t>
  </si>
  <si>
    <t>3373/2026</t>
  </si>
  <si>
    <t>MAXIMILIANO NUÑEZ</t>
  </si>
  <si>
    <t>EMCA-I-5667-2026</t>
  </si>
  <si>
    <t>PQR-SUI-100</t>
  </si>
  <si>
    <t>3374/2026</t>
  </si>
  <si>
    <t>SOLICITUD CONEXION DE SERVICIOS CRA 32 No. 9-152 - CABO MARIPOSA LOTE 24</t>
  </si>
  <si>
    <t>DIEGO MAURICIO RIVERA SOTO</t>
  </si>
  <si>
    <t>EMCA-I-5389-2026</t>
  </si>
  <si>
    <t>PQR-SUI-101</t>
  </si>
  <si>
    <t>3375/2026</t>
  </si>
  <si>
    <t>FUGA DE DIMICILIARIA</t>
  </si>
  <si>
    <t>EMCA-I-5669-2026</t>
  </si>
  <si>
    <t>PQR-SUI-102</t>
  </si>
  <si>
    <t>3376/2026</t>
  </si>
  <si>
    <t>DERECHO DE PETICIÓN - REITERACIÓN DE SOLICITUD DE RECOLECCIÓN DE RESIDUOS SOLIDOS - FINCA VISTA HERMOSA LA BELLA</t>
  </si>
  <si>
    <t>JOSÉ GREGORIO LLORENTE</t>
  </si>
  <si>
    <t>EMCA-I-5671-2026</t>
  </si>
  <si>
    <t>PQR-IN-57</t>
  </si>
  <si>
    <t>3377/2026</t>
  </si>
  <si>
    <t>SOLICITUD DE TRASLADO DE LOCAL COMERCIAL PLAZA DE MERCADO 277 AL 2727</t>
  </si>
  <si>
    <t>Cambio de Local</t>
  </si>
  <si>
    <t>LUCILA GOMEZ RAYO</t>
  </si>
  <si>
    <t>lucy-la_2029@hotmail.com</t>
  </si>
  <si>
    <t>EMCA-I-5670-2026</t>
  </si>
  <si>
    <t>PQR-SUI-103</t>
  </si>
  <si>
    <t>3378/2026</t>
  </si>
  <si>
    <t>SOLICITUD DE RESTRICCIÓN DE CUENTA Y DE ABONOS DE LA VIVIENDA CRA 26 No. 38-02 APTO 302</t>
  </si>
  <si>
    <t>3379/2026</t>
  </si>
  <si>
    <t>USUARIO REPORTA DAÑO DE RED DE ALCANTARILLADO YA QUE HAY UN TUBO QUE ESTA MAL ESTADO Y TODA ESA AGUA NEGRAS ESTA BAJANDO POR TODA LA CAÑERIA DEL BARRIO LA FLORESTA</t>
  </si>
  <si>
    <t>JORGE ANGEL BEDOYA OSPINA</t>
  </si>
  <si>
    <t>EMCA-I-5678-2026</t>
  </si>
  <si>
    <t>PQR-SUI-104</t>
  </si>
  <si>
    <t>3380/2026</t>
  </si>
  <si>
    <t>SOLICITUD DE CONEXIÓN DE ENERGÍA PARA FERIA ARTESANAL Y CULTURAL CON MOTIVO DE LA CONMEMORACIÓN DE LOS 50 AÑOS DE ASARTECA</t>
  </si>
  <si>
    <t>asarteca@gmail.com</t>
  </si>
  <si>
    <t>EMCA-I-5672-2026</t>
  </si>
  <si>
    <t>PQR-IN-59</t>
  </si>
  <si>
    <t>3381/2026</t>
  </si>
  <si>
    <t>2026EE-6600 - SSSYS-1487-2026 - SOLICITUD DE PODA DE ZONAS VERDES POR LA ESTRATEGIA DE VIGILANCIA EPIDEMIOLOGICA COMUNITARIA - COVECOM</t>
  </si>
  <si>
    <t>PQR-SUI-105</t>
  </si>
  <si>
    <t>3382/2026</t>
  </si>
  <si>
    <t>1193700 USUARIA SOLICITA QUE EL PAGO REALIZADO EL DIA 14 DE JULIO DE 2026 POR VALOR DE $ 58493 SE APLIQUE A LA FACTURA YA QUE NO FUE APLICADO YA QUE EN LA CAJA POR ERROR SE APLICO AL CODIGO 1199500</t>
  </si>
  <si>
    <t>MARIA ZOE CALVO</t>
  </si>
  <si>
    <t>PQR-SUI-106</t>
  </si>
  <si>
    <t>3383/2026</t>
  </si>
  <si>
    <t>USUARIO REPORTA FUGA EN RED PRINCIPAL YA QUE SE ESTA FILTRANDO MUCHA AGUA EN LA VIA LLAMAR ANTES DE IR</t>
  </si>
  <si>
    <t>PQR-SUI-107</t>
  </si>
  <si>
    <t>3384/2026</t>
  </si>
  <si>
    <t>SOLICITUD DE AJUSTE DE LIQUIDACIÓN DEL SERVICIO DE ASEO</t>
  </si>
  <si>
    <t>Reviisión de Aforo</t>
  </si>
  <si>
    <t>CRISTHIAN ANDRES PENAGOS SIERRA</t>
  </si>
  <si>
    <t>PQR-SUI-108</t>
  </si>
  <si>
    <t>3385/2026</t>
  </si>
  <si>
    <t>SOLICITUD DE CAMBIO DE DATOS DEL TITULAR DEL SERVICIO DE ACUEDUCTO DEL PREDIO UBICADO EN LA CRA 25 No. 37-32 APTO 201</t>
  </si>
  <si>
    <t>JHON JAMES RODRIGUEZ CHICA</t>
  </si>
  <si>
    <t>PQR-IN-60</t>
  </si>
  <si>
    <t>3386/2026</t>
  </si>
  <si>
    <t>SOLICITUD DE AUTORIZACIÓN PARA EL USO DE LA PLAZOLETA DE LA PLAZA DE MERCADO</t>
  </si>
  <si>
    <t>PQR-SUI-109</t>
  </si>
  <si>
    <t>3387/2026</t>
  </si>
  <si>
    <t>USUARIA REPORTA QUE NO SE EFECTUA LA RECOLECCION PUERTA A PUERTA YA EN VARIAS OCASIONES NO LE RECOGEN LOS RESIDUOS A ESTE PREDIO PASAN MUY RAPIDO O LA USUARIA DEBE DE GRITARLE A LOS FUNCIONARIOS DE RECOLECCION PARA QUE LE RECOJAN LA BASURA, HOY 11 DE SEPTIEMBRE NO LE RECOGIERON LA BASURA</t>
  </si>
  <si>
    <t>NANCY CONSTANCIA TORRES</t>
  </si>
  <si>
    <t>PQR-SUI-110</t>
  </si>
  <si>
    <t>3388/2026</t>
  </si>
  <si>
    <t>1254496 USUARIA SOLICITA CAMBIO DE NOMBRE EN LA FACTURA</t>
  </si>
  <si>
    <t>MONICA ALEXANDRA PATIÑO DELGADO</t>
  </si>
  <si>
    <t>PQR-SUI-111</t>
  </si>
  <si>
    <t>3389/2026</t>
  </si>
  <si>
    <t>EDUARDO CARDENAS GOMEZ</t>
  </si>
  <si>
    <t>PQR-SUI-112</t>
  </si>
  <si>
    <t>3390/2026</t>
  </si>
  <si>
    <t>ANA MARIA VERA DURAN</t>
  </si>
  <si>
    <t>PQR-SUI-113</t>
  </si>
  <si>
    <t>3391/2026</t>
  </si>
  <si>
    <t>Fuga domiciliaria</t>
  </si>
  <si>
    <t>YOLANDA RAMON CERON</t>
  </si>
  <si>
    <t>3392/2026</t>
  </si>
  <si>
    <t>PQR-SUI-114</t>
  </si>
  <si>
    <t>3393/2026</t>
  </si>
  <si>
    <t>LUIS CARLOS COLLAZOZ COLLAZOZ</t>
  </si>
  <si>
    <t>PQR-SUI-115</t>
  </si>
  <si>
    <t>3394/2026</t>
  </si>
  <si>
    <t>SIDNEY ZAPATA MARTINEZ</t>
  </si>
  <si>
    <t>PQR-SUI-116</t>
  </si>
  <si>
    <t>3395/2026</t>
  </si>
  <si>
    <t>PQR-IN-61</t>
  </si>
  <si>
    <t>3396/2026</t>
  </si>
  <si>
    <t>ALEYDA ARIAS HERNANDEZ</t>
  </si>
  <si>
    <t>PQR-IN-62</t>
  </si>
  <si>
    <t>3397/2026</t>
  </si>
  <si>
    <t>USUARIA SOLICITA RECOLECCION DE 1 BASE CAMA,ARMARIO Y UNA MESA USUARIA SOLICITA RECOLECCION DE 1 BASE CAMA,ARMARIO Y UNA MESA</t>
  </si>
  <si>
    <t>JHON JAIRO FRANCO RAMIREZ</t>
  </si>
  <si>
    <t>PQR-SUI-117</t>
  </si>
  <si>
    <t>3398/2026</t>
  </si>
  <si>
    <t>1094650 USUARIA SOLICITA CAMBIO DE LA LLAVE DE PASO</t>
  </si>
  <si>
    <t>ISABEL VALENCIA</t>
  </si>
  <si>
    <t>PQR-SUI-118</t>
  </si>
  <si>
    <t>3399/2026</t>
  </si>
  <si>
    <t>MARIA JAZMIN LEAL POTES</t>
  </si>
  <si>
    <t>PQR-IN-63</t>
  </si>
  <si>
    <t>3400/2026</t>
  </si>
  <si>
    <t>USUARIA SOLICITA QUE RECOJAN UNA CAMA UN COLCHON UN CAJON VARIAS COSAS EN LA DIRECCION VILLA TATIANA MZ 4 CASA 3</t>
  </si>
  <si>
    <t>MARLENY GALLEGO RINCON</t>
  </si>
  <si>
    <t>PQR-IN-64</t>
  </si>
  <si>
    <t>3401/2026</t>
  </si>
  <si>
    <t>SOLICITUD DE LIMPIEZA DE POZO SÉPTICO - CORREGIMIENTO LA VIRGINIA FINCA PALMITAS</t>
  </si>
  <si>
    <t>Limpiar Pozo Septico</t>
  </si>
  <si>
    <t>ANDREA LIEVANO</t>
  </si>
  <si>
    <t>PQR-SUI-119</t>
  </si>
  <si>
    <t>3402/2026</t>
  </si>
  <si>
    <t>USUARIA REPORTA FUGA DE DOMICILIARIA YA QUE SE ESTA FILTRANDO EL AGUA POR EL ANDEN LLAMAR ANTES DE IR</t>
  </si>
  <si>
    <t>DIANA PATRICIA CASTELLANOS HENAO</t>
  </si>
  <si>
    <t>PQR-SUI-120</t>
  </si>
  <si>
    <t>3403/2026</t>
  </si>
  <si>
    <t>YENY ZULEIDY USUGA SIERRA</t>
  </si>
  <si>
    <t>PQR-IN-65</t>
  </si>
  <si>
    <t>3404/2026</t>
  </si>
  <si>
    <t>OBSERVACIONES DE LA COTIZACIÓN EMCA-I-5191-2026</t>
  </si>
  <si>
    <t>Ajuste a Cotización</t>
  </si>
  <si>
    <t>PQR-SUI-122</t>
  </si>
  <si>
    <t>3405/2026</t>
  </si>
  <si>
    <t>ROBERTO GUTIERREZ</t>
  </si>
  <si>
    <t>PQR-SUI-121</t>
  </si>
  <si>
    <t>3406/2026</t>
  </si>
  <si>
    <t>ARREGLO URGENTE POR FUGA DE AGUA - MZ 9 CASA 14 BARRIO LLANITOS GUALARA</t>
  </si>
  <si>
    <t>PQR-SUI-124</t>
  </si>
  <si>
    <t>3407/2026</t>
  </si>
  <si>
    <t>SOLICITUD DE REVISIÓN DE TUBERIAS INTERNAS - PLAZUELAS DE LA VILLA MZ K CASA 9</t>
  </si>
  <si>
    <t>EMCA-I-5632-2026</t>
  </si>
  <si>
    <t>PQR-SUI-123</t>
  </si>
  <si>
    <t>3408/2026</t>
  </si>
  <si>
    <t>USUARIO REPORTA QUE APARTIR DE LAS 11 DE LA MAÑANA SE QUEDAN SIN PRESION Y ESTO PASA TODOS LOS DIAS</t>
  </si>
  <si>
    <t>ANTONIO MOYA</t>
  </si>
  <si>
    <t>PQR-SUI-125</t>
  </si>
  <si>
    <t>3409/2026</t>
  </si>
  <si>
    <t>USUARIO REPORTA DEFICIENCIA DE PRESION DESDE HACE MAS DE 8 DIAS</t>
  </si>
  <si>
    <t>PQR-SUI-126</t>
  </si>
  <si>
    <t>3410/2026</t>
  </si>
  <si>
    <t>TANIA PATRICIA OSPITIA REYES</t>
  </si>
  <si>
    <t>PQR-IN-66</t>
  </si>
  <si>
    <t>3411/2026</t>
  </si>
  <si>
    <t>RECOLECCION ESPECIAL USUARIA SOLICITA LE RECOJAN 1 COLCHON Y UNA SILLA</t>
  </si>
  <si>
    <t>JENNIFER KATHERINE REALPE</t>
  </si>
  <si>
    <t>PQR-IN-67</t>
  </si>
  <si>
    <t>3412/2026</t>
  </si>
  <si>
    <t>RECOLECCION ESPECIAL USUARIA SOLICITA LE RECOJAN UN CAJON MEDIANO Y UNA TEJA PLASTICA</t>
  </si>
  <si>
    <t>IBETH GASCA</t>
  </si>
  <si>
    <t>PQR-SUI-127</t>
  </si>
  <si>
    <t>3413/2026</t>
  </si>
  <si>
    <t>USUARIO SOLICITA DESCUENTO EN COBRO DE CONSUMO DE ACUERDO A EMCA-2884-2026</t>
  </si>
  <si>
    <t>PQR-SUI-128</t>
  </si>
  <si>
    <t>3414/2026</t>
  </si>
  <si>
    <t>USUARIO REPORTA PREDIO DESOCUPADO HACE 10 DIAS</t>
  </si>
  <si>
    <t>PQR-SUI-129</t>
  </si>
  <si>
    <t>3415/2026</t>
  </si>
  <si>
    <t>DERECHO DE PETICIÓN -SOLICITUD DE REVISION TECNICA REDES DE AGUAS RESIDUALES CRA 23 #43-49</t>
  </si>
  <si>
    <t>LOPEZ VERGARA CESAR AUGUSTO</t>
  </si>
  <si>
    <t>PQR-SUI-130</t>
  </si>
  <si>
    <t>3416/2026</t>
  </si>
  <si>
    <t>SOLICITUD DUPLICADO DE FACTURA CÓDIGO 1045240, 1200020, 1071720, 1071920, 1254280, 1250889, 1254079 Y 1254752</t>
  </si>
  <si>
    <t>PQR-IN-68</t>
  </si>
  <si>
    <t>3417/2026</t>
  </si>
  <si>
    <t>DERECHO DE PETICIÓN -SOLICITUD DE RECOLECCION DE RESIDUOS ESTADERO LA CHIQUITA</t>
  </si>
  <si>
    <t>CRISTIAN IVAN BUITRAGO CEPEDA</t>
  </si>
  <si>
    <t>PQR-SUI-131</t>
  </si>
  <si>
    <t>3418/2026</t>
  </si>
  <si>
    <t>SOLICITUD DE FACTURAS CON CÓDIGO 1027880, 1029020, 1193500 Y 1193510</t>
  </si>
  <si>
    <t>3419/2026</t>
  </si>
  <si>
    <t>ACCIÓN DE TUTELA - A DERECHO DE PETICIÓN RADICADO EMCA-PQRS-2938-2026</t>
  </si>
  <si>
    <t>Incoformidad con el Cambio de Clase de Uso</t>
  </si>
  <si>
    <t>PQR-SUI-133</t>
  </si>
  <si>
    <t>3420/2026</t>
  </si>
  <si>
    <t>USUARIA ESTA INCONFORME POR DESVIASION SIGNIFICATIVA DE CONSUMO</t>
  </si>
  <si>
    <t>LUZ YANED HENAO</t>
  </si>
  <si>
    <t>PQR-SUI-134</t>
  </si>
  <si>
    <t>3421/2026</t>
  </si>
  <si>
    <t>USUARIA REPORTA FUGA DE MEDIDOR YA QUE ESTA BOTANDO MUCHA AGUA LLAMAR ANTES DE IR</t>
  </si>
  <si>
    <t>MARIA JULIETH QUIJANO MORALES</t>
  </si>
  <si>
    <t>PQR-SUI-135</t>
  </si>
  <si>
    <t>3422/2026</t>
  </si>
  <si>
    <t>SOLICITUD DE CONEXIÓN DE SERVICIOS - CRA 32 No. 9-152 LOTE TERRENO # 142B CONJUNTO CABO MARIPOSA</t>
  </si>
  <si>
    <t>ANGIE CAROLINA MARIN</t>
  </si>
  <si>
    <t>PQR-SUI-136</t>
  </si>
  <si>
    <t>3423/2026</t>
  </si>
  <si>
    <t>USUARIA REPORTA FUGA EN RED PRINCIPAL EN ESTE HUNDIMIENTO YA QUE CAUSO EL CARRO RECOLECTOR YA ESTA BROTANDO MUCHA AGUA AL FRENTE DE ESTE PREDIO ESTA EL HUNDIMIENTO</t>
  </si>
  <si>
    <t>YENY ALEJANDRA MONTENEGRO RODRIGUEZ</t>
  </si>
  <si>
    <t>PQR-SUI-137</t>
  </si>
  <si>
    <t>3424/2026</t>
  </si>
  <si>
    <t>USUARIA INCONFORME POR DESVIASION SIGNIFICATIVA DE CONSUMO</t>
  </si>
  <si>
    <t>DIANA MARCELA MURILLO</t>
  </si>
  <si>
    <t>PQR-SUI-138</t>
  </si>
  <si>
    <t>3425/2026</t>
  </si>
  <si>
    <t>USUARIO REPORTA INCONFORMIDAD POR DESVIACION SIGNIFICATIVA</t>
  </si>
  <si>
    <t>LUIS FERNANDO ARANGO FRANCO</t>
  </si>
  <si>
    <t>PQR-SUI-139</t>
  </si>
  <si>
    <t>3426/2026</t>
  </si>
  <si>
    <t>USUARIO SOLICIA DESCUENTO EN COBRO DE MATERIALES DE ACUERDO A RADICADO EMCA-PQRS-3363-2026</t>
  </si>
  <si>
    <t>LUZ MARINA CASTRILLON</t>
  </si>
  <si>
    <t>PQR-IN-69</t>
  </si>
  <si>
    <t>3427/2026</t>
  </si>
  <si>
    <t>SH-837-2026 - REMISIÓN POR COMPETENCIA INCONFORMIDAD EN FACTURACIÓN DE ALUMBRADO PÚBLICO</t>
  </si>
  <si>
    <t>MARQUEZ JAIRO ELIAS</t>
  </si>
  <si>
    <t>PQR-IN-70</t>
  </si>
  <si>
    <t>3428/2026</t>
  </si>
  <si>
    <t>SH-840-2026 - REMISIÓN POR COMPETENCIA INCONFORMIDAD EN FACTURACIÓN DE ALUMBRADO PÚBLICO</t>
  </si>
  <si>
    <t>PQR-SUI-140</t>
  </si>
  <si>
    <t>3429/2026</t>
  </si>
  <si>
    <t>USUARIO SOLICIA CAMBIO DE LLAVE DE PASO LLAMAR ANTES DE IR</t>
  </si>
  <si>
    <t>RUBEN ANTONIO MURILLO GONZALEZ</t>
  </si>
  <si>
    <t>PQR-SUI-141</t>
  </si>
  <si>
    <t>3430/2026</t>
  </si>
  <si>
    <t>SOLICITUD DE COPIA DE FACTURA DEL SERVICIO DE ACUEDUCTO DEL PREDIO UBICADO EN LA MZ U CASA 6 DEL BARRIO GAITAN</t>
  </si>
  <si>
    <t>LUIS ALBERTO HERNANDEZ BERMUDEZ</t>
  </si>
  <si>
    <t>lucho0398@gmail.com</t>
  </si>
  <si>
    <t>3431/2026</t>
  </si>
  <si>
    <t>PQR-SUI-143</t>
  </si>
  <si>
    <t>3432/2026</t>
  </si>
  <si>
    <t>USUARIA REPORTA INCONFORMIDAD CON EL CONSUMO YA QUE LA FACTURA DE SEPTIEMBRE LE INCRIMENTO BASTANTE EL CONSUMO LLAMAR ANTES DE IR</t>
  </si>
  <si>
    <t>LUISA FERNANDA RUIZ MEJIA</t>
  </si>
  <si>
    <t>PQR-SUI-144</t>
  </si>
  <si>
    <t>3433/2026</t>
  </si>
  <si>
    <t>TAMAYO LIEVANO BLANCA LILIA</t>
  </si>
  <si>
    <t>PQR-SUI-145</t>
  </si>
  <si>
    <t>3434/2026</t>
  </si>
  <si>
    <t>SOLICITUD DE REVISIÓN DE LA RED DE ACUEDUCTO DEL PREDIO UBICADO EN LA CRA 29 No. 38-49</t>
  </si>
  <si>
    <t>PQR-SUI-146</t>
  </si>
  <si>
    <t>3435/2026</t>
  </si>
  <si>
    <t>MARIA CECILIA RODRIGUEZ</t>
  </si>
  <si>
    <t>PQR-SUI-147</t>
  </si>
  <si>
    <t>3436/2026</t>
  </si>
  <si>
    <t>USUARIO REPORTA INCONFORMIDAD CON EL CONSUMO YA QUE LA FACTURA DEL MES DE SEPTIEMBRE INCREMENTO BASTANTE Y VIVEN LAS MISMAS PERSONAS NO TUVIERON VISITA DURANTE EL MES</t>
  </si>
  <si>
    <t>YAMIL HERNAN ROMAN GONZALEZ</t>
  </si>
  <si>
    <t>PQR-SUI-148</t>
  </si>
  <si>
    <t>3437/2026</t>
  </si>
  <si>
    <t>HECTOR JULIAN SAAVEDRA</t>
  </si>
  <si>
    <t>PQR-IN-71</t>
  </si>
  <si>
    <t>3438/2026</t>
  </si>
  <si>
    <t>DIANA PATRICIA TORRES</t>
  </si>
  <si>
    <t>PQR-IN-72</t>
  </si>
  <si>
    <t>3439/2026</t>
  </si>
  <si>
    <t>SOLICITUD DE RECOLECCIÓN DE RESIDUOS ESPECIALES (COLCHONES, SILLAS) BARRIO VILLA ASTRID</t>
  </si>
  <si>
    <t>PQR-SUI-149</t>
  </si>
  <si>
    <t>3440/2026</t>
  </si>
  <si>
    <t>PQR-SUI-150</t>
  </si>
  <si>
    <t>3441/2025</t>
  </si>
  <si>
    <t>SANDRA LOAIZA TAYACK</t>
  </si>
  <si>
    <t>PQR-SUI-151</t>
  </si>
  <si>
    <t>3442/2026</t>
  </si>
  <si>
    <t>USUARIO SOLICIA DESCUENTO EN COBRO DE CONSUMO DE ACUERDO A RADICADO EMCA-2486-2026</t>
  </si>
  <si>
    <t>PQR-SUI-152</t>
  </si>
  <si>
    <t>3443/2026</t>
  </si>
  <si>
    <t>DERECHO DE PETICIÓN - SOLICITUD DE REVISIÓN Y CAMBIO DE USO COMERCIAL A RESIDENCIAL DEL PREDIO UBICADO EN LA CRA 18 No. 35-21 CODIGO 1132240</t>
  </si>
  <si>
    <t>MONICA ALEJANDRA RIOS CASTIBLANCO</t>
  </si>
  <si>
    <t>PQR-IN-73</t>
  </si>
  <si>
    <t>3444/2026</t>
  </si>
  <si>
    <t>RUU-2026-58 - SOLICITUD DE APOYO PARA LIMPIEZA Y MANTENIMIENTO DE ZONAS EXTERNAS Y VIAS DE ACCESO</t>
  </si>
  <si>
    <t>URIBE URIBE COLEGIO RAFAEL</t>
  </si>
  <si>
    <t>PQR-SUI-153</t>
  </si>
  <si>
    <t>3445/2026</t>
  </si>
  <si>
    <t>DOGERD-469-2026 - TRASLADO POR COMPETENCIA - DERECHO DE PETICIÓN 2026RE12448 - DEFICIENCIA EN LA PRESIÓN DEL SERVICIO DE ACUEDUCTO</t>
  </si>
  <si>
    <t>PQR-IN-74</t>
  </si>
  <si>
    <t>3446/2026</t>
  </si>
  <si>
    <t>20268304551841 - DEVOLUCIÓN DE EXPEDIENTE No. 2026830420115296E MILTON BILLY GONZALEZ</t>
  </si>
  <si>
    <t>EMCA-I-5414-2026</t>
  </si>
  <si>
    <t>#REF!</t>
  </si>
  <si>
    <t>PQR-SUI-154</t>
  </si>
  <si>
    <t>3447/2026</t>
  </si>
  <si>
    <t>ALBA ROCIO DIAZ RIOS</t>
  </si>
  <si>
    <t>PQR-SUI-155</t>
  </si>
  <si>
    <t>3448/2026</t>
  </si>
  <si>
    <t>BERTHA PATRICIA MARTINEZ ARIAS</t>
  </si>
  <si>
    <t>PQR-SUI-156</t>
  </si>
  <si>
    <t>3449/2026</t>
  </si>
  <si>
    <t>SOLICITUD DE ENVIO DE LA FACTURA AL CORREO ELECTRÓNICO DEL PREDIO CALLE 44 # 20-46</t>
  </si>
  <si>
    <t>Factura por Correo Electrónico</t>
  </si>
  <si>
    <t>PQR-SUI-157</t>
  </si>
  <si>
    <t>3450/2026</t>
  </si>
  <si>
    <t>USUARIO SOLICITA AJUSTE EN LA FACTURA DE SEPTIEMBRE No.100.008 YA QUE POR ERROR SE SIGUE COBRANDO EL MEDIDOR Y QUE SE ANULEN LAS CUOTAS, EL RESTANTE DEL MEDIDOR FUE CANCELADO EL 8 DE SEPTIEMBRE POR UN VALOR DE 100.392</t>
  </si>
  <si>
    <t>JOSE ALBERTO CORDERO SANTACRUZ</t>
  </si>
  <si>
    <t>PQR-SUI-158</t>
  </si>
  <si>
    <t>3451/2026</t>
  </si>
  <si>
    <t>SOLICITUD DE REVISIÓN POR FALTA DEL SERVICIO DE ACUEDUCTO - INVASIÓN COLOMBIA CASA 15</t>
  </si>
  <si>
    <t>MONICA MARICELA ZAMBRANO</t>
  </si>
  <si>
    <t>PQR-SUI-159</t>
  </si>
  <si>
    <t>3452/2026</t>
  </si>
  <si>
    <t>D.E.Q. 211-2026 - SOLICITUD DE CAMBIO DE NOMBRE DEL TITULAR DEL PREDIO UBICADO EN LA CALLE 46A No. 24-29 APARTAMENTOS 101 Y 102</t>
  </si>
  <si>
    <t>CRUZ ROJA COLOMBIANA SEC QUIN</t>
  </si>
  <si>
    <t>PQR-SUI-160</t>
  </si>
  <si>
    <t>3453/2026</t>
  </si>
  <si>
    <t>DERECHO DE PETICIÓN - SOLICITUD DE ACTUALIZACIÓN DEL TITULAR DEL SERVICIO DE ACUEDUCTO DEL PREDIO UBICADO EN LA CRA 21 No. 27-01 MZ A CASA 3 CONJUNTO CERRADO QUINTAS DE GUADUALES</t>
  </si>
  <si>
    <t>CESAR AUGUSTO GUTIERREZ</t>
  </si>
  <si>
    <t>PQR-IN-76</t>
  </si>
  <si>
    <t>3454/2026</t>
  </si>
  <si>
    <t>SOLICITUD DE COTIZACIÓN DE CARACTERIZACIÓN CONSULTORIO ODONTOLOGICO DRA ANGELICA LUCIA RIAÑO</t>
  </si>
  <si>
    <t>CENTRO MÉDICO RODRIGO ARANGO</t>
  </si>
  <si>
    <t>EMCA-I-5489-2026</t>
  </si>
  <si>
    <t xml:space="preserve">PQR-IN-77 
</t>
  </si>
  <si>
    <t>3455/2026</t>
  </si>
  <si>
    <t>SOLICITUD DE CONEXIÓN DE SERVICIOS - CRA 28 No. 37-51 PISO 3</t>
  </si>
  <si>
    <t>RAFAEL RODRIGUEZ</t>
  </si>
  <si>
    <t>PQR-SUI-161</t>
  </si>
  <si>
    <t>3456/2026</t>
  </si>
  <si>
    <t>DERECHO DE PETICIÓN - SOLICITUD DE REVISIÓN, RELIQUIDACIÓN Y APLICACIÓN DE TARIFA PARA INMUEBLE DESOCUPADO</t>
  </si>
  <si>
    <t>ARANA CARMENZA VALDION</t>
  </si>
  <si>
    <t>PQR-SUI-162</t>
  </si>
  <si>
    <t>3457/2026</t>
  </si>
  <si>
    <t>USUARIA SOLICITA QUE TAPEN EL HUECO YA QUE AYER REALIZARON UN ARREGLO 15 DE SEPTIEMBRE Y ESTA CAUSANDO PELIGRO QUE SE CAIGA UNA PERSONA</t>
  </si>
  <si>
    <t>PQR-SUI-163</t>
  </si>
  <si>
    <t>3458/2026</t>
  </si>
  <si>
    <t>NIDIA OFIR MOLINA ROMAN</t>
  </si>
  <si>
    <t>PQR-SUI-164</t>
  </si>
  <si>
    <t>3459/2026</t>
  </si>
  <si>
    <t>FRANCY MILENA HERNANDEZ ESPITIA</t>
  </si>
  <si>
    <t>PQR-SUI-165</t>
  </si>
  <si>
    <t>3460/2026</t>
  </si>
  <si>
    <t>CANO MARIA DEICERE</t>
  </si>
  <si>
    <t>PQR-SUI-166</t>
  </si>
  <si>
    <t>3461/2026</t>
  </si>
  <si>
    <t>GLORIA AMPARO VALENCIA</t>
  </si>
  <si>
    <t xml:space="preserve">PQR-IN-80
</t>
  </si>
  <si>
    <t>3462/2026</t>
  </si>
  <si>
    <t>SOLICITUD DE PRESTACIÓN DEL SERVICIO DE ACUEDUCTO - PREDIO FINCA EL MILAGRO VIA LA BELLA</t>
  </si>
  <si>
    <t>LUZ AIDA HOYOS PELAEZ</t>
  </si>
  <si>
    <t>PQR-SUI-167</t>
  </si>
  <si>
    <t>3463/2026</t>
  </si>
  <si>
    <t>USUARIO SOLICITA DESCUENTO EN COBRO DE MATERIALES YA QUE CORRESPONDE A OTRO PREDIO CON CODIGO 1031900 DE ACUERDO A SOLICITUD EMCA -PQRS-2990-2026</t>
  </si>
  <si>
    <t>PQR-SUI-168</t>
  </si>
  <si>
    <t>3464/2026</t>
  </si>
  <si>
    <t>USUARIO SOLICITA DESCUENTO EN COBRO DE CONSUMO DE ACUERDO A EMCA-2913-2026</t>
  </si>
  <si>
    <t>LUZ ESTELLA JIMENEZ SUAREZ</t>
  </si>
  <si>
    <t>PQR-SUI-169</t>
  </si>
  <si>
    <t>3465/2026</t>
  </si>
  <si>
    <t>USUARIO SOLICITA CAMBIO DE LA LLAVE DE PASO EL USUARIO TIENE LA NUEVA LLAVE EN EL PREDIO</t>
  </si>
  <si>
    <t>JOHN KENNEDY ARIAS CUBILLOS</t>
  </si>
  <si>
    <t>PQR-SUI-170</t>
  </si>
  <si>
    <t>3466/2026</t>
  </si>
  <si>
    <t>DENUNCIA POR INADECUADA DISPOSICIÓN DE RESIDUOS SOLIDOS EN LA MZ 16B DEL BARRIO LLANITOS PILOTO</t>
  </si>
  <si>
    <t>LORENA MORALES</t>
  </si>
  <si>
    <t>PQR-SUI-171</t>
  </si>
  <si>
    <t>3467/2026</t>
  </si>
  <si>
    <t>1109317 USUARIA REPORTA PREDIO DESOCUPADO</t>
  </si>
  <si>
    <t>ROSIO AREVALO</t>
  </si>
  <si>
    <t>PQR-SUI-172</t>
  </si>
  <si>
    <t>3468/2026</t>
  </si>
  <si>
    <t>DESCUENTO POR PREDIO DESOCUPADO</t>
  </si>
  <si>
    <t>PQR-SUI-173</t>
  </si>
  <si>
    <t>3469/2026</t>
  </si>
  <si>
    <t>1028720 USUARIO REPORTA PREDIO DESOCUPADO</t>
  </si>
  <si>
    <t>JESUS EDUARDO CAMPILLO PARRA</t>
  </si>
  <si>
    <t xml:space="preserve">PQR-IN-81
</t>
  </si>
  <si>
    <t>3470/2026</t>
  </si>
  <si>
    <t>USUARIO SOLICITA RECOLECCION DE TRES CANECAS CON VIDRIO</t>
  </si>
  <si>
    <t>LEONARDO INSUASTI</t>
  </si>
  <si>
    <t>PQR-SUI-174</t>
  </si>
  <si>
    <t>3471/2026</t>
  </si>
  <si>
    <t>FUGA EN RED PRINCIPAL</t>
  </si>
  <si>
    <t>MELVA RINCON PARRA</t>
  </si>
  <si>
    <t>PQR-SUI-175</t>
  </si>
  <si>
    <t>3472/2026</t>
  </si>
  <si>
    <t>1076540 USUARIA REPORTA PREDIO DESOCUPADO HACE MAS DE UN MES</t>
  </si>
  <si>
    <t>MARIA AMPARO ARENES TORRES</t>
  </si>
  <si>
    <t>PQR-SUI-176</t>
  </si>
  <si>
    <t>3473/2026</t>
  </si>
  <si>
    <t>SOLICITUD DE REVISIÓN POR ROMPIMIENTO DE LA TUBERIA DE ACUEDUCTO Y ALCANTARILLADO DEL PREDIO UBICADO EN LA CALLE 40 No. 29-26 2DO PISO</t>
  </si>
  <si>
    <t>EMCA-I-5448-2026</t>
  </si>
  <si>
    <t xml:space="preserve">PQR-IN-82
</t>
  </si>
  <si>
    <t>3474/2026</t>
  </si>
  <si>
    <t>DERECHO DE PETICIÓN DE OPOSICIÓN A INSTALACIÓN, SOLICITUD DE SUSPENCIÓN/RETIRO DE SERVICIOS PUBLICOS Y SOLICITUD DE DESMONTE DE CONTRUCCIÓN ILEGAL</t>
  </si>
  <si>
    <t>No instalación de servicios</t>
  </si>
  <si>
    <t>JUAN DIEGO GONZALEZ RIOS</t>
  </si>
  <si>
    <t>PQR-SUI-177</t>
  </si>
  <si>
    <t>3475/2026</t>
  </si>
  <si>
    <t>ALBARO GHISLAYM LOPEZ SARAZO</t>
  </si>
  <si>
    <t>PQR-SUI-178</t>
  </si>
  <si>
    <t>3476/2026</t>
  </si>
  <si>
    <t>1018980 USUARIA REPORTA PREDIO DESOCUPADO HACE MAS DE 3 MESES</t>
  </si>
  <si>
    <t>MARIA AMERICA GARCIA PRIETO</t>
  </si>
  <si>
    <t>PQR-SUI-179</t>
  </si>
  <si>
    <t>3477/2026</t>
  </si>
  <si>
    <t>SG-521-2026- REMISIÓN DE DERECHO DE PETICIÓN EMCA-PQRS-3466</t>
  </si>
  <si>
    <t>PQR-SUI-180</t>
  </si>
  <si>
    <t>3478/2026</t>
  </si>
  <si>
    <t>SOLICITUD DE FACTURA CLIENTE DAVIVIENDA CODIGO DE USUARIO 1045020</t>
  </si>
  <si>
    <t>PQR-SUI-181</t>
  </si>
  <si>
    <t>3479/2026</t>
  </si>
  <si>
    <t>DERECHO DE PETICIÓN - SOLICITUD DE REVISIÓN DE LAS REDES DE ALCANTARILLADO POR COLAPSO DEL PREDIO UBICADO EN EL BARRIO MZ N CASA 13</t>
  </si>
  <si>
    <t>ORLANDO BECERRA MORALES</t>
  </si>
  <si>
    <t>EMCA-I-5631-2026</t>
  </si>
  <si>
    <t>PQR-SUI-183</t>
  </si>
  <si>
    <t>3480/2026</t>
  </si>
  <si>
    <t>SPM-3593-2026 - TRASLADO POR COMPETENCIA - 2026RE12487 SOLICITUD DE REVISIÓN POR FUGA INTERNA EN EL PREDIO UBICADO EN LA CRA 28 No. 36-40</t>
  </si>
  <si>
    <t>EMCA-I-5430-2026</t>
  </si>
  <si>
    <t>PQR-SUI-182</t>
  </si>
  <si>
    <t>3481/2026</t>
  </si>
  <si>
    <t>1197200 USUARIA REPORTA PREDIO DESOCUPADO</t>
  </si>
  <si>
    <t>YOLANDA PAIVA ZANCHEZ</t>
  </si>
  <si>
    <t>PQR-SUI-184</t>
  </si>
  <si>
    <t>3482/2026</t>
  </si>
  <si>
    <t>MISHELL CAROLINA PERALTA</t>
  </si>
  <si>
    <t xml:space="preserve">PQR-IN-83
</t>
  </si>
  <si>
    <t>3483/2026</t>
  </si>
  <si>
    <t>SOLICITUD CONEXION DE SERVICIOS LA PRIMAVERA MZ A CASA 11</t>
  </si>
  <si>
    <t>PORRAS GLADYS OVIEDO</t>
  </si>
  <si>
    <t xml:space="preserve">PQR-IN-146
</t>
  </si>
  <si>
    <t>3484/2026</t>
  </si>
  <si>
    <t>SOLICITUD CONEXION DE SERVICIOS CALLE 41 No. 36-111 HORIZONTE REAL</t>
  </si>
  <si>
    <t xml:space="preserve">PQR-IN-85
</t>
  </si>
  <si>
    <t>3485/2026</t>
  </si>
  <si>
    <t>SOLICITUD DE 4 CANECAS PARA DISPOSICIÓN DE RESIDUOS Y VISITA TÉCNICA AL ACUEDUCTO DEL CORREGIMIENTO DE QUEBRADANEGRA</t>
  </si>
  <si>
    <t>DIEGO ALEJANDRO CAMELO DIAZ</t>
  </si>
  <si>
    <t>PQR-SUI-185</t>
  </si>
  <si>
    <t>3486/2026</t>
  </si>
  <si>
    <t>USUARIO SOLICITA QUE LIMPIAR SUMIDERO DE ALCANTARILLADO DIAGONAL A ESTE PREDIO Y EL OTRO SUMIDERO SE ENCUENTRA POR LA CL 23 ENTRANDO HACIA EL MURO DE LA CANCHA DEL MONDRAGON LLAMAR ANTES DE IR</t>
  </si>
  <si>
    <t>Limpiar sumidero</t>
  </si>
  <si>
    <t>PQR-SUI-186</t>
  </si>
  <si>
    <t>3487/2026</t>
  </si>
  <si>
    <t>MARIA ELENA FORERO MORA</t>
  </si>
  <si>
    <t>PQR-SUI-187</t>
  </si>
  <si>
    <t>3488/2026</t>
  </si>
  <si>
    <t>SOLCITUD PREDIO DESOCUPADO</t>
  </si>
  <si>
    <t>ALVARO GONZALEZ QUEVEDO</t>
  </si>
  <si>
    <t>PQR-SUI-188</t>
  </si>
  <si>
    <t>3489/2026</t>
  </si>
  <si>
    <t>USUARIO SOLICIA DESCUENTO EN COBRO DE CONSUMO DE ACUERDO A RESPUESTA DEL RECLAMO 1453-127</t>
  </si>
  <si>
    <t>RICARDO ESTEBAN SANTAMARIA</t>
  </si>
  <si>
    <t>PQR-SUI-189</t>
  </si>
  <si>
    <t>3490/2026</t>
  </si>
  <si>
    <t>USUARIO SOLICITA CAMBIO DE LA LLAVE DE PASO DEL MEDIDOR</t>
  </si>
  <si>
    <t>WILLIAM JOSE HERRERA HERRERA</t>
  </si>
  <si>
    <t xml:space="preserve">PQR-IN-86
</t>
  </si>
  <si>
    <t>3491/2026</t>
  </si>
  <si>
    <t>SOLICTUD DE AJUSTE EN ALUMBRADO PÚBLICO</t>
  </si>
  <si>
    <t>Ajuste alimbrado publico</t>
  </si>
  <si>
    <t>ANGIE MARIETH CASTAÑEDA</t>
  </si>
  <si>
    <t>PQR-SUI-190</t>
  </si>
  <si>
    <t>3492/2026</t>
  </si>
  <si>
    <t>JOSE DEIBER MORALES</t>
  </si>
  <si>
    <t>PQR-SUI-191</t>
  </si>
  <si>
    <t>3493/2026</t>
  </si>
  <si>
    <t>VEGAALBERTO273@GMAIL.COM</t>
  </si>
  <si>
    <t>PQR-SUI-192</t>
  </si>
  <si>
    <t>3494/2026</t>
  </si>
  <si>
    <t>USUARIO REPORTA PREDIO DESOCUPADO BARRIO LUIS CARLOS GALNA MZ N cASA 1</t>
  </si>
  <si>
    <t xml:space="preserve">PQR-IN-88
</t>
  </si>
  <si>
    <t>3495/2026</t>
  </si>
  <si>
    <t>SOLICITUD DE REVISIÓN DEL ALUMBRADO PUBLICO</t>
  </si>
  <si>
    <t>S.A.S CABO MARIPOSA</t>
  </si>
  <si>
    <t xml:space="preserve">PQR-IN-89
</t>
  </si>
  <si>
    <t>3496/2026</t>
  </si>
  <si>
    <t>SOLICITUD DE COTIZACIÓN PARA EL SERVICIO DE INSPECCIÓN TELEVISIVA (CCTV) Y LIMPIEZA DE TUBERIA DE LAS REDES DE ALCANTARILLADO (SANITARIO Y PLUVIAL)</t>
  </si>
  <si>
    <t>PQR-SUI-193</t>
  </si>
  <si>
    <t>3497/2026</t>
  </si>
  <si>
    <t>SOLICITUD DUPLICADO DE FACTURA</t>
  </si>
  <si>
    <t xml:space="preserve">PQR-IN-90
</t>
  </si>
  <si>
    <t>3498/2026</t>
  </si>
  <si>
    <t>SOLCITUD DE COTIZACIÓN</t>
  </si>
  <si>
    <t>ASOCORREDOR</t>
  </si>
  <si>
    <t>PQR-SUI-194</t>
  </si>
  <si>
    <t>3499/2026</t>
  </si>
  <si>
    <t>OFICIO IMP-1137-2026 - REMISIÓN POR COMPETENCIA REFERENCIA PQRS-3466-2026/ DENUNCIA BOTADERO DE BASURA</t>
  </si>
  <si>
    <t>Recolección de basura</t>
  </si>
  <si>
    <t>INSPECCIÓN DE POLICIA</t>
  </si>
  <si>
    <t>INSPECCIONPOLICIA@CALARCA-QUINDIO.GOV.CO</t>
  </si>
  <si>
    <t xml:space="preserve">PQR-IN-91
</t>
  </si>
  <si>
    <t>3500/2026</t>
  </si>
  <si>
    <t>USUARIA SOLICITA QUE RECOJAN UNAS MADERAS,TEJAS VARIAS COSAS EN LA DIRECCION CR 17 # 43-26 LLAMAR ANTES DE IR</t>
  </si>
  <si>
    <t>ANGELICA MARIA DOMINGUEZ</t>
  </si>
  <si>
    <t xml:space="preserve">PQR-IN-92
</t>
  </si>
  <si>
    <t>3501/2026</t>
  </si>
  <si>
    <t>SOLICITUD DE REVISIÓN</t>
  </si>
  <si>
    <t>Revisión de Infraestructura</t>
  </si>
  <si>
    <t>CONJUNTO RESIDENCIAL ALTAVISTA</t>
  </si>
  <si>
    <t>PQR-SUI-195</t>
  </si>
  <si>
    <t>3502/2026</t>
  </si>
  <si>
    <t>PQR-SUI-196</t>
  </si>
  <si>
    <t>3503/2026</t>
  </si>
  <si>
    <t>SE DEBE DE HACER AJUSTE A LA FACTURA POR VALOR DE 87280 YA QUE SE APLICO AL CODIGO 1100460</t>
  </si>
  <si>
    <t>ROSALBA JURADO</t>
  </si>
  <si>
    <t>PQR-SUI-197</t>
  </si>
  <si>
    <t>3504/2026</t>
  </si>
  <si>
    <t>USUARIO REPORTA DAÑO DE RED DE ALCANTARILLADO YA QUE HACE DIAS REALIZARON UN ARREGLO DONDE YA EMPEZO AFECTAR A ESTE PREDIO YA QUE SE ESTA DEVOLVIENDO LAS AGUAS NEGRAS POR LOS CIFONES LLAMAR ANTES DE IR</t>
  </si>
  <si>
    <t>DUFREY AREVALO SABOGAL</t>
  </si>
  <si>
    <t xml:space="preserve">PQR-IN-93
</t>
  </si>
  <si>
    <t>3505/2026</t>
  </si>
  <si>
    <t>USUARIO SOLICITA RECOLECCION DE 1 COLCHON Y UNA MALETA</t>
  </si>
  <si>
    <t>ALBA ISABEL VITATA</t>
  </si>
  <si>
    <t>PQR-SUI-198</t>
  </si>
  <si>
    <t>3506/2026</t>
  </si>
  <si>
    <t>SANDRA LILIANA VIRGEN REYES</t>
  </si>
  <si>
    <t>PQR-SUI-199</t>
  </si>
  <si>
    <t>3507/2026</t>
  </si>
  <si>
    <t>PQR-SUI-200</t>
  </si>
  <si>
    <t>3508/2026</t>
  </si>
  <si>
    <t>LUZ MIRIAM HERNANDEZ</t>
  </si>
  <si>
    <t xml:space="preserve">PQR-IN-94
</t>
  </si>
  <si>
    <t>3509/2026</t>
  </si>
  <si>
    <t>SOLICITUD DE REVISIÓN PARA VIABILIDAD DE INSTALACIÓN DE LUMINARIA EN LA INTERSECCIÓN VÍAL - VILLA TATIANA - MIRADOR DEL CACIQUE</t>
  </si>
  <si>
    <t>BUITRAGO PALOMARES RICARDO RICARDO</t>
  </si>
  <si>
    <t>PQR-SUI-201</t>
  </si>
  <si>
    <t>3510/2026</t>
  </si>
  <si>
    <t>FABIOLA ORTIZ AGUDELO</t>
  </si>
  <si>
    <t>PQR-SUI-202</t>
  </si>
  <si>
    <t>3511/2026</t>
  </si>
  <si>
    <t>USUARIO REPORTA DEFICIENCIA DE PRESION YA QUE LLEGA MUY POCA AGU AL PREDIO LLAMAR ANTES DE IR</t>
  </si>
  <si>
    <t>CRISTIAN ZAMIR QUINTERO RAMIREZ</t>
  </si>
  <si>
    <t xml:space="preserve">PQR-IN-95
</t>
  </si>
  <si>
    <t>3512/2026</t>
  </si>
  <si>
    <t>USUARIO REPORTA LUMINARIA APAGADA HACE 4 DIAS EN EL POSTE QUE ESTA AL LADO DE LA CARRERA 31 # 38 44</t>
  </si>
  <si>
    <t>PQR-SUI-203</t>
  </si>
  <si>
    <t>3513/2026</t>
  </si>
  <si>
    <t>USUARIA REPORTA QUE NO SE EFECTUA RECOLECCION PUERTA A PUERTA YA VARIAS VECES NO LE RECOJEN ALGUNOS PREDIOS DE ESTA MANZANA LA BASURA</t>
  </si>
  <si>
    <t>MAGNOLIA VALENCIA TORO</t>
  </si>
  <si>
    <t>PQR-SUI-204</t>
  </si>
  <si>
    <t>3514/2026</t>
  </si>
  <si>
    <t>SOLICITUD DE REVISIÓN POR DAÑOS DESPUES DEL SISMO DEL 10 DE AGOSTO</t>
  </si>
  <si>
    <t>MARIA AMPARO ZULUAGA MONTOYA</t>
  </si>
  <si>
    <t>PQR-SUI-205</t>
  </si>
  <si>
    <t>3515/2026</t>
  </si>
  <si>
    <t xml:space="preserve">USUARIO REPORTA PREDIO DESOCUPADOA. DIRECCION DE CORRESPONDENCIA: CRA 27 # 27-12 LAS FERIAS
</t>
  </si>
  <si>
    <t>HERNANDEZ JULIA FONSECA DE</t>
  </si>
  <si>
    <t>PQR-SUI-206</t>
  </si>
  <si>
    <t>3516/2026</t>
  </si>
  <si>
    <t>DERECHO DE PETICIÓN - SOLICITUD DE LIMPIEZA Y MANTENIMIENTO DE TUBERIA DE ALCANTARILLADO DEL PREDIO UBICADO EN EL BARRIO VERSALLES CRA 17 CALLE 38</t>
  </si>
  <si>
    <t>EDGAR CULMAN</t>
  </si>
  <si>
    <t xml:space="preserve">PQR-IN-96
</t>
  </si>
  <si>
    <t>3517/2026</t>
  </si>
  <si>
    <t>SOLICITUD DE CONEXIÓN DE SERVICIOS - CALLE 40 No. 16-16 APTO 101</t>
  </si>
  <si>
    <t>CLAUDIA MERCEDES ARANGO BELLO</t>
  </si>
  <si>
    <t>PQR-SUI-207</t>
  </si>
  <si>
    <t>3518/2026</t>
  </si>
  <si>
    <t>POLANIA OSORIO EVELYN LILIANA</t>
  </si>
  <si>
    <t>PQR-SUI-208</t>
  </si>
  <si>
    <t>3519/2026</t>
  </si>
  <si>
    <t>OLMA CECILIA MENDEZ GALINDO</t>
  </si>
  <si>
    <t xml:space="preserve">PQR-IN-97
</t>
  </si>
  <si>
    <t>3520/2026</t>
  </si>
  <si>
    <t>USUARIA SOLICITA QUE RECOJAN UNOS COLCHONES CAJONES VARIAS COSAS EN LA DIRECCION CL 18 # 30-40</t>
  </si>
  <si>
    <t>RUBIELA DIAZ COBALEDA</t>
  </si>
  <si>
    <t>PQR-SUI-209</t>
  </si>
  <si>
    <t>3521/2026</t>
  </si>
  <si>
    <t>VICTOR ALFONSO VALENCIA</t>
  </si>
  <si>
    <t>PQR-SUI-210</t>
  </si>
  <si>
    <t>3522/2026</t>
  </si>
  <si>
    <t>LUZ NELLY MORALES</t>
  </si>
  <si>
    <t>PQR-SUI-211</t>
  </si>
  <si>
    <t>3523/2026</t>
  </si>
  <si>
    <t>USUARIO REPORTA DAÑO EN LA RED DE ALCANTARILLADO EL CUAL PERJUDICA A TRES VIVIENDAS DEL SECTOR</t>
  </si>
  <si>
    <t>ARLES LOAIZA LOAIZA</t>
  </si>
  <si>
    <t>PQR-SUI-212</t>
  </si>
  <si>
    <t>3524/2026</t>
  </si>
  <si>
    <t>209662 USUARIO SOLICITA LIMPIA DE LOS SUMIDEROS DEL SECTOR YA QUE ESTAN TAPADOS</t>
  </si>
  <si>
    <t>EBER HURTADO GARCIA</t>
  </si>
  <si>
    <t>PQR-SUI-213</t>
  </si>
  <si>
    <t>3525/2026</t>
  </si>
  <si>
    <t>USUARIO SOLICIA DESCUENTO EN COBRO DE CONSUMO DE ACUERDO A RADICADO EMCA-PQRS-2914-2026</t>
  </si>
  <si>
    <t>CARMEN DAVILA DE ALZATE</t>
  </si>
  <si>
    <t>3526/2026</t>
  </si>
  <si>
    <t>SOLICITUD DE REVISIÓN Y AJUSTE EN LA FACTURACIÓN DEL SERVICIO DE ACUEDUCTO POR DAÑOS OCASIONADOS EN EL TERREMOTO CODIGO DE USUARIO 1203060</t>
  </si>
  <si>
    <t>JENNY CECILIA ECHEVERRY GALLEGO</t>
  </si>
  <si>
    <t>PQR-SUI-214</t>
  </si>
  <si>
    <t>3527/2026</t>
  </si>
  <si>
    <t>DERECHO DE PETICIÓN - SOLICITUD DE REVISIÓN Y MANTENIMIENTO DE REDES DE ALCANTARILLADO - CONGAL 1 BARCELONA</t>
  </si>
  <si>
    <t>ENRIQUE JORGE JORGE</t>
  </si>
  <si>
    <t>PQR-SUI-215</t>
  </si>
  <si>
    <t>3528/2026</t>
  </si>
  <si>
    <t>USUARIO SOLICITA QUE TAPEN EL HUECO DEL TRABAJO QUE REALIZARON YA QUE DEBIDO A ESTE HUECO ESTA CAUSANDO PELIGRO A QUE SE CAIGA UNA PERSONA</t>
  </si>
  <si>
    <t>MARIO ALBERTO PALACIO PALACIO</t>
  </si>
  <si>
    <t>PQR-SUI-216</t>
  </si>
  <si>
    <t>3529/2026</t>
  </si>
  <si>
    <t>LUIS ALEJANDRO RODRIGUEZ</t>
  </si>
  <si>
    <t xml:space="preserve">PQR-IN-99
</t>
  </si>
  <si>
    <t>3530/2026</t>
  </si>
  <si>
    <t>USUARIA SOLICITA RECOLECCION DE RESIDUOS UN MUEBLE</t>
  </si>
  <si>
    <t>DIANA MILENA GIRALDO MORALES</t>
  </si>
  <si>
    <t>PQR-SUI-217</t>
  </si>
  <si>
    <t>3531/2026</t>
  </si>
  <si>
    <t>RECURSO DE REPOSICIÓN Y EN SUBSIDIO DE APELACIÓN CONTRA RESPUESTA EMCA-I-4622-2026 DE LA SOLICITUD PQR 1491-127</t>
  </si>
  <si>
    <t>PQR-SUI-218</t>
  </si>
  <si>
    <t>3532/2026</t>
  </si>
  <si>
    <t>SOLICITUD DUPLICADO DE FACTURAS CÓDIGOS 1207980-1198480</t>
  </si>
  <si>
    <t>PQR-IN-100</t>
  </si>
  <si>
    <t>3533/2026</t>
  </si>
  <si>
    <t>USUARIO RPORTA LUMINARIA APAGADA EN EL POSTE QUE ESTA EN LA CR 23 # 44-30 ESQUINA DE LA VARIANTE</t>
  </si>
  <si>
    <t>RODRIGO GUTIERREZ</t>
  </si>
  <si>
    <t>PQR-SUI-219</t>
  </si>
  <si>
    <t>3534/2026</t>
  </si>
  <si>
    <t>DERECHO DE PETICIÓN -SOLICITUD DE REVISIÓN DEL CONSUMO DE ACUEDUCTO POR INCREMENTO SIGNIFICATIVO DEL PREDIO UBICADO EN LA CRA 18 No. 34-29</t>
  </si>
  <si>
    <t>PQR-SUI-241</t>
  </si>
  <si>
    <t>JUAN PABLO MORA</t>
  </si>
  <si>
    <t>PQR-IN-101</t>
  </si>
  <si>
    <t>3535/2026</t>
  </si>
  <si>
    <t>CESIÓN DE LOCAL COMERCIAL DE LA PLAZA DE MERCADO</t>
  </si>
  <si>
    <t>JOHANANDRESRODRIGUEZ83@HOTMAIL.COM</t>
  </si>
  <si>
    <t>PQR-SUI-220</t>
  </si>
  <si>
    <t>3536/2026</t>
  </si>
  <si>
    <t>SOLICITUD DE ENVIO DE LA FACTURA DEL SERVICIO DE ACUEDUCTO DEL PREDIO UBICADO EN LA CRA 26 No. 46-20 Y 46-24 BARRIO ANTONIO NARIÑO</t>
  </si>
  <si>
    <t>ELSY OMAIRA CARVAJAL FERNANDEZ</t>
  </si>
  <si>
    <t>PQR-IN-102</t>
  </si>
  <si>
    <t>3537/2026</t>
  </si>
  <si>
    <t>DERECHO DE PETICIÓN - SOLICITUD DE REVISIÓN A POZO SEPTICO POR DESBORDE - FINCA EL TESORO PUERTO BARCELONA</t>
  </si>
  <si>
    <t>AYDEE SOSSA ALVAREZ</t>
  </si>
  <si>
    <t>PQR-IN-103</t>
  </si>
  <si>
    <t>3538/2026</t>
  </si>
  <si>
    <t>SOLICITUD DE CARACTERIZACIÓN DE AGUAS RESIDUALES DOMESTICAS</t>
  </si>
  <si>
    <t>JOSE GILBERTO GARCIA GARCIA</t>
  </si>
  <si>
    <t>PQR-SUI-221</t>
  </si>
  <si>
    <t>3539/2026</t>
  </si>
  <si>
    <t>OSMED ZAPATA MEJIA</t>
  </si>
  <si>
    <t>PQR-SUI-222</t>
  </si>
  <si>
    <t>3540/2026</t>
  </si>
  <si>
    <t>JULIAN MARTINEZ ROJAS</t>
  </si>
  <si>
    <t>PQR-SUI-223</t>
  </si>
  <si>
    <t>3541/2026</t>
  </si>
  <si>
    <t>DERECHO DE PETICIÓN - SOLICITUD DE VISITA TÉCNICA PARA VERIFICACIÓN DE ESTADO DE TUBERIA - CONJUNTO RESIDENCIAL BIOMA MZ H CASA 4</t>
  </si>
  <si>
    <t>CESAR ANTONIO ARISTIZABAL RODAS</t>
  </si>
  <si>
    <t>PQR-SUI-224</t>
  </si>
  <si>
    <t>3542/2026</t>
  </si>
  <si>
    <t>USUARIO SOLICIA DESCUENTO EN COBRO DE CONSUMO DE ACUERDO A RADICADO EMCA-PQRS-3070-2026</t>
  </si>
  <si>
    <t>Revisión de Cosnumo</t>
  </si>
  <si>
    <t>poncholopezaguirre@gmail.com</t>
  </si>
  <si>
    <t>PQR-SUI-225</t>
  </si>
  <si>
    <t>3543/2026</t>
  </si>
  <si>
    <t>DERECHO DE PETICIÓN - RECLAMACIÓN POR INCREMENTO INJUSTIFICADO EN LA FACTURACIÓN CODIGO DE USUARIO 1251095</t>
  </si>
  <si>
    <t>MA. DEL TANGARIFE MORALES</t>
  </si>
  <si>
    <t>PQR-IN-104</t>
  </si>
  <si>
    <t>3544/2026</t>
  </si>
  <si>
    <t>SOLICITUD DE REVISIÓN DE LUMINARIA INSTALADA PARA REUBICACIÓN - EL CONGAL 1 TRANSVERSAL B No. 508</t>
  </si>
  <si>
    <t>EMMA GALLEGO MARIA</t>
  </si>
  <si>
    <t>PQR-SUI-226</t>
  </si>
  <si>
    <t>3545/2026</t>
  </si>
  <si>
    <t>1253892 USUARIA REPORTA PREDIO DESOCUPADO</t>
  </si>
  <si>
    <t>MARIA NANCY OVALLE SERNA</t>
  </si>
  <si>
    <t>PQR-SUI-227</t>
  </si>
  <si>
    <t>3546/2026</t>
  </si>
  <si>
    <t>SOLICITUD DUPLICADO DE FACTURAS CÓDIGOS 1027880, 1029020, 1193500, Y 1193510</t>
  </si>
  <si>
    <t>PQR-IN-105</t>
  </si>
  <si>
    <t>3547/2026</t>
  </si>
  <si>
    <t>REPORTE DE PREDIO DESOCUPADO UBICADO EN BARRIO GUADUALES MZ D CASA 5 PISO 2 ETAPA 1 CODIGO DE USUARIO 1250482</t>
  </si>
  <si>
    <t>LEIDI ARIAS GRAJALES</t>
  </si>
  <si>
    <t>PQR-SUI-228</t>
  </si>
  <si>
    <t>3548/2026</t>
  </si>
  <si>
    <t>SOLICITUD DE ENVIO POR CORREO ELECTRONICO DE LA FACTURA DEL SERVICIO DE ACUEDUCTO CODIGO DE USUARIO 1250482</t>
  </si>
  <si>
    <t>PQR-SUI-229</t>
  </si>
  <si>
    <t>3549/2026</t>
  </si>
  <si>
    <t>PQR-SUI-230</t>
  </si>
  <si>
    <t>3550/2026</t>
  </si>
  <si>
    <t>PQR-IN-106</t>
  </si>
  <si>
    <t>3551/2026</t>
  </si>
  <si>
    <t>USUARIA REPORTA LUMINARIA FUNDIDA EN LA DIRECCION GUADUALES III MZ N CASA 1 NUMERO DE POSTE 2623,2627</t>
  </si>
  <si>
    <t>ROSALBA GUERRERO DAVILA</t>
  </si>
  <si>
    <t>PQR-IN-107</t>
  </si>
  <si>
    <t>3552/2026</t>
  </si>
  <si>
    <t>SOLICITUD CONEXION DE SERVICIOS CRA 32 No. 9-152 - CABO MARIPOSA LOTE 01</t>
  </si>
  <si>
    <t>JAVIER ESTEBAN GONZALEZ</t>
  </si>
  <si>
    <t>PQR-SUI-231</t>
  </si>
  <si>
    <t>3553/2026</t>
  </si>
  <si>
    <t>1252888 USUARIO REPORTA PREDIO DESOCUPADO</t>
  </si>
  <si>
    <t>PQR-SUI-232</t>
  </si>
  <si>
    <t>3554/2026</t>
  </si>
  <si>
    <t>ANDERSON ESTEFAN RAMIREZ ALAP</t>
  </si>
  <si>
    <t>PQR-SUI-233</t>
  </si>
  <si>
    <t>3555/2026</t>
  </si>
  <si>
    <t>PQR-SUI-234</t>
  </si>
  <si>
    <t>3556/2026</t>
  </si>
  <si>
    <t>DAÑO RED DE ALCANTARILLADO</t>
  </si>
  <si>
    <t>MELIDA CRUZ</t>
  </si>
  <si>
    <t>PQR-SUI-235</t>
  </si>
  <si>
    <t>3557/2026</t>
  </si>
  <si>
    <t>MERY MARTINEZ BLANCA</t>
  </si>
  <si>
    <t>PQR-SUI-237</t>
  </si>
  <si>
    <t>3559/2026</t>
  </si>
  <si>
    <t>SUSCIRPTOR QUE PAGA Y NO SE APLICA EN LA FACTURA</t>
  </si>
  <si>
    <t>DORA LILIA CANASTEROS HERNANDEZ</t>
  </si>
  <si>
    <t>PQR-SUI-238</t>
  </si>
  <si>
    <t>3560/2026</t>
  </si>
  <si>
    <t>2026EE-7007- SLICITUD DE INCLUSIÓN DE ZONA VERDE DEL BARRIO VERANERAS CORREGIMIENTO DE BARCELONA EN EL SERVICIO PÚBLICO DE ASEO</t>
  </si>
  <si>
    <t>Inclusión Zona verde</t>
  </si>
  <si>
    <t>PQR-SUI-239</t>
  </si>
  <si>
    <t>3561/2026</t>
  </si>
  <si>
    <t>SOLICITUD DE REVISIÓN Y ACLARACIÓN DE PAGO DEL CODIGO DE USUARIO 1121620</t>
  </si>
  <si>
    <t>NATALIA BERNAL</t>
  </si>
  <si>
    <t>PQR-SUI-240</t>
  </si>
  <si>
    <t>3562/2026</t>
  </si>
  <si>
    <t>USUARIO SOLICIA DESCUENTO DE RECARGOS POR PAGO DE CONTADO</t>
  </si>
  <si>
    <t>NOHEMY JURADO</t>
  </si>
  <si>
    <t>PQR-IN-108</t>
  </si>
  <si>
    <t>3563/2026</t>
  </si>
  <si>
    <t>USUARIA REPORTA LUMINARIA APAGADA EN EL POSTE UBICADO URB LA PRIMAVERA MZ 12 CASA 15</t>
  </si>
  <si>
    <t>HORACIO YAYA MORENO</t>
  </si>
  <si>
    <t>3564/2026</t>
  </si>
  <si>
    <t>JHON FREDY GARCIA PEÑA</t>
  </si>
  <si>
    <t>PQR-IN-109</t>
  </si>
  <si>
    <t>3565/2026</t>
  </si>
  <si>
    <t>USUARIO SOLICITA RECOLECCION DE MUEBLE EN MADERA</t>
  </si>
  <si>
    <t>CLARA GIRALDO</t>
  </si>
  <si>
    <t>PQR-SUI-242</t>
  </si>
  <si>
    <t>3566/2026</t>
  </si>
  <si>
    <t>SOLICITUD DE REVISIÓN Y MANTENIMIENTO DE LA RED DE ALCANTARILLADO DE LA CALLE 39 No. 29A-13 SEGUNDO HENAO</t>
  </si>
  <si>
    <t>SANDOVAL DE MARIA ERLY</t>
  </si>
  <si>
    <t>PQR-SUI-243</t>
  </si>
  <si>
    <t>3567/2026</t>
  </si>
  <si>
    <t>USUARIA REPORTA DEFICIENCIA DE PRESION YA QUE NO LLEGA BUEN AGUA AL PREDIO</t>
  </si>
  <si>
    <t>GINA PAOLA CUZZI LARRARTE</t>
  </si>
  <si>
    <t>PQR-IN-110</t>
  </si>
  <si>
    <t>3568/2026</t>
  </si>
  <si>
    <t>PQR-SUI-244</t>
  </si>
  <si>
    <t>3569/2026</t>
  </si>
  <si>
    <t>RICARDO OROZCO RODAS</t>
  </si>
  <si>
    <t>PQR-IN-111</t>
  </si>
  <si>
    <t>3570/2026</t>
  </si>
  <si>
    <t>SOLICITUD HISTORIAL DE FACTURACIÓN DE LA CRA 25 No. 42-20 APARTAMENTOS 201 Y 202 DE OCTUBRE DE 2025 A SEPTIEMBRE DE 2026</t>
  </si>
  <si>
    <t>PQR-SUI-245</t>
  </si>
  <si>
    <t>3571/2026</t>
  </si>
  <si>
    <t>USUARIO SOLICIA DESCUENTO EN COBRO DE CONSUMO DE ACUERDO A RESPUESTA DEL RADICADO EMCA-PQRS-2914-2026</t>
  </si>
  <si>
    <t>PQR-SUI-246</t>
  </si>
  <si>
    <t>3572/2026</t>
  </si>
  <si>
    <t>FABIO NELSON IGUIRA CUQUI</t>
  </si>
  <si>
    <t>PQR-SUI-247</t>
  </si>
  <si>
    <t>3573/2026</t>
  </si>
  <si>
    <t>PQR-IN-113</t>
  </si>
  <si>
    <t>3574/2026</t>
  </si>
  <si>
    <t>TERMINACIÓN UNILATERAL DEL CONTRATO DE ARRENDAMIENTO POR INCUMPLIMIENTO DEL ARRENDADOR (FALTA DE REPARACIONES NECESARIAS)</t>
  </si>
  <si>
    <t>JHON FREDY OSPINA GUTIERREZ</t>
  </si>
  <si>
    <t>PQR-SUI-248</t>
  </si>
  <si>
    <t>3575/2026</t>
  </si>
  <si>
    <t>SOLICITUD DE INTERVENCIÓN POR INADECUADA DISPOSICIÓN DE RESIDUOS EN LA CRA 26 No. 36-04</t>
  </si>
  <si>
    <t>Inadecuada Disposición de Residuos</t>
  </si>
  <si>
    <t>GEMAY RAMIREZ GIRALDO</t>
  </si>
  <si>
    <t>PQR-SUI-249</t>
  </si>
  <si>
    <t>3576/2026</t>
  </si>
  <si>
    <t>USUARIO SOLICITA AJUSTE EN LA FACTURA YA QUE POR ERROR CANCELO CON CÓDIGO 1254483 EL DÍA 27 DE JULIO 2026</t>
  </si>
  <si>
    <t>PQR-SUI-251</t>
  </si>
  <si>
    <t>3577/2026</t>
  </si>
  <si>
    <t>MARIA NERIED GIRALDO NOREÑA</t>
  </si>
  <si>
    <t>PQR-SUI-250</t>
  </si>
  <si>
    <t>3578/2026</t>
  </si>
  <si>
    <t>PQR-SUI-252</t>
  </si>
  <si>
    <t>3579/2026</t>
  </si>
  <si>
    <t>SI-1327-2026 - TRASLADO POR COMPETENCIA DERECHO DE PETICIÓN EMCA-PQRS-3466</t>
  </si>
  <si>
    <t>PQR-SUI-253</t>
  </si>
  <si>
    <t>3580/2026</t>
  </si>
  <si>
    <t>RECOGER ESCOMBROS</t>
  </si>
  <si>
    <t>LAURA CAROLINA ZULUAGA MELO</t>
  </si>
  <si>
    <t>PQR-SUI-254</t>
  </si>
  <si>
    <t>3581/2026</t>
  </si>
  <si>
    <t>LUISA FERNANDA AGUIRRE</t>
  </si>
  <si>
    <t>PQR-SUI-255</t>
  </si>
  <si>
    <t>3582/2026</t>
  </si>
  <si>
    <t>OSCAR ANDRES QUEVEDO BUSTOS</t>
  </si>
  <si>
    <t>PQR-SUI-256</t>
  </si>
  <si>
    <t>3583/2026</t>
  </si>
  <si>
    <t>SUARIO SOLICITA CAMBIO DE NOMBRE EN LA FACTURA</t>
  </si>
  <si>
    <t>GUILLERMO SANCHEZ CONTRERAS</t>
  </si>
  <si>
    <t>PQR-SUI-257</t>
  </si>
  <si>
    <t>3584/2026</t>
  </si>
  <si>
    <t>202654003000048841 - REITERACIÓN DE SOLICITUD INTERVENCIÓN URGENTE POR FALLAS DEL SISTEMA DE ALCANTARILLADO DEL CDI UNIDAD LLANITOS</t>
  </si>
  <si>
    <t>PQR-IN-114</t>
  </si>
  <si>
    <t>3585/2026</t>
  </si>
  <si>
    <t>TRASLADO POR COMPETENCIA - DERECHO DE PETICIÓN - SOLICITUD DE ILUMINACIÓN DE LOS PUNTOS DONDE INSTALARON LAS CAMARAS DE SEGURIDAD EN EL CORREGIMIENTO DE BARCELONA</t>
  </si>
  <si>
    <t>PQR-SUI-258</t>
  </si>
  <si>
    <t>3586/2026</t>
  </si>
  <si>
    <t>MARIA RUBY RAMIREZ DE GOMEZ</t>
  </si>
  <si>
    <t>PQR-IN-115</t>
  </si>
  <si>
    <t>3587/2026</t>
  </si>
  <si>
    <t>SOLICITUD DE COTIZACIÓN PARA ANALISIS FISICOQUIMICO Y MICROBIOLOGICO DE AGUA CRUDA</t>
  </si>
  <si>
    <t>JOHN HENRY RIVERA</t>
  </si>
  <si>
    <t>PQR-SUI-259</t>
  </si>
  <si>
    <t>3588/2026</t>
  </si>
  <si>
    <t>LECTOR REPORTA FUGA EN LA RED DOMICILIARIA</t>
  </si>
  <si>
    <t>EUNICE GONZALES EUNICE</t>
  </si>
  <si>
    <t>PQR-SUI-260</t>
  </si>
  <si>
    <t>3589/2026</t>
  </si>
  <si>
    <t>LECTOR REPORTA FUGA DE RED DOMICILIARIA</t>
  </si>
  <si>
    <t>MARIA Y RODRIGUEZ ROJAS</t>
  </si>
  <si>
    <t>PQR-SUI-261</t>
  </si>
  <si>
    <t>3590/2026</t>
  </si>
  <si>
    <t>ESTRATO INCORRECTO</t>
  </si>
  <si>
    <t>MARTHA NUBIA AGUIRRE</t>
  </si>
  <si>
    <t>PQR-SUI-262</t>
  </si>
  <si>
    <t>3591/2026</t>
  </si>
  <si>
    <t>MERCEDES CASAS ROZO</t>
  </si>
  <si>
    <t>PQR-SUI-263</t>
  </si>
  <si>
    <t>3592/2026</t>
  </si>
  <si>
    <t>DERECHO DE PETICIÓN - SOLICITUD DE AJUSTE EN FACTURACIÓN CODIGO DE USUARIO 1208380</t>
  </si>
  <si>
    <t>JOSE DUBAN GIL JIMENEZ</t>
  </si>
  <si>
    <t>PQR-SUI-264</t>
  </si>
  <si>
    <t>3593/2026</t>
  </si>
  <si>
    <t>SOLICITUD DE VISITA TECNICA POR TAPONAMIENTO DE ALCANTARILLADO EN EL BARRIO LLANITOS GUALARA MZ 28 CASA 18</t>
  </si>
  <si>
    <t>MARIA NUBIA FLOREZ BENJUMEA</t>
  </si>
  <si>
    <t>PQR-SUI-265</t>
  </si>
  <si>
    <t>3594/2026</t>
  </si>
  <si>
    <t>RECLAMACIÓN POR INCREMENTO EN EL SERVICIO DE ACUEDUCTO - CALLE 31 No. 23-50</t>
  </si>
  <si>
    <t>LILIANA QUINTERO GUTIERREZ</t>
  </si>
  <si>
    <t>PQR-SUI-266</t>
  </si>
  <si>
    <t>3595/2026</t>
  </si>
  <si>
    <t>DERECHO DE PETICIÓN - SOLICITUD DE REVISIÓN CON GEOFONO POR FUGA IMPERCEPTIBLE CODIGO DE USUARIO 1107700</t>
  </si>
  <si>
    <t>JACKELINE VASQUEZ FLOREZ</t>
  </si>
  <si>
    <t>PQR-SUI-268</t>
  </si>
  <si>
    <t>3596/2026</t>
  </si>
  <si>
    <t>DERECH DE PETICIÓN - SOLICITUD DE INFORMACIÓN DEL CAMBIO DE MEDIDOR FACTURADO EN EL SERVICIO DE ACUEDUCTO - CODIGO DE USUARIO 1171600</t>
  </si>
  <si>
    <t>SANDRA LORENA ARIAS HENAO</t>
  </si>
  <si>
    <t>PQR-SUI-267</t>
  </si>
  <si>
    <t>3597/2026</t>
  </si>
  <si>
    <t>USUARIA REPORTA QUE HACE MAS DE UN MES QUE EL PREDIO SE QUEDO SIN PRESION</t>
  </si>
  <si>
    <t>CAROLINA PEREZ VALENCIA</t>
  </si>
  <si>
    <t>3598/2026</t>
  </si>
  <si>
    <t>SOLICITUD DE VISITA TÉCNICA Y VERIFICACIÓN POR HUNDIMIENTO DE LA VÍA CRA 18 No. 38-02</t>
  </si>
  <si>
    <t>OLGA CECILIA DIAZ</t>
  </si>
  <si>
    <t>PQR-SUI-269</t>
  </si>
  <si>
    <t>3599/2026</t>
  </si>
  <si>
    <t>DERECHO DE PETICIÓN - SOLICITUD DE AJUSTE A FACTURA POR FUGA IMPERCEPTIBLE</t>
  </si>
  <si>
    <t>ALEJANDRA GARCIA GAVIRIA</t>
  </si>
  <si>
    <t>PQR-SUI-270</t>
  </si>
  <si>
    <t>3600/2026</t>
  </si>
  <si>
    <t>FANNY JURADO ARIAS</t>
  </si>
  <si>
    <t>PQR-SUI-271</t>
  </si>
  <si>
    <t>3601/2026</t>
  </si>
  <si>
    <t>OLGA LUCIA MONTOYA OSORIO</t>
  </si>
  <si>
    <t>PQR-SUI-273</t>
  </si>
  <si>
    <t>3602/2026</t>
  </si>
  <si>
    <t>DERECHO DE PETICIÓN - SOLICITUD DE CAMBIO DE USO DE LA CALLE 29A 24-61</t>
  </si>
  <si>
    <t>JORGE TULIO DIAS GARCIA</t>
  </si>
  <si>
    <t>PQR-SUI-272</t>
  </si>
  <si>
    <t>3603/2026</t>
  </si>
  <si>
    <t>JOSE EDILSON NABARRO</t>
  </si>
  <si>
    <t>PQR-IN-117</t>
  </si>
  <si>
    <t>3604/2026</t>
  </si>
  <si>
    <t>SOLICITUD DE ARRENDAMIENTO LOCAL COMERCIAL PLAZA DE MERCADO</t>
  </si>
  <si>
    <t>LUZ ELENA CAMELO DIAZ</t>
  </si>
  <si>
    <t>PQR-SUI-274</t>
  </si>
  <si>
    <t>3605/2026</t>
  </si>
  <si>
    <t>USUARIA REPORTA PRDEDIO DESOCUPADO</t>
  </si>
  <si>
    <t>NANCY ACERO</t>
  </si>
  <si>
    <t>PQR-IN-118</t>
  </si>
  <si>
    <t>3606/2026</t>
  </si>
  <si>
    <t>SOLICITUD CONEXION DE SERVICIOS CALLE 40 No. 22-36 APTO 301</t>
  </si>
  <si>
    <t>GUTIERREZ FLORALBA BEDOYA</t>
  </si>
  <si>
    <t>PQR-SUI-275</t>
  </si>
  <si>
    <t>3607/2026</t>
  </si>
  <si>
    <t>DERECHO DE PETICIÓN - SOLICITUD DE REVISIÓN POR AUMENTO EN EL CONSUMO DE ACUEDUCTO</t>
  </si>
  <si>
    <t>PAOLA ANDREA BAÑOL TREJOS</t>
  </si>
  <si>
    <t>PQR-SUI-276</t>
  </si>
  <si>
    <t>3608/2026</t>
  </si>
  <si>
    <t>MARÍA ELENA AGUDELO CASTAÑO</t>
  </si>
  <si>
    <t>PQR-IN-119</t>
  </si>
  <si>
    <t>3609/2026</t>
  </si>
  <si>
    <t>SOLICITUD DE CONEXIÓN DE SERVICIOS - CALLE 40 No. 22-36 APTO 201</t>
  </si>
  <si>
    <t>PQR-IN-120</t>
  </si>
  <si>
    <t>3610/2026</t>
  </si>
  <si>
    <t>RECLAMACIÓN A OFICIO DE COMUNICADO DE AFORO ORDINARIO</t>
  </si>
  <si>
    <t>Inconformidad con el Aforo</t>
  </si>
  <si>
    <t>ASOCIACION DE RECUPERADORES PASTUPLAST</t>
  </si>
  <si>
    <t>PQR-IN-121</t>
  </si>
  <si>
    <t>3611/2026</t>
  </si>
  <si>
    <t>DERECHO DE PETICIÓN - RECLAMACIÓN Y RECHAZO AL COBRO POR CONCEPTO DE RESIDUOS NO APROVECHABLES</t>
  </si>
  <si>
    <t>PQR-SUI-277</t>
  </si>
  <si>
    <t>3612/2026</t>
  </si>
  <si>
    <t>SOLICITUD DE RECONOCIMIENTO Y EJECUTORIEDAD DEL SILENCIADOR ADMINISTRATIVO POSITIVO - DENUNCIA LEGAL CON SOPORTES POR INTENTO ILEGAL DE CORTE Y DESACATO A LA SENTENCIA 026/2026 NUID 1158580</t>
  </si>
  <si>
    <t>Inconformidad con la Suspesnión del Servicio</t>
  </si>
  <si>
    <t>PQR-IN-123</t>
  </si>
  <si>
    <t>3613/2026</t>
  </si>
  <si>
    <t>SOLICITUD DE PODA E INTERVENCIÓN URGENTE DE PALMERA QUE PRESENTA RIESGO DE CAIDA - BARRIO EL JARDIN CARRERA 35 No. 19-11</t>
  </si>
  <si>
    <t>OLGA BASTIDAS OCAMPO</t>
  </si>
  <si>
    <t>PQR-IN-122</t>
  </si>
  <si>
    <t>3614/2026</t>
  </si>
  <si>
    <t>ALUMBRADO PUBLICO</t>
  </si>
  <si>
    <t>LUIS EDUARDO NOREÑA</t>
  </si>
  <si>
    <t>PQR-SUI-278</t>
  </si>
  <si>
    <t>3615/2026</t>
  </si>
  <si>
    <t>MARIO DE JESUS HERNANDEZ FORONDA</t>
  </si>
  <si>
    <t>PQR-IN-124</t>
  </si>
  <si>
    <t>3616/2026</t>
  </si>
  <si>
    <t>SOLICITUD CAMBIO DE SERVICIO DE ACUEDUCTO PROVISIONAL A RESIDENCIAL</t>
  </si>
  <si>
    <t>PQR-SUI-279</t>
  </si>
  <si>
    <t>3617/2026</t>
  </si>
  <si>
    <t>USUARIO SOLICIA DESCUENTO POR CAMBIO DE USO EN LOS MESES DE JUNIO-JULIO-AGOST DE ACUERDO A RADICADO EMCA-PQRS-3154-2026</t>
  </si>
  <si>
    <t>PQR-SUI-280</t>
  </si>
  <si>
    <t>3618/2026</t>
  </si>
  <si>
    <t>PQR-IN-125</t>
  </si>
  <si>
    <t>3619/2026</t>
  </si>
  <si>
    <t>SOLICITUD DE FACTURAS DEL SERVICIO DE ACUEDUCTO 2025-2026</t>
  </si>
  <si>
    <t>LC PROYECTOS Y CONSTRUCCIONES S.A.S</t>
  </si>
  <si>
    <t>PQR-SUI-281</t>
  </si>
  <si>
    <t>3620/2026</t>
  </si>
  <si>
    <t>SOLICITUD DE EXPLICACION SOBRE DIFICULTADES EN EL PAGO DEL SERVICIO DE ACUEDUCTO - CÓDIGO DE USUARIO 1060260</t>
  </si>
  <si>
    <t>JORGE HERNAN RODRIGUEZ BOTERO</t>
  </si>
  <si>
    <t>PQR-SUI-282</t>
  </si>
  <si>
    <t>3621/2026</t>
  </si>
  <si>
    <t>1254892 USUARIA REPORTA DEFICIENCIA DE PRESION YA QUE NO SUBE AGUA AL PREDIO</t>
  </si>
  <si>
    <t>GARCIA ALEJANDRA CARVAJAL</t>
  </si>
  <si>
    <t>PQR-IN-126</t>
  </si>
  <si>
    <t>3622/2026</t>
  </si>
  <si>
    <t>SOLICITUD DE REVISIÓN POR INCREMENTO INJUSTIFICADO EN EL SERVICIO DE ACUEDUCTO</t>
  </si>
  <si>
    <t>PQR-SUI-283</t>
  </si>
  <si>
    <t>3623/2026</t>
  </si>
  <si>
    <t>USUARIO REPORTA QUE NO SE ESTA HACIENDO EL BARRIDO MANUAL EN ESTE SECTOR</t>
  </si>
  <si>
    <t>JOSE MARIA RAMOS</t>
  </si>
  <si>
    <t>PQR-SUI-284</t>
  </si>
  <si>
    <t>3624/2026</t>
  </si>
  <si>
    <t>LUIS ERNESTO CRUZ</t>
  </si>
  <si>
    <t>PQR-SUI-285</t>
  </si>
  <si>
    <t>3625/2026</t>
  </si>
  <si>
    <t>USUARIO SOLICITA DESCUENTO POR PREDIO DESOCUPADO DE ACUERDO A PETICIÓN #8013 DEL 06 DE JULIO DE 2026</t>
  </si>
  <si>
    <t>CELIS CASTELLANOS LUIS CARLOS</t>
  </si>
  <si>
    <t>PQR-IN-127</t>
  </si>
  <si>
    <t>3626/2026</t>
  </si>
  <si>
    <t>631304003001-2026-00385-00 - 2026-385 Auto Admite Tutela - Ref: EMCA-PQRS-3138-2026 - EMCA-I-5329-2026</t>
  </si>
  <si>
    <t>RAMA JUDICIAL</t>
  </si>
  <si>
    <t>PQR-SUI-286</t>
  </si>
  <si>
    <t>3627/2026</t>
  </si>
  <si>
    <t>RECURSO DE REPOSICION Y EN SUBSIDIO DE APELACIÓNA A RESPUESTA EMCA-I-5454-2026 REF: EMCA-PQRS-3233-2026</t>
  </si>
  <si>
    <t>PQR-SUI-287</t>
  </si>
  <si>
    <t>3628/2026</t>
  </si>
  <si>
    <t>USUARIO SOLICITA DESCUENTO POR COBROS POR PROMEDIO</t>
  </si>
  <si>
    <t>PQR-SUI-288</t>
  </si>
  <si>
    <t>3629/2026</t>
  </si>
  <si>
    <t>USUARIO SOLICITA QUE EL PAGO QUE REALIZO POR VALOR DE 50000 EL DIA 23 DE SEPTIEMBRE AL CODIGO 1159154 SE TRASLADE AL CODIGO 1159164</t>
  </si>
  <si>
    <t>LEONARDO SALAS PELAEZ</t>
  </si>
  <si>
    <t>PQR-SUI-289</t>
  </si>
  <si>
    <t>3630/2026</t>
  </si>
  <si>
    <t>LILIANA JIMENEZ</t>
  </si>
  <si>
    <t>PQR-SUI-290</t>
  </si>
  <si>
    <t>3631/2026</t>
  </si>
  <si>
    <t>USUARIO REPORTA HUNDIMIENTO FRENTE AL PREDIO</t>
  </si>
  <si>
    <t>PQR-SUI-291</t>
  </si>
  <si>
    <t>3632/2026</t>
  </si>
  <si>
    <t>PQR-SUI-292</t>
  </si>
  <si>
    <t>3633/2026</t>
  </si>
  <si>
    <t>USUARIO SOLICITA DESCUENTO POR PREDIO DESOCUPADO DE ACUERDO A SOLICITUD 8078 DEL 14 DE JULIO 2026</t>
  </si>
  <si>
    <t>NELLY CASTILLO FERRO</t>
  </si>
  <si>
    <t>PQR-SUI-293</t>
  </si>
  <si>
    <t>3634/2026</t>
  </si>
  <si>
    <t>USUARIO REPORTA MEDIDOR</t>
  </si>
  <si>
    <t>ANGELICA MARIA MORALES</t>
  </si>
  <si>
    <t>PQR-SUI-294</t>
  </si>
  <si>
    <t>3635/2026</t>
  </si>
  <si>
    <t>SOLICITUD DE CAMBIO DE USO COMERCIAL A RESIDENCIAL DEL PREDIO UBICADO EN LA CRA 24 No. 35-26 APTO 2</t>
  </si>
  <si>
    <t>PQR-SUI-295</t>
  </si>
  <si>
    <t>3636/2026</t>
  </si>
  <si>
    <t>MARTA YONELLY MARQUEZ ALONSO</t>
  </si>
  <si>
    <t>PQR-SUI-296</t>
  </si>
  <si>
    <t>3637/2026</t>
  </si>
  <si>
    <t>LUZ STELLA CHACON</t>
  </si>
  <si>
    <t>PQR-SUI-297</t>
  </si>
  <si>
    <t>3638/2026</t>
  </si>
  <si>
    <t>CARLOS MURILLO</t>
  </si>
  <si>
    <t>PQR-SUI-298</t>
  </si>
  <si>
    <t>3639/2026</t>
  </si>
  <si>
    <t>HUMBERTO ANDRÉS RAMIREZ</t>
  </si>
  <si>
    <t>PQR-SUI-299</t>
  </si>
  <si>
    <t>3640/2026</t>
  </si>
  <si>
    <t>DERECHO DE PETICION POR PRESUNTO INCREMENTO INJUSTIFICADO EN EL VALOR DE LA FACTURA DEL SERVICIO DE ACUEDUCTO - CÓDIGO 1253983</t>
  </si>
  <si>
    <t>LIDA MERCEDES SANCHEZ LOBOA</t>
  </si>
  <si>
    <t>PQR-SUI-300</t>
  </si>
  <si>
    <t>3641/2026</t>
  </si>
  <si>
    <t>JESUS DANIEL LOPEZ MARULANDA</t>
  </si>
  <si>
    <t>PQR-SUI-301</t>
  </si>
  <si>
    <t>3642/2026</t>
  </si>
  <si>
    <t>SOLICITUD DE REVISIÓN POR AUMENTO INJUSTIFICADO DEL SERVICIO DE ACUEDUCTO CODIGO 1206500</t>
  </si>
  <si>
    <t>PQR-SUI-302</t>
  </si>
  <si>
    <t>3643/2026</t>
  </si>
  <si>
    <t>DERECHO DE PETICIÓN - SOLICITUD DE REVISIÓN PARA CAMBIO DE USO COMERCIAL A RESIDENCIAL Y CONSUMO ELEVADO</t>
  </si>
  <si>
    <t>FEDERIDO CRUZ HURTADO</t>
  </si>
  <si>
    <t>PQR-SUI-303</t>
  </si>
  <si>
    <t>3644/2026</t>
  </si>
  <si>
    <t>PQR-IN-128</t>
  </si>
  <si>
    <t>3645/2026</t>
  </si>
  <si>
    <t>RECOLECCION ESPECIAL</t>
  </si>
  <si>
    <t>SONIA VALERO PATIÑO</t>
  </si>
  <si>
    <t>PQR-SUI-304</t>
  </si>
  <si>
    <t>3646/2026</t>
  </si>
  <si>
    <t>RAMIRO ARBELAEZ RAVE</t>
  </si>
  <si>
    <t>PQR-SUI-305</t>
  </si>
  <si>
    <t>3647/2026</t>
  </si>
  <si>
    <t>OSCAR VELEZ POSADA</t>
  </si>
  <si>
    <t>PQR-SUI-306</t>
  </si>
  <si>
    <t>3648/2026</t>
  </si>
  <si>
    <t>PQR-2026-0000005-MCD - RECLAMO POR BAJA PRESIÓN DEL SERVICIO DE ACUEDUCTO - Calle 43 No. 24-60 APTO 402 ÓDIGO DE USUARIO 1215940</t>
  </si>
  <si>
    <t>PQR-SUI-307</t>
  </si>
  <si>
    <t>3649/2026</t>
  </si>
  <si>
    <t>PQR-IN-129</t>
  </si>
  <si>
    <t>3650/2026</t>
  </si>
  <si>
    <t>Pagina Web</t>
  </si>
  <si>
    <t>PQR2026-0000006-MCD - DERECHO DE PETICION - QUEJA POR DEORA INJUSTIFICADA EN LA RECOLECCIÓN DE RESIDUOS ESPECIALES REPORTADOS DESDE EL MES DE JUNIO DE 20206 LLANITOS DE GUARALA Mz 33 CASA 20</t>
  </si>
  <si>
    <t>PQR-IN-130</t>
  </si>
  <si>
    <t>3651/2026</t>
  </si>
  <si>
    <t>PQR2026-0000007-MCD - SOLICITUD DE EXPLICACION DE LOS VALORES INCLUIDOS EN LA FACTURA DE ACUEDUCTO DEL CÓDIGO 1253949</t>
  </si>
  <si>
    <t>Solictud información facuración</t>
  </si>
  <si>
    <t>PQR-SUI-308</t>
  </si>
  <si>
    <t>3652/2026</t>
  </si>
  <si>
    <t>USUARIO SOLICIA DESCUENTO EN COBRO DE CONSUMO DE ACUERDO A RESPUESTA DEL RADICADO EMCA-PQRS-2670-2026</t>
  </si>
  <si>
    <t>MARIA DENIR SERNA CARDONA</t>
  </si>
  <si>
    <t>PQR-IN-131</t>
  </si>
  <si>
    <t>3653/2026</t>
  </si>
  <si>
    <t>PQR2026-0000008-MCD - REPORTE POR PREDIO DESOCUPADO POR AFECTACIONES DEL SISMO DEL 10 DE AGOSTO - Cra 25 No. 37-37 APTO 303 EDIFICIO CONCASA</t>
  </si>
  <si>
    <t>PQR-SUI-309</t>
  </si>
  <si>
    <t>3654/2026</t>
  </si>
  <si>
    <t>PQR2026-0000009-MCD - RECLAMO POR FALTA DE ENTREGA OPORTUNA DE LA FACTURA DEL SERVIICIO DE ACUEDUCTO DEL PREDIO CON CÓDIGO 1251850</t>
  </si>
  <si>
    <t>PQR-SUI-310</t>
  </si>
  <si>
    <t>3655/2026</t>
  </si>
  <si>
    <t>3656/2026</t>
  </si>
  <si>
    <t>CARLOS EMILIOP CARDONA MARIN</t>
  </si>
  <si>
    <t>PQR-IN-132</t>
  </si>
  <si>
    <t>3657/2026</t>
  </si>
  <si>
    <t>SOLICITUD DE REVISIÓN Y DESCUENTO DE LOS COBROS DE ASEO Y ALCANTARILLADO DE LA CASETA COMIUNAL DEL BARRIO LOS ALAMOS - BARCELONA</t>
  </si>
  <si>
    <t>ANA MERCEDES COY ARIZA</t>
  </si>
  <si>
    <t>PQR-SUI-312</t>
  </si>
  <si>
    <t>3658/2026</t>
  </si>
  <si>
    <t>MARIA EUGENIA BERNAL SIERRA</t>
  </si>
  <si>
    <t>PQR-SUI-313</t>
  </si>
  <si>
    <t>3659/2026</t>
  </si>
  <si>
    <t>INES ROZO GLORIA</t>
  </si>
  <si>
    <t>PQR-SUI-314</t>
  </si>
  <si>
    <t>3660/2026</t>
  </si>
  <si>
    <t>YOLANDA LOPEZ</t>
  </si>
  <si>
    <t>PQR-IN-279</t>
  </si>
  <si>
    <t>3661/2026</t>
  </si>
  <si>
    <t>USUARIO SOLICITA DESCUENTO POR CAMBIO DE USO EN LOS MESES DE JUNIO- JULIO- AGOSTO 2026 DE ACUERDO AL RADICADO EMCA-PQR-3154</t>
  </si>
  <si>
    <t>PQR-SUI-315</t>
  </si>
  <si>
    <t>3662/2026</t>
  </si>
  <si>
    <t>USUARIO SOLICITA AJUSTE EN LA TARIFA DE ASEO</t>
  </si>
  <si>
    <t>ROGELIO NIETO</t>
  </si>
  <si>
    <t>PQR-SUI-316</t>
  </si>
  <si>
    <t>3663/2026</t>
  </si>
  <si>
    <t>Solicitud de Revisión por aumento injustificado del servicio de Acueducto barrio las Palmas MZ A Casa 15</t>
  </si>
  <si>
    <t>inconformidad cn el consumo o produccion facturado</t>
  </si>
  <si>
    <t>inconformidad cobro</t>
  </si>
  <si>
    <t>VIVIANA SANTANA</t>
  </si>
  <si>
    <t>PQR-SUI-317</t>
  </si>
  <si>
    <t>3664/2026</t>
  </si>
  <si>
    <t>LUZ MILA CAICEDO</t>
  </si>
  <si>
    <t>PQR-IN-133</t>
  </si>
  <si>
    <t>3665/2026</t>
  </si>
  <si>
    <t>Solicitud Revisión de Poste - Vía la Rochela Finca Piedras Vivas</t>
  </si>
  <si>
    <t>SANDRA LORENA</t>
  </si>
  <si>
    <t>PQR-SUI-318</t>
  </si>
  <si>
    <t>3666/2026</t>
  </si>
  <si>
    <t>DEDINSON EDIEL BEDOYA RUA</t>
  </si>
  <si>
    <t>PQR-SUI-320</t>
  </si>
  <si>
    <t>3667/2026</t>
  </si>
  <si>
    <t>SOLICITUD DUPLICADO DE FACTURA CUENTA 6003544</t>
  </si>
  <si>
    <t>MEDIA COMMERCE S.A</t>
  </si>
  <si>
    <t>PQR-SUI-319</t>
  </si>
  <si>
    <t>3668/2026</t>
  </si>
  <si>
    <t>cambio de llave</t>
  </si>
  <si>
    <t>FELIX HURTADO</t>
  </si>
  <si>
    <t>PQR-IN-134</t>
  </si>
  <si>
    <t>3669/2026</t>
  </si>
  <si>
    <t>Solicitud de venta de agua en bloque</t>
  </si>
  <si>
    <t>CONSORCIO GRUPO CONSTRUCTOR AUTOPISTAS DEL CAFE</t>
  </si>
  <si>
    <t>PQR-SUI-321</t>
  </si>
  <si>
    <t>3670/2026</t>
  </si>
  <si>
    <t>Derecho de Petición - Solicitud de Revisión para eliminación definitiva de matricula cancelada en mayo de 2026 - Cra 27 No. 38-30</t>
  </si>
  <si>
    <t>3671/2026</t>
  </si>
  <si>
    <t>Derecho de Petición - Solicitud de revisión por aumento desproporcionado del servicio de acueducto - Codigo 1242660</t>
  </si>
  <si>
    <t>LILIANA PATRICIA LONDOÑO PEREZ</t>
  </si>
  <si>
    <t>PQR-SUI-323</t>
  </si>
  <si>
    <t>3672/2026</t>
  </si>
  <si>
    <t>JONATHAN STIVEN SANCHEZ</t>
  </si>
  <si>
    <t>PQR-SUI-324</t>
  </si>
  <si>
    <t>3673/2026</t>
  </si>
  <si>
    <t>COBRO DE INTERESES DE MORA, CARTERA</t>
  </si>
  <si>
    <t>MARTHA ADIELA CASAS ORTIZ</t>
  </si>
  <si>
    <t>PQR-IN-135</t>
  </si>
  <si>
    <t>3674/2026</t>
  </si>
  <si>
    <t>Solicitud de cancelación de cobros en la factura de acueducto por predio desocupado - NIU 205536</t>
  </si>
  <si>
    <t>LUCELLY HENAO OSORIO</t>
  </si>
  <si>
    <t>PQR-SUI-325</t>
  </si>
  <si>
    <t>3675/2026</t>
  </si>
  <si>
    <t>PQR-SUI-326</t>
  </si>
  <si>
    <t>3676/2026</t>
  </si>
  <si>
    <t>USUARIA SOLICITA REVISION INTERNA POR INCREMENTO EN EL CONSUMO</t>
  </si>
  <si>
    <t>GLORIA AMPARO ZAPATA</t>
  </si>
  <si>
    <t>PQR-SUI-327</t>
  </si>
  <si>
    <t>3677/2026</t>
  </si>
  <si>
    <t>Reclamación por cobro desmedido del servicio de Aseo del predio ubicado en la calle 15 No. 35-55 - código 1090920</t>
  </si>
  <si>
    <t>LUIS FERNANDO RIOS VELASQUEZ</t>
  </si>
  <si>
    <t>PQR-SUI-328</t>
  </si>
  <si>
    <t>3678/2026</t>
  </si>
  <si>
    <t>AZAEL CERON LOPEZ</t>
  </si>
  <si>
    <t>PQR-IN-136</t>
  </si>
  <si>
    <t>3679/2026</t>
  </si>
  <si>
    <t>SOLICITUD DE CONEXIÓN DE SERVICIOS - CRA 32 No. 9-152 LOTE TERRENO # 66 CONJUNTO CABO MARIPOSA</t>
  </si>
  <si>
    <t>DANIEL SANCHEZ HURADO</t>
  </si>
  <si>
    <t>PQR-SUI-329</t>
  </si>
  <si>
    <t>3680/2026</t>
  </si>
  <si>
    <t>Derecho de Petición - Solicitud de visita técnica y de conexión para el sistema de alcantarillado del predio ubicado - CRA 25 No. 21-29 barrio el Jardín</t>
  </si>
  <si>
    <t>YENNI LILIANA ARANGO CUESTA</t>
  </si>
  <si>
    <t>PQR-IN-137</t>
  </si>
  <si>
    <t>3681/2026</t>
  </si>
  <si>
    <t>SH-1167-2026 - Remisión por competencia de Recurso de Reconsideración en contra de factura 6358004</t>
  </si>
  <si>
    <t>PQR-IN-138</t>
  </si>
  <si>
    <t>3682/2026</t>
  </si>
  <si>
    <t>USUARIO SOLICITA RECOLECCION DE MUEBLE EN MADERA Y BASE DE MADERA</t>
  </si>
  <si>
    <t>3683/2026</t>
  </si>
  <si>
    <t>USUARIO SOLICITA RECOLECCION DE MUEBLE EN MADERA Y BASE DE MESA</t>
  </si>
  <si>
    <t>TATIANA BAQUERO OSSA</t>
  </si>
  <si>
    <t>3684/2026</t>
  </si>
  <si>
    <t>Derecho de Petición</t>
  </si>
  <si>
    <t>NATALIA GUERRERO MARTINEZ</t>
  </si>
  <si>
    <t>3685/2026</t>
  </si>
  <si>
    <t>USUARIO SOLICITA RECOLECCION DE UN SOFA</t>
  </si>
  <si>
    <t>LEIDY GIOVANA DELGADILLO</t>
  </si>
  <si>
    <t>PQR-IN-140</t>
  </si>
  <si>
    <t>3686/2026</t>
  </si>
  <si>
    <t>CAROL CASTRO</t>
  </si>
  <si>
    <t>PQR-SUI-331</t>
  </si>
  <si>
    <t>3687/2026</t>
  </si>
  <si>
    <t>PQR-SUI-332</t>
  </si>
  <si>
    <t>3688/2026</t>
  </si>
  <si>
    <t>BLANCA DORIS PINZON</t>
  </si>
  <si>
    <t>PQR-IN-141</t>
  </si>
  <si>
    <t>3689/2026</t>
  </si>
  <si>
    <t>SOLICITUD DE INFORMACIÓN Y COTIZACIÓN PARA RECOLECCIÓN Y DISPOSICIÓN DE RESIDUOS CÁRNICOS</t>
  </si>
  <si>
    <t>MARIA JOSE ESCOBAR LOPEZ</t>
  </si>
  <si>
    <t>PQR-SUI-333</t>
  </si>
  <si>
    <t>3690/2026</t>
  </si>
  <si>
    <t>PQR2026-0000011-MCD - Reclamación por facturación injustificada y cobro excesivo del servicio de Acueducto del predio con código 1144085</t>
  </si>
  <si>
    <t>PQR-IN-142</t>
  </si>
  <si>
    <t>3691/2026</t>
  </si>
  <si>
    <t>Solicitud de revisión por fuga del Servicio de Acueducto después del sismo del 10 de agosto - Códigos de usuario 1188400 y 1188404</t>
  </si>
  <si>
    <t>INES GOMEZ SABOGAL</t>
  </si>
  <si>
    <t>PQR-SUI-334</t>
  </si>
  <si>
    <t>3692/2026</t>
  </si>
  <si>
    <t>JUAN DANIEL LEON ALZATE</t>
  </si>
  <si>
    <t>PQR-SUI-335</t>
  </si>
  <si>
    <t>3693/2026</t>
  </si>
  <si>
    <t>ANGELICA MARIA URREGO GALINDO</t>
  </si>
  <si>
    <t>PQR-SUI-336</t>
  </si>
  <si>
    <t>3694/2026</t>
  </si>
  <si>
    <t>Usuario solicita descuento en cobro de consumo de acuerdo a PQR-1534-120</t>
  </si>
  <si>
    <t>PQR-SUI-338</t>
  </si>
  <si>
    <t>3695/2026</t>
  </si>
  <si>
    <t>USUARIO SOLICIA DESCUENTO EN COBRO DE CONSUMO DE ACUERDO A RADICADO EMCA-PQRS-1535-102</t>
  </si>
  <si>
    <t>PQR-SUI-337</t>
  </si>
  <si>
    <t>3696/2026</t>
  </si>
  <si>
    <t>JAMES MENDOZA BUENO</t>
  </si>
  <si>
    <t>PQR-SUI-339</t>
  </si>
  <si>
    <t>3697/2026</t>
  </si>
  <si>
    <t>3698/2026</t>
  </si>
  <si>
    <t>SOLICITUD DE DEVOLUCIÓN DE DINERO POR PAGO DUPLICADO DE LA FACTURA CODIGO DE USUARIO 1004540</t>
  </si>
  <si>
    <t>PQR-SUI-340</t>
  </si>
  <si>
    <t>3699/2026</t>
  </si>
  <si>
    <t>ANGEL PEDRAZA</t>
  </si>
  <si>
    <t>PQR-SUI-341</t>
  </si>
  <si>
    <t>3700/2026</t>
  </si>
  <si>
    <t>USUARIO SOLICIA DESCUENTO EN COBRO DE CONSUMO DE ACUERDO A RESPUESTA DEL RADICADO EMCA-3210-2026</t>
  </si>
  <si>
    <t>PQR-SUI-342</t>
  </si>
  <si>
    <t>3701/2026</t>
  </si>
  <si>
    <t>DERECHO DE PETICIÓN - SOLICITUD DE REVISIÓN POR AUMENTO INJUSTIFICADO - CODIGO 1241432</t>
  </si>
  <si>
    <t>PQR-SUI-343</t>
  </si>
  <si>
    <t>3702/2026</t>
  </si>
  <si>
    <t>PMC-701-2026 - Seguimiento a Derecho de Petición REF: EMCA-PQRS-3245-2026</t>
  </si>
  <si>
    <t>Seguimiento derecho de petición</t>
  </si>
  <si>
    <t>PQR-IN-144</t>
  </si>
  <si>
    <t>3703/2026</t>
  </si>
  <si>
    <t>USUARIO SOLICITA RECOLECCION DE DOS MUEBLES</t>
  </si>
  <si>
    <t>INGRID RODRIGUEZ</t>
  </si>
  <si>
    <t>PQR-IN-153</t>
  </si>
  <si>
    <t>3704/2026</t>
  </si>
  <si>
    <t>REMISION DE DOCUMENTOS PARA SUBSANAR EL TRAMITE DE DISPONIBILIDAD DE SERVICIOS (RADICADO EMCA-I-2679-2026</t>
  </si>
  <si>
    <t>GIORDANY GONZALEZ SERNA</t>
  </si>
  <si>
    <t>PQR-IN-145</t>
  </si>
  <si>
    <t>3705/2026</t>
  </si>
  <si>
    <t>USUARIO SOLICITA RECOLECCION DE BASE CAMA,LARGUEROSY SILLA</t>
  </si>
  <si>
    <t>MARIO FERNANDO LEON</t>
  </si>
  <si>
    <t>Columna1</t>
  </si>
  <si>
    <t>CAUSAL2</t>
  </si>
  <si>
    <t>RADICADO3</t>
  </si>
  <si>
    <t>RADICADO4</t>
  </si>
  <si>
    <t>RADICADO5</t>
  </si>
  <si>
    <t>RADICADO6</t>
  </si>
  <si>
    <t>(en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</si>
</sst>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0000_-;\-* #,##0.0000_-;_-* &quot;-&quot;??_-;_-@_-"/>
    <numFmt numFmtId="166" formatCode="0.0000"/>
    <numFmt numFmtId="167" formatCode="_ &quot;$&quot;\ * #,##0.00_ ;_ &quot;$&quot;\ * \-#,##0.00_ ;_ &quot;$&quot;\ * &quot;-&quot;??_ ;_ @_ "/>
    <numFmt numFmtId="168" formatCode="0.000"/>
  </numFmts>
  <fonts count="6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entury Gothic"/>
      <family val="2"/>
    </font>
    <font>
      <sz val="11"/>
      <color theme="1"/>
      <name val="Calibri"/>
      <family val="2"/>
    </font>
    <font>
      <sz val="11"/>
      <color theme="1"/>
      <name val="Century Gothic"/>
      <family val="2"/>
    </font>
    <font>
      <sz val="11"/>
      <color rgb="FF293315"/>
      <name val="Century Gothic"/>
      <family val="2"/>
    </font>
    <font>
      <b/>
      <sz val="16"/>
      <color theme="1"/>
      <name val="Aptos Narrow"/>
      <family val="2"/>
      <scheme val="minor"/>
    </font>
    <font>
      <b/>
      <sz val="12"/>
      <color theme="1"/>
      <name val="Aptos Narrow"/>
      <family val="2"/>
      <scheme val="minor"/>
    </font>
    <font>
      <b/>
      <sz val="10"/>
      <color theme="1"/>
      <name val="Aptos Narrow"/>
      <family val="2"/>
      <scheme val="minor"/>
    </font>
    <font>
      <sz val="9"/>
      <color theme="1"/>
      <name val="Aptos Narrow"/>
      <family val="2"/>
      <scheme val="minor"/>
    </font>
    <font>
      <b/>
      <sz val="11"/>
      <name val="Aptos Narrow"/>
      <family val="2"/>
      <scheme val="minor"/>
    </font>
    <font>
      <b/>
      <sz val="10"/>
      <color theme="1"/>
      <name val="Arial"/>
      <family val="2"/>
    </font>
    <font>
      <sz val="10"/>
      <color theme="1"/>
      <name val="Arial"/>
      <family val="2"/>
    </font>
    <font>
      <sz val="9"/>
      <name val="Aptos Narrow"/>
      <family val="2"/>
      <scheme val="minor"/>
    </font>
    <font>
      <sz val="11"/>
      <name val="Century Gothic"/>
      <family val="2"/>
    </font>
    <font>
      <b/>
      <sz val="12"/>
      <color theme="1"/>
      <name val="Century Gothic"/>
      <family val="2"/>
    </font>
    <font>
      <b/>
      <sz val="8"/>
      <color theme="1"/>
      <name val="Century Gothic"/>
      <family val="2"/>
    </font>
    <font>
      <sz val="8"/>
      <color theme="1"/>
      <name val="Century Gothic"/>
      <family val="2"/>
    </font>
    <font>
      <sz val="8"/>
      <name val="Aptos Narrow"/>
      <family val="2"/>
      <scheme val="minor"/>
    </font>
    <font>
      <b/>
      <sz val="11"/>
      <name val="Century Gothic"/>
      <family val="2"/>
    </font>
    <font>
      <sz val="9"/>
      <name val="Century Gothic"/>
      <family val="2"/>
    </font>
    <font>
      <b/>
      <sz val="9"/>
      <name val="Century Gothic"/>
      <family val="2"/>
    </font>
    <font>
      <b/>
      <sz val="9"/>
      <color theme="1"/>
      <name val="Century Gothic"/>
      <family val="2"/>
    </font>
    <font>
      <sz val="9"/>
      <color theme="1"/>
      <name val="Century Gothic"/>
      <family val="2"/>
    </font>
    <font>
      <b/>
      <sz val="9"/>
      <color theme="1"/>
      <name val="Aptos Narrow"/>
      <family val="2"/>
      <scheme val="minor"/>
    </font>
    <font>
      <b/>
      <sz val="12"/>
      <name val="Century Gothic"/>
      <family val="2"/>
    </font>
    <font>
      <b/>
      <sz val="8"/>
      <color rgb="FF000000"/>
      <name val="Century Gothic"/>
      <family val="2"/>
    </font>
    <font>
      <b/>
      <sz val="11"/>
      <color rgb="FF000000"/>
      <name val="Century Gothic"/>
      <family val="2"/>
    </font>
    <font>
      <sz val="11"/>
      <color rgb="FF000000"/>
      <name val="Century Gothic"/>
      <family val="2"/>
    </font>
    <font>
      <sz val="8"/>
      <color rgb="FF000000"/>
      <name val="Century Gothic"/>
      <family val="2"/>
    </font>
    <font>
      <b/>
      <sz val="10"/>
      <color theme="1"/>
      <name val="Century Gothic"/>
      <family val="2"/>
    </font>
    <font>
      <b/>
      <sz val="16"/>
      <color theme="1"/>
      <name val="Century Gothic"/>
      <family val="2"/>
    </font>
    <font>
      <sz val="11"/>
      <color theme="1"/>
      <name val="Century"/>
      <family val="1"/>
    </font>
    <font>
      <b/>
      <sz val="10"/>
      <name val="Century Gothic"/>
      <family val="2"/>
    </font>
    <font>
      <sz val="13"/>
      <color theme="1"/>
      <name val="Century Gothic"/>
      <family val="2"/>
    </font>
    <font>
      <sz val="13"/>
      <name val="Aptos Narrow"/>
      <family val="2"/>
    </font>
    <font>
      <b/>
      <sz val="13"/>
      <color theme="1"/>
      <name val="Century Gothic"/>
      <family val="2"/>
    </font>
    <font>
      <sz val="13"/>
      <color theme="1"/>
      <name val="Aptos Narrow"/>
      <family val="2"/>
      <scheme val="minor"/>
    </font>
    <font>
      <sz val="13"/>
      <color theme="1"/>
      <name val="Century Gothic"/>
      <family val="2"/>
    </font>
    <font>
      <sz val="9"/>
      <name val="Aptos Narrow"/>
      <family val="2"/>
    </font>
    <font>
      <sz val="9"/>
      <color rgb="FF000000"/>
      <name val="Century Gothic"/>
      <family val="2"/>
    </font>
    <font>
      <sz val="13"/>
      <color rgb="FF000000"/>
      <name val="Century Gothic"/>
      <family val="2"/>
    </font>
    <font>
      <sz val="12"/>
      <name val="Aptos Narrow"/>
      <family val="2"/>
    </font>
    <font>
      <sz val="12"/>
      <color theme="1"/>
      <name val="Century Gothic"/>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rgb="FFC00000"/>
      <name val="Century Gothic"/>
      <family val="2"/>
    </font>
    <font>
      <sz val="10"/>
      <color theme="1"/>
      <name val="Century Gothic"/>
      <family val="2"/>
    </font>
    <font>
      <sz val="10"/>
      <name val="Century Gothic"/>
      <family val="2"/>
    </font>
    <font>
      <b/>
      <u/>
      <sz val="11"/>
      <color theme="1"/>
      <name val="Century Gothic"/>
      <family val="2"/>
    </font>
    <font>
      <sz val="12"/>
      <color rgb="FF5E5E5E"/>
      <name val="Arial"/>
      <family val="2"/>
    </font>
  </fonts>
  <fills count="51">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rgb="FFF79646"/>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4" tint="0.79998168889431442"/>
        <bgColor indexed="64"/>
      </patternFill>
    </fill>
    <fill>
      <patternFill patternType="solid">
        <fgColor theme="0"/>
        <bgColor indexed="64"/>
      </patternFill>
    </fill>
    <fill>
      <patternFill patternType="solid">
        <fgColor theme="0"/>
        <bgColor theme="4" tint="0.79998168889431442"/>
      </patternFill>
    </fill>
    <fill>
      <patternFill patternType="solid">
        <fgColor theme="0"/>
        <bgColor theme="0"/>
      </patternFill>
    </fill>
    <fill>
      <patternFill patternType="solid">
        <fgColor rgb="FFA5A5A5"/>
        <bgColor rgb="FFA5A5A5"/>
      </patternFill>
    </fill>
    <fill>
      <patternFill patternType="solid">
        <fgColor rgb="FF00B050"/>
        <bgColor rgb="FF00B050"/>
      </patternFill>
    </fill>
    <fill>
      <patternFill patternType="solid">
        <fgColor theme="5"/>
        <bgColor indexed="64"/>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9594"/>
        <bgColor indexed="64"/>
      </patternFill>
    </fill>
    <fill>
      <patternFill patternType="solid">
        <fgColor rgb="FFF3F3F3"/>
        <bgColor indexed="64"/>
      </patternFill>
    </fill>
    <fill>
      <patternFill patternType="solid">
        <fgColor rgb="FFEBEFF1"/>
        <bgColor indexed="64"/>
      </patternFill>
    </fill>
  </fills>
  <borders count="131">
    <border>
      <left/>
      <right/>
      <top/>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bottom style="medium">
        <color rgb="FF000000"/>
      </bottom>
      <diagonal/>
    </border>
    <border>
      <left style="medium">
        <color rgb="FFCCCCCC"/>
      </left>
      <right/>
      <top style="medium">
        <color rgb="FFCCCCCC"/>
      </top>
      <bottom style="medium">
        <color rgb="FF000000"/>
      </bottom>
      <diagonal/>
    </border>
    <border>
      <left style="medium">
        <color indexed="64"/>
      </left>
      <right style="medium">
        <color rgb="FF000000"/>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indexed="64"/>
      </left>
      <right style="medium">
        <color rgb="FF000000"/>
      </right>
      <top style="medium">
        <color rgb="FFCCCCCC"/>
      </top>
      <bottom style="medium">
        <color indexed="64"/>
      </bottom>
      <diagonal/>
    </border>
    <border>
      <left style="medium">
        <color rgb="FFCCCCCC"/>
      </left>
      <right style="medium">
        <color rgb="FF000000"/>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indexed="64"/>
      </left>
      <right style="medium">
        <color rgb="FF000000"/>
      </right>
      <top/>
      <bottom style="medium">
        <color rgb="FF000000"/>
      </bottom>
      <diagonal/>
    </border>
    <border>
      <left style="medium">
        <color rgb="FFCCCCCC"/>
      </left>
      <right style="medium">
        <color indexed="64"/>
      </right>
      <top/>
      <bottom style="medium">
        <color rgb="FF000000"/>
      </bottom>
      <diagonal/>
    </border>
    <border>
      <left style="medium">
        <color rgb="FFCCCCCC"/>
      </left>
      <right/>
      <top/>
      <bottom style="medium">
        <color rgb="FF000000"/>
      </bottom>
      <diagonal/>
    </border>
    <border>
      <left style="medium">
        <color rgb="FFCCCCCC"/>
      </left>
      <right/>
      <top style="medium">
        <color rgb="FFCCCCCC"/>
      </top>
      <bottom style="medium">
        <color indexed="64"/>
      </bottom>
      <diagonal/>
    </border>
    <border>
      <left/>
      <right style="medium">
        <color indexed="64"/>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CCCCCC"/>
      </top>
      <bottom style="medium">
        <color rgb="FF000000"/>
      </bottom>
      <diagonal/>
    </border>
    <border>
      <left style="medium">
        <color indexed="64"/>
      </left>
      <right style="medium">
        <color indexed="64"/>
      </right>
      <top style="medium">
        <color rgb="FFCCCCCC"/>
      </top>
      <bottom style="medium">
        <color indexed="64"/>
      </bottom>
      <diagonal/>
    </border>
    <border>
      <left/>
      <right/>
      <top/>
      <bottom style="medium">
        <color rgb="FF000000"/>
      </bottom>
      <diagonal/>
    </border>
    <border>
      <left/>
      <right/>
      <top style="medium">
        <color rgb="FFCCCCCC"/>
      </top>
      <bottom style="medium">
        <color rgb="FF000000"/>
      </bottom>
      <diagonal/>
    </border>
    <border>
      <left style="medium">
        <color indexed="64"/>
      </left>
      <right style="medium">
        <color indexed="64"/>
      </right>
      <top/>
      <bottom style="medium">
        <color rgb="FF000000"/>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rgb="FF000000"/>
      </right>
      <top style="medium">
        <color indexed="64"/>
      </top>
      <bottom style="medium">
        <color indexed="64"/>
      </bottom>
      <diagonal/>
    </border>
    <border>
      <left style="medium">
        <color rgb="FFCCCCCC"/>
      </left>
      <right style="medium">
        <color rgb="FF000000"/>
      </right>
      <top style="medium">
        <color indexed="64"/>
      </top>
      <bottom style="medium">
        <color indexed="64"/>
      </bottom>
      <diagonal/>
    </border>
    <border>
      <left style="medium">
        <color rgb="FFCCCCCC"/>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diagonal/>
    </border>
    <border>
      <left style="medium">
        <color rgb="FF000000"/>
      </left>
      <right style="medium">
        <color rgb="FF000000"/>
      </right>
      <top/>
      <bottom style="medium">
        <color rgb="FF000000"/>
      </bottom>
      <diagonal/>
    </border>
    <border>
      <left style="medium">
        <color rgb="FFCCCCCC"/>
      </left>
      <right/>
      <top style="medium">
        <color rgb="FF000000"/>
      </top>
      <bottom style="medium">
        <color rgb="FF000000"/>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s>
  <cellStyleXfs count="58">
    <xf numFmtId="0" fontId="0"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5" fillId="0" borderId="0" applyNumberFormat="0" applyFill="0" applyBorder="0" applyAlignment="0" applyProtection="0"/>
    <xf numFmtId="0" fontId="46" fillId="0" borderId="116" applyNumberFormat="0" applyFill="0" applyAlignment="0" applyProtection="0"/>
    <xf numFmtId="0" fontId="47" fillId="0" borderId="117" applyNumberFormat="0" applyFill="0" applyAlignment="0" applyProtection="0"/>
    <xf numFmtId="0" fontId="48" fillId="0" borderId="118" applyNumberFormat="0" applyFill="0" applyAlignment="0" applyProtection="0"/>
    <xf numFmtId="0" fontId="48" fillId="0" borderId="0" applyNumberFormat="0" applyFill="0" applyBorder="0" applyAlignment="0" applyProtection="0"/>
    <xf numFmtId="0" fontId="49" fillId="17" borderId="0" applyNumberFormat="0" applyBorder="0" applyAlignment="0" applyProtection="0"/>
    <xf numFmtId="0" fontId="50" fillId="18" borderId="0" applyNumberFormat="0" applyBorder="0" applyAlignment="0" applyProtection="0"/>
    <xf numFmtId="0" fontId="51" fillId="19" borderId="0" applyNumberFormat="0" applyBorder="0" applyAlignment="0" applyProtection="0"/>
    <xf numFmtId="0" fontId="52" fillId="20" borderId="119" applyNumberFormat="0" applyAlignment="0" applyProtection="0"/>
    <xf numFmtId="0" fontId="53" fillId="21" borderId="120" applyNumberFormat="0" applyAlignment="0" applyProtection="0"/>
    <xf numFmtId="0" fontId="54" fillId="21" borderId="119" applyNumberFormat="0" applyAlignment="0" applyProtection="0"/>
    <xf numFmtId="0" fontId="55" fillId="0" borderId="121" applyNumberFormat="0" applyFill="0" applyAlignment="0" applyProtection="0"/>
    <xf numFmtId="0" fontId="56" fillId="22" borderId="122" applyNumberFormat="0" applyAlignment="0" applyProtection="0"/>
    <xf numFmtId="0" fontId="57" fillId="0" borderId="0" applyNumberFormat="0" applyFill="0" applyBorder="0" applyAlignment="0" applyProtection="0"/>
    <xf numFmtId="0" fontId="1" fillId="23" borderId="123" applyNumberFormat="0" applyFont="0" applyAlignment="0" applyProtection="0"/>
    <xf numFmtId="0" fontId="58" fillId="0" borderId="0" applyNumberFormat="0" applyFill="0" applyBorder="0" applyAlignment="0" applyProtection="0"/>
    <xf numFmtId="0" fontId="2" fillId="0" borderId="124" applyNumberFormat="0" applyFill="0" applyAlignment="0" applyProtection="0"/>
    <xf numFmtId="0" fontId="59"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59"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5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59"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59"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59"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899">
    <xf numFmtId="0" fontId="0" fillId="0" borderId="0" xfId="0"/>
    <xf numFmtId="0" fontId="4" fillId="0" borderId="1" xfId="0" applyFont="1" applyBorder="1" applyAlignment="1">
      <alignment vertical="center" wrapText="1"/>
    </xf>
    <xf numFmtId="0" fontId="3" fillId="0" borderId="2" xfId="0" applyFont="1" applyBorder="1" applyAlignment="1">
      <alignment horizontal="center" vertical="center" wrapText="1"/>
    </xf>
    <xf numFmtId="0" fontId="4" fillId="0" borderId="3" xfId="0" applyFont="1" applyBorder="1" applyAlignment="1">
      <alignment vertical="center" wrapText="1"/>
    </xf>
    <xf numFmtId="0" fontId="5" fillId="0" borderId="4" xfId="0" applyFont="1" applyBorder="1" applyAlignment="1">
      <alignment horizontal="center" vertical="center" wrapText="1"/>
    </xf>
    <xf numFmtId="14"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0" fontId="5"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0" borderId="2" xfId="0" applyFont="1" applyBorder="1" applyAlignment="1">
      <alignment wrapText="1"/>
    </xf>
    <xf numFmtId="0" fontId="5" fillId="2" borderId="2" xfId="0" applyFont="1" applyFill="1" applyBorder="1" applyAlignment="1">
      <alignment horizontal="center" vertical="center" wrapText="1"/>
    </xf>
    <xf numFmtId="0" fontId="4" fillId="0" borderId="4" xfId="0" applyFont="1" applyBorder="1" applyAlignment="1">
      <alignment vertical="center" wrapText="1"/>
    </xf>
    <xf numFmtId="0" fontId="5"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0" fillId="0" borderId="0" xfId="0" applyAlignment="1">
      <alignment horizontal="left"/>
    </xf>
    <xf numFmtId="0" fontId="8" fillId="8" borderId="8" xfId="0" applyFont="1" applyFill="1" applyBorder="1" applyAlignment="1">
      <alignment horizontal="center"/>
    </xf>
    <xf numFmtId="0" fontId="8" fillId="8" borderId="6" xfId="0" applyFont="1" applyFill="1" applyBorder="1" applyAlignment="1">
      <alignment horizontal="center"/>
    </xf>
    <xf numFmtId="0" fontId="0" fillId="0" borderId="0" xfId="0" applyAlignment="1">
      <alignment horizontal="center"/>
    </xf>
    <xf numFmtId="0" fontId="8" fillId="8" borderId="10" xfId="0" applyFont="1" applyFill="1" applyBorder="1" applyAlignment="1">
      <alignment horizontal="center"/>
    </xf>
    <xf numFmtId="0" fontId="0" fillId="0" borderId="21" xfId="0" applyBorder="1" applyAlignment="1">
      <alignment horizontal="left"/>
    </xf>
    <xf numFmtId="0" fontId="0" fillId="0" borderId="22" xfId="0" applyBorder="1" applyAlignment="1">
      <alignment horizontal="left"/>
    </xf>
    <xf numFmtId="0" fontId="2" fillId="6" borderId="23" xfId="0" applyFont="1" applyFill="1" applyBorder="1" applyAlignment="1">
      <alignment horizontal="left"/>
    </xf>
    <xf numFmtId="0" fontId="0" fillId="0" borderId="24" xfId="0" applyBorder="1" applyAlignment="1">
      <alignment horizontal="center"/>
    </xf>
    <xf numFmtId="0" fontId="0" fillId="0" borderId="21" xfId="0" applyBorder="1" applyAlignment="1">
      <alignment horizontal="center"/>
    </xf>
    <xf numFmtId="0" fontId="0" fillId="0" borderId="25" xfId="0" applyBorder="1" applyAlignment="1">
      <alignment horizontal="left"/>
    </xf>
    <xf numFmtId="0" fontId="0" fillId="0" borderId="26" xfId="0" applyBorder="1" applyAlignment="1">
      <alignment horizontal="center"/>
    </xf>
    <xf numFmtId="0" fontId="0" fillId="0" borderId="25" xfId="0" applyBorder="1" applyAlignment="1">
      <alignment horizontal="center"/>
    </xf>
    <xf numFmtId="0" fontId="2" fillId="6" borderId="8" xfId="0" applyFont="1" applyFill="1" applyBorder="1" applyAlignment="1">
      <alignment horizontal="left"/>
    </xf>
    <xf numFmtId="0" fontId="2" fillId="6" borderId="6" xfId="0" applyFont="1" applyFill="1" applyBorder="1" applyAlignment="1">
      <alignment horizontal="center"/>
    </xf>
    <xf numFmtId="0" fontId="2" fillId="6" borderId="8" xfId="0" applyFont="1" applyFill="1" applyBorder="1" applyAlignment="1">
      <alignment horizontal="center"/>
    </xf>
    <xf numFmtId="0" fontId="0" fillId="0" borderId="28" xfId="0" applyBorder="1" applyAlignment="1">
      <alignment horizontal="left"/>
    </xf>
    <xf numFmtId="0" fontId="0" fillId="0" borderId="29" xfId="0" applyBorder="1" applyAlignment="1">
      <alignment horizontal="center"/>
    </xf>
    <xf numFmtId="0" fontId="0" fillId="0" borderId="28" xfId="0" applyBorder="1" applyAlignment="1">
      <alignment horizontal="center"/>
    </xf>
    <xf numFmtId="0" fontId="2" fillId="7" borderId="33" xfId="0" applyFont="1" applyFill="1" applyBorder="1" applyAlignment="1">
      <alignment horizontal="center"/>
    </xf>
    <xf numFmtId="0" fontId="2" fillId="7" borderId="8" xfId="0" applyFont="1" applyFill="1" applyBorder="1" applyAlignment="1">
      <alignment horizontal="center"/>
    </xf>
    <xf numFmtId="0" fontId="0" fillId="0" borderId="37" xfId="0" applyBorder="1" applyAlignment="1">
      <alignment horizontal="center"/>
    </xf>
    <xf numFmtId="0" fontId="2" fillId="6" borderId="8" xfId="0" applyFont="1" applyFill="1" applyBorder="1"/>
    <xf numFmtId="0" fontId="2" fillId="6" borderId="6" xfId="0" applyFont="1" applyFill="1" applyBorder="1"/>
    <xf numFmtId="0" fontId="0" fillId="0" borderId="40" xfId="0" applyBorder="1" applyAlignment="1">
      <alignment horizontal="left"/>
    </xf>
    <xf numFmtId="0" fontId="0" fillId="0" borderId="40" xfId="0" applyBorder="1" applyAlignment="1">
      <alignment horizontal="center"/>
    </xf>
    <xf numFmtId="17" fontId="8" fillId="8" borderId="8" xfId="0" applyNumberFormat="1" applyFont="1" applyFill="1" applyBorder="1" applyAlignment="1">
      <alignment horizontal="center"/>
    </xf>
    <xf numFmtId="0" fontId="0" fillId="0" borderId="43" xfId="0" applyBorder="1" applyAlignment="1">
      <alignment horizontal="left"/>
    </xf>
    <xf numFmtId="0" fontId="0" fillId="0" borderId="44"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9" xfId="0" applyBorder="1" applyAlignment="1">
      <alignment horizontal="center"/>
    </xf>
    <xf numFmtId="0" fontId="2" fillId="7" borderId="23" xfId="0" applyFont="1" applyFill="1" applyBorder="1" applyAlignment="1">
      <alignment horizontal="left"/>
    </xf>
    <xf numFmtId="0" fontId="0" fillId="0" borderId="37" xfId="0" applyBorder="1" applyAlignment="1">
      <alignment horizontal="left"/>
    </xf>
    <xf numFmtId="0" fontId="0" fillId="0" borderId="51" xfId="0" applyBorder="1" applyAlignment="1">
      <alignment horizontal="center"/>
    </xf>
    <xf numFmtId="0" fontId="0" fillId="0" borderId="53" xfId="0" applyBorder="1" applyAlignment="1">
      <alignment horizontal="center"/>
    </xf>
    <xf numFmtId="0" fontId="0" fillId="0" borderId="55" xfId="0" applyBorder="1" applyAlignment="1">
      <alignment horizontal="center"/>
    </xf>
    <xf numFmtId="0" fontId="0" fillId="0" borderId="23" xfId="0" applyBorder="1" applyAlignment="1">
      <alignment horizontal="center"/>
    </xf>
    <xf numFmtId="0" fontId="0" fillId="0" borderId="30" xfId="0" applyBorder="1" applyAlignment="1">
      <alignment horizontal="center"/>
    </xf>
    <xf numFmtId="0" fontId="0" fillId="0" borderId="20" xfId="0" applyBorder="1" applyAlignment="1">
      <alignment horizontal="center"/>
    </xf>
    <xf numFmtId="0" fontId="0" fillId="0" borderId="58" xfId="0" applyBorder="1" applyAlignment="1">
      <alignment horizontal="center"/>
    </xf>
    <xf numFmtId="0" fontId="0" fillId="0" borderId="60" xfId="0" applyBorder="1" applyAlignment="1">
      <alignment horizontal="center"/>
    </xf>
    <xf numFmtId="0" fontId="0" fillId="0" borderId="62" xfId="0" applyBorder="1" applyAlignment="1">
      <alignment horizontal="left"/>
    </xf>
    <xf numFmtId="0" fontId="2" fillId="0" borderId="0" xfId="0" applyFont="1"/>
    <xf numFmtId="0" fontId="0" fillId="0" borderId="19" xfId="0" applyBorder="1" applyAlignment="1">
      <alignment horizontal="center"/>
    </xf>
    <xf numFmtId="0" fontId="0" fillId="0" borderId="35" xfId="0" applyBorder="1" applyAlignment="1">
      <alignment horizontal="center"/>
    </xf>
    <xf numFmtId="0" fontId="8" fillId="8" borderId="38" xfId="0" applyFont="1" applyFill="1" applyBorder="1" applyAlignment="1">
      <alignment horizontal="center"/>
    </xf>
    <xf numFmtId="0" fontId="8" fillId="8" borderId="39" xfId="0" applyFont="1" applyFill="1" applyBorder="1" applyAlignment="1">
      <alignment horizontal="center"/>
    </xf>
    <xf numFmtId="0" fontId="0" fillId="0" borderId="5" xfId="0" applyBorder="1" applyAlignment="1">
      <alignment horizontal="left"/>
    </xf>
    <xf numFmtId="0" fontId="0" fillId="0" borderId="31" xfId="0" applyBorder="1" applyAlignment="1">
      <alignment horizontal="center"/>
    </xf>
    <xf numFmtId="0" fontId="0" fillId="0" borderId="33"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0" fillId="0" borderId="65" xfId="0" applyBorder="1" applyAlignment="1">
      <alignment horizontal="center"/>
    </xf>
    <xf numFmtId="0" fontId="0" fillId="0" borderId="66" xfId="0" applyBorder="1" applyAlignment="1">
      <alignment horizontal="center"/>
    </xf>
    <xf numFmtId="0" fontId="2" fillId="9" borderId="23" xfId="0" applyFont="1" applyFill="1" applyBorder="1" applyAlignment="1">
      <alignment horizontal="center"/>
    </xf>
    <xf numFmtId="0" fontId="2" fillId="6" borderId="23" xfId="0" applyFont="1" applyFill="1" applyBorder="1" applyAlignment="1">
      <alignment horizontal="center"/>
    </xf>
    <xf numFmtId="0" fontId="2" fillId="6" borderId="65" xfId="0" applyFont="1" applyFill="1" applyBorder="1" applyAlignment="1">
      <alignment horizontal="center"/>
    </xf>
    <xf numFmtId="0" fontId="8" fillId="8" borderId="67" xfId="0" applyFont="1" applyFill="1" applyBorder="1" applyAlignment="1">
      <alignment horizontal="center"/>
    </xf>
    <xf numFmtId="0" fontId="8" fillId="8" borderId="55" xfId="0" applyFont="1" applyFill="1" applyBorder="1" applyAlignment="1">
      <alignment horizontal="center"/>
    </xf>
    <xf numFmtId="0" fontId="8" fillId="8" borderId="61" xfId="0" applyFont="1" applyFill="1" applyBorder="1" applyAlignment="1">
      <alignment horizontal="center"/>
    </xf>
    <xf numFmtId="0" fontId="0" fillId="0" borderId="18" xfId="0" applyBorder="1" applyAlignment="1">
      <alignment horizontal="center"/>
    </xf>
    <xf numFmtId="0" fontId="0" fillId="0" borderId="68" xfId="0" applyBorder="1" applyAlignment="1">
      <alignment horizontal="center"/>
    </xf>
    <xf numFmtId="0" fontId="8" fillId="8" borderId="12" xfId="0" applyFont="1" applyFill="1" applyBorder="1" applyAlignment="1">
      <alignment horizontal="center"/>
    </xf>
    <xf numFmtId="0" fontId="0" fillId="0" borderId="31" xfId="0" applyBorder="1" applyAlignment="1">
      <alignment horizontal="left"/>
    </xf>
    <xf numFmtId="0" fontId="0" fillId="0" borderId="32" xfId="0" applyBorder="1" applyAlignment="1">
      <alignment horizontal="center"/>
    </xf>
    <xf numFmtId="0" fontId="0" fillId="0" borderId="22" xfId="0" applyBorder="1" applyAlignment="1">
      <alignment horizontal="center"/>
    </xf>
    <xf numFmtId="0" fontId="0" fillId="0" borderId="70" xfId="0" applyBorder="1" applyAlignment="1">
      <alignment horizontal="center"/>
    </xf>
    <xf numFmtId="10" fontId="0" fillId="0" borderId="0" xfId="2" applyNumberFormat="1" applyFont="1"/>
    <xf numFmtId="0" fontId="0" fillId="10" borderId="0" xfId="0" applyFill="1"/>
    <xf numFmtId="0" fontId="7" fillId="10" borderId="0" xfId="0" applyFont="1" applyFill="1" applyAlignment="1">
      <alignment horizontal="center"/>
    </xf>
    <xf numFmtId="0" fontId="2" fillId="11" borderId="0" xfId="0" applyFont="1" applyFill="1" applyAlignment="1">
      <alignment horizontal="center"/>
    </xf>
    <xf numFmtId="0" fontId="0" fillId="10" borderId="0" xfId="0" applyFill="1" applyAlignment="1">
      <alignment horizontal="center"/>
    </xf>
    <xf numFmtId="9" fontId="0" fillId="10" borderId="0" xfId="2" applyFont="1" applyFill="1"/>
    <xf numFmtId="9" fontId="0" fillId="0" borderId="0" xfId="2" applyFont="1"/>
    <xf numFmtId="0" fontId="2" fillId="6" borderId="7" xfId="0" applyFont="1" applyFill="1" applyBorder="1" applyAlignment="1">
      <alignment horizontal="center"/>
    </xf>
    <xf numFmtId="0" fontId="0" fillId="0" borderId="52" xfId="0" applyBorder="1" applyAlignment="1">
      <alignment horizontal="center"/>
    </xf>
    <xf numFmtId="0" fontId="0" fillId="0" borderId="63" xfId="0" applyBorder="1" applyAlignment="1">
      <alignment horizontal="center"/>
    </xf>
    <xf numFmtId="0" fontId="0" fillId="0" borderId="69" xfId="0" applyBorder="1" applyAlignment="1">
      <alignment horizontal="center"/>
    </xf>
    <xf numFmtId="0" fontId="0" fillId="0" borderId="8" xfId="0" applyBorder="1"/>
    <xf numFmtId="0" fontId="8" fillId="7" borderId="8" xfId="0" applyFont="1" applyFill="1" applyBorder="1" applyAlignment="1">
      <alignment horizontal="center" vertical="center"/>
    </xf>
    <xf numFmtId="0" fontId="8" fillId="7" borderId="10" xfId="0" applyFont="1" applyFill="1" applyBorder="1" applyAlignment="1">
      <alignment horizontal="center" vertical="center"/>
    </xf>
    <xf numFmtId="17" fontId="8" fillId="7" borderId="8" xfId="0" applyNumberFormat="1" applyFont="1" applyFill="1" applyBorder="1" applyAlignment="1">
      <alignment horizontal="center" vertical="center" wrapText="1"/>
    </xf>
    <xf numFmtId="0" fontId="10" fillId="0" borderId="37" xfId="0" applyFont="1" applyBorder="1"/>
    <xf numFmtId="164" fontId="10" fillId="0" borderId="71" xfId="0" applyNumberFormat="1" applyFont="1" applyBorder="1" applyAlignment="1">
      <alignment horizontal="center"/>
    </xf>
    <xf numFmtId="0" fontId="10" fillId="0" borderId="21" xfId="0" applyFont="1" applyBorder="1"/>
    <xf numFmtId="164" fontId="10" fillId="0" borderId="53" xfId="0" applyNumberFormat="1" applyFont="1" applyBorder="1" applyAlignment="1">
      <alignment horizontal="center"/>
    </xf>
    <xf numFmtId="0" fontId="10" fillId="0" borderId="22" xfId="0" applyFont="1" applyBorder="1"/>
    <xf numFmtId="164" fontId="10" fillId="0" borderId="68" xfId="0" applyNumberFormat="1" applyFont="1" applyBorder="1" applyAlignment="1">
      <alignment horizontal="center"/>
    </xf>
    <xf numFmtId="164" fontId="0" fillId="0" borderId="0" xfId="0" applyNumberFormat="1"/>
    <xf numFmtId="0" fontId="0" fillId="0" borderId="21" xfId="0" applyBorder="1"/>
    <xf numFmtId="10" fontId="0" fillId="0" borderId="0" xfId="0" applyNumberFormat="1"/>
    <xf numFmtId="0" fontId="0" fillId="0" borderId="9" xfId="0" applyBorder="1"/>
    <xf numFmtId="0" fontId="0" fillId="0" borderId="37" xfId="0" applyBorder="1"/>
    <xf numFmtId="0" fontId="0" fillId="0" borderId="22" xfId="0" applyBorder="1"/>
    <xf numFmtId="0" fontId="0" fillId="0" borderId="30" xfId="0" applyBorder="1"/>
    <xf numFmtId="0" fontId="2" fillId="7" borderId="32" xfId="0" applyFont="1" applyFill="1" applyBorder="1"/>
    <xf numFmtId="0" fontId="5" fillId="0" borderId="1" xfId="0" applyFont="1" applyBorder="1" applyAlignment="1">
      <alignment horizontal="center" vertical="center" wrapText="1"/>
    </xf>
    <xf numFmtId="14" fontId="5" fillId="0" borderId="1" xfId="0" applyNumberFormat="1" applyFont="1" applyBorder="1" applyAlignment="1">
      <alignment horizontal="center" vertical="center" wrapText="1"/>
    </xf>
    <xf numFmtId="0" fontId="12" fillId="0" borderId="73" xfId="0" applyFont="1" applyBorder="1" applyAlignment="1">
      <alignment wrapText="1"/>
    </xf>
    <xf numFmtId="0" fontId="13" fillId="0" borderId="73" xfId="0" applyFont="1" applyBorder="1" applyAlignment="1">
      <alignment wrapText="1"/>
    </xf>
    <xf numFmtId="22" fontId="13" fillId="0" borderId="73" xfId="0" applyNumberFormat="1" applyFont="1" applyBorder="1" applyAlignment="1">
      <alignment horizontal="right" wrapText="1"/>
    </xf>
    <xf numFmtId="0" fontId="13" fillId="0" borderId="73" xfId="0" applyFont="1" applyBorder="1" applyAlignment="1">
      <alignment horizontal="right" wrapText="1"/>
    </xf>
    <xf numFmtId="0" fontId="13" fillId="0" borderId="73" xfId="0" applyFont="1" applyBorder="1" applyAlignment="1">
      <alignment vertical="center"/>
    </xf>
    <xf numFmtId="0" fontId="3" fillId="9" borderId="8" xfId="0" applyFont="1" applyFill="1" applyBorder="1" applyAlignment="1">
      <alignment horizontal="center" vertical="center"/>
    </xf>
    <xf numFmtId="0" fontId="3" fillId="9" borderId="10" xfId="0" applyFont="1" applyFill="1" applyBorder="1" applyAlignment="1">
      <alignment horizontal="center" vertical="center"/>
    </xf>
    <xf numFmtId="17" fontId="3" fillId="9" borderId="7" xfId="0" applyNumberFormat="1" applyFont="1" applyFill="1" applyBorder="1" applyAlignment="1">
      <alignment horizontal="center" vertical="center" wrapText="1"/>
    </xf>
    <xf numFmtId="0" fontId="5" fillId="0" borderId="37" xfId="0" applyFont="1" applyBorder="1" applyAlignment="1">
      <alignment wrapText="1"/>
    </xf>
    <xf numFmtId="0" fontId="5" fillId="0" borderId="71" xfId="0" applyFont="1" applyBorder="1" applyAlignment="1">
      <alignment horizontal="center"/>
    </xf>
    <xf numFmtId="0" fontId="5" fillId="0" borderId="21" xfId="0" applyFont="1" applyBorder="1" applyAlignment="1">
      <alignment wrapText="1"/>
    </xf>
    <xf numFmtId="0" fontId="5" fillId="0" borderId="53" xfId="0" applyFont="1" applyBorder="1" applyAlignment="1">
      <alignment horizontal="center"/>
    </xf>
    <xf numFmtId="0" fontId="5" fillId="0" borderId="21" xfId="0" applyFont="1" applyBorder="1"/>
    <xf numFmtId="0" fontId="5" fillId="0" borderId="22" xfId="0" applyFont="1" applyBorder="1"/>
    <xf numFmtId="0" fontId="5" fillId="0" borderId="68" xfId="0" applyFont="1" applyBorder="1" applyAlignment="1">
      <alignment horizontal="center"/>
    </xf>
    <xf numFmtId="0" fontId="5" fillId="0" borderId="28" xfId="0" applyFont="1" applyBorder="1"/>
    <xf numFmtId="0" fontId="5" fillId="0" borderId="37" xfId="0" applyFont="1" applyBorder="1"/>
    <xf numFmtId="0" fontId="5" fillId="0" borderId="51" xfId="0" applyFont="1" applyBorder="1" applyAlignment="1">
      <alignment horizontal="center"/>
    </xf>
    <xf numFmtId="0" fontId="5" fillId="0" borderId="55" xfId="0" applyFont="1" applyBorder="1" applyAlignment="1">
      <alignment horizontal="center"/>
    </xf>
    <xf numFmtId="0" fontId="5" fillId="0" borderId="37" xfId="0" applyFont="1" applyBorder="1" applyAlignment="1">
      <alignment horizontal="center"/>
    </xf>
    <xf numFmtId="0" fontId="5" fillId="0" borderId="21" xfId="0" applyFont="1" applyBorder="1" applyAlignment="1">
      <alignment horizontal="center"/>
    </xf>
    <xf numFmtId="0" fontId="5" fillId="0" borderId="22" xfId="0" applyFont="1" applyBorder="1" applyAlignment="1">
      <alignment horizontal="center"/>
    </xf>
    <xf numFmtId="0" fontId="5" fillId="0" borderId="12" xfId="0" applyFont="1" applyBorder="1"/>
    <xf numFmtId="0" fontId="5" fillId="0" borderId="47" xfId="0" applyFont="1" applyBorder="1"/>
    <xf numFmtId="0" fontId="5" fillId="0" borderId="40" xfId="0" applyFont="1" applyBorder="1" applyAlignment="1">
      <alignment horizontal="center"/>
    </xf>
    <xf numFmtId="0" fontId="5" fillId="0" borderId="52" xfId="0" applyFont="1" applyBorder="1"/>
    <xf numFmtId="165" fontId="0" fillId="0" borderId="0" xfId="1" applyNumberFormat="1" applyFont="1"/>
    <xf numFmtId="0" fontId="5" fillId="0" borderId="63" xfId="0" applyFont="1" applyBorder="1"/>
    <xf numFmtId="0" fontId="5" fillId="0" borderId="74"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0" borderId="3" xfId="0" applyFont="1" applyBorder="1" applyAlignment="1">
      <alignment vertical="center"/>
    </xf>
    <xf numFmtId="0" fontId="2" fillId="6" borderId="5" xfId="0" applyFont="1" applyFill="1" applyBorder="1" applyAlignment="1">
      <alignment horizontal="left"/>
    </xf>
    <xf numFmtId="0" fontId="10" fillId="10" borderId="22" xfId="0" applyFont="1" applyFill="1" applyBorder="1"/>
    <xf numFmtId="164" fontId="10" fillId="10" borderId="68" xfId="0" applyNumberFormat="1" applyFont="1" applyFill="1" applyBorder="1" applyAlignment="1">
      <alignment horizontal="center"/>
    </xf>
    <xf numFmtId="164" fontId="14" fillId="10" borderId="68" xfId="0" applyNumberFormat="1" applyFont="1" applyFill="1" applyBorder="1" applyAlignment="1">
      <alignment horizontal="center"/>
    </xf>
    <xf numFmtId="0" fontId="11" fillId="7" borderId="8" xfId="0" applyFont="1" applyFill="1" applyBorder="1" applyAlignment="1">
      <alignment horizontal="center"/>
    </xf>
    <xf numFmtId="17" fontId="8" fillId="8" borderId="7" xfId="0" applyNumberFormat="1" applyFont="1" applyFill="1" applyBorder="1" applyAlignment="1">
      <alignment horizontal="center"/>
    </xf>
    <xf numFmtId="0" fontId="2" fillId="0" borderId="28" xfId="0" applyFont="1" applyBorder="1" applyAlignment="1">
      <alignment horizontal="center"/>
    </xf>
    <xf numFmtId="0" fontId="2" fillId="0" borderId="21" xfId="0" applyFont="1" applyBorder="1" applyAlignment="1">
      <alignment horizontal="center"/>
    </xf>
    <xf numFmtId="0" fontId="2" fillId="0" borderId="25" xfId="0" applyFont="1" applyBorder="1" applyAlignment="1">
      <alignment horizontal="center"/>
    </xf>
    <xf numFmtId="0" fontId="2" fillId="7" borderId="7" xfId="0" applyFont="1" applyFill="1" applyBorder="1" applyAlignment="1">
      <alignment horizontal="center"/>
    </xf>
    <xf numFmtId="49" fontId="8" fillId="8" borderId="8" xfId="0" applyNumberFormat="1" applyFont="1" applyFill="1" applyBorder="1" applyAlignment="1">
      <alignment horizontal="center"/>
    </xf>
    <xf numFmtId="0" fontId="5" fillId="0" borderId="9"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10" fontId="5" fillId="0" borderId="15" xfId="0" applyNumberFormat="1"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10" fontId="5" fillId="0" borderId="18" xfId="0" applyNumberFormat="1" applyFont="1" applyBorder="1" applyAlignment="1">
      <alignment horizontal="center"/>
    </xf>
    <xf numFmtId="0" fontId="3" fillId="10" borderId="8" xfId="0" applyFont="1" applyFill="1" applyBorder="1" applyAlignment="1">
      <alignment horizontal="center" vertical="center"/>
    </xf>
    <xf numFmtId="0" fontId="3" fillId="10" borderId="10" xfId="0" applyFont="1" applyFill="1" applyBorder="1" applyAlignment="1">
      <alignment horizontal="center" vertical="center"/>
    </xf>
    <xf numFmtId="17" fontId="3" fillId="10" borderId="8" xfId="0" applyNumberFormat="1" applyFont="1" applyFill="1" applyBorder="1" applyAlignment="1">
      <alignment horizontal="center" vertical="center" wrapText="1"/>
    </xf>
    <xf numFmtId="0" fontId="5" fillId="10" borderId="37" xfId="0" applyFont="1" applyFill="1" applyBorder="1"/>
    <xf numFmtId="164" fontId="5" fillId="10" borderId="71" xfId="0" applyNumberFormat="1" applyFont="1" applyFill="1" applyBorder="1" applyAlignment="1">
      <alignment horizontal="center"/>
    </xf>
    <xf numFmtId="0" fontId="5" fillId="10" borderId="21" xfId="0" applyFont="1" applyFill="1" applyBorder="1"/>
    <xf numFmtId="164" fontId="5" fillId="10" borderId="53" xfId="0" applyNumberFormat="1" applyFont="1" applyFill="1" applyBorder="1" applyAlignment="1">
      <alignment horizontal="center"/>
    </xf>
    <xf numFmtId="0" fontId="5" fillId="10" borderId="22" xfId="0" applyFont="1" applyFill="1" applyBorder="1"/>
    <xf numFmtId="164" fontId="5" fillId="10" borderId="68" xfId="0" applyNumberFormat="1" applyFont="1" applyFill="1" applyBorder="1" applyAlignment="1">
      <alignment horizontal="center"/>
    </xf>
    <xf numFmtId="164" fontId="15" fillId="10" borderId="68" xfId="0" applyNumberFormat="1" applyFont="1" applyFill="1" applyBorder="1" applyAlignment="1">
      <alignment horizontal="center"/>
    </xf>
    <xf numFmtId="0" fontId="3" fillId="0" borderId="8" xfId="0" applyFont="1" applyBorder="1" applyAlignment="1">
      <alignment horizontal="center"/>
    </xf>
    <xf numFmtId="0" fontId="5" fillId="0" borderId="20" xfId="0" applyFont="1" applyBorder="1" applyAlignment="1">
      <alignment horizontal="center"/>
    </xf>
    <xf numFmtId="0" fontId="5" fillId="0" borderId="30" xfId="0" applyFont="1" applyBorder="1" applyAlignment="1">
      <alignment horizontal="center"/>
    </xf>
    <xf numFmtId="0" fontId="5" fillId="0" borderId="8" xfId="0" applyFont="1" applyBorder="1" applyAlignment="1">
      <alignment horizontal="center"/>
    </xf>
    <xf numFmtId="0" fontId="5" fillId="0" borderId="34" xfId="0" applyFont="1" applyBorder="1" applyAlignment="1">
      <alignment horizontal="center"/>
    </xf>
    <xf numFmtId="0" fontId="5" fillId="0" borderId="19" xfId="0" applyFont="1" applyBorder="1" applyAlignment="1">
      <alignment horizontal="center"/>
    </xf>
    <xf numFmtId="0" fontId="5" fillId="0" borderId="35" xfId="0" applyFont="1" applyBorder="1" applyAlignment="1">
      <alignment horizontal="center"/>
    </xf>
    <xf numFmtId="0" fontId="3" fillId="0" borderId="28" xfId="0" applyFont="1" applyBorder="1"/>
    <xf numFmtId="0" fontId="3" fillId="0" borderId="21" xfId="0" applyFont="1" applyBorder="1"/>
    <xf numFmtId="0" fontId="3" fillId="0" borderId="25" xfId="0" applyFont="1" applyBorder="1"/>
    <xf numFmtId="0" fontId="3" fillId="0" borderId="8" xfId="0" applyFont="1" applyBorder="1"/>
    <xf numFmtId="0" fontId="3" fillId="0" borderId="0" xfId="0" applyFont="1"/>
    <xf numFmtId="0" fontId="5" fillId="0" borderId="0" xfId="0" applyFont="1" applyAlignment="1">
      <alignment horizontal="center"/>
    </xf>
    <xf numFmtId="0" fontId="5" fillId="0" borderId="77" xfId="0" applyFont="1" applyBorder="1" applyAlignment="1">
      <alignment wrapText="1"/>
    </xf>
    <xf numFmtId="0" fontId="3" fillId="0" borderId="79" xfId="0" applyFont="1" applyBorder="1" applyAlignment="1">
      <alignment horizontal="center" wrapText="1"/>
    </xf>
    <xf numFmtId="0" fontId="5" fillId="0" borderId="56" xfId="0" applyFont="1" applyBorder="1" applyAlignment="1">
      <alignment horizontal="center"/>
    </xf>
    <xf numFmtId="0" fontId="5" fillId="0" borderId="33" xfId="0" applyFont="1" applyBorder="1" applyAlignment="1">
      <alignment horizontal="center"/>
    </xf>
    <xf numFmtId="2" fontId="5" fillId="10" borderId="71" xfId="0" applyNumberFormat="1" applyFont="1" applyFill="1" applyBorder="1" applyAlignment="1">
      <alignment horizontal="center"/>
    </xf>
    <xf numFmtId="2" fontId="5" fillId="10" borderId="53" xfId="0" applyNumberFormat="1" applyFont="1" applyFill="1" applyBorder="1" applyAlignment="1">
      <alignment horizontal="center"/>
    </xf>
    <xf numFmtId="2" fontId="5" fillId="10" borderId="68" xfId="0" applyNumberFormat="1" applyFont="1" applyFill="1" applyBorder="1" applyAlignment="1">
      <alignment horizontal="center"/>
    </xf>
    <xf numFmtId="17" fontId="3" fillId="10" borderId="10" xfId="0" applyNumberFormat="1" applyFont="1" applyFill="1" applyBorder="1" applyAlignment="1">
      <alignment horizontal="center" vertical="center"/>
    </xf>
    <xf numFmtId="2" fontId="0" fillId="0" borderId="0" xfId="0" applyNumberFormat="1"/>
    <xf numFmtId="166" fontId="0" fillId="0" borderId="0" xfId="0" applyNumberFormat="1"/>
    <xf numFmtId="2" fontId="0" fillId="0" borderId="8" xfId="0" applyNumberFormat="1" applyBorder="1" applyAlignment="1">
      <alignment horizontal="center"/>
    </xf>
    <xf numFmtId="17" fontId="3" fillId="10" borderId="7" xfId="0" applyNumberFormat="1" applyFont="1" applyFill="1" applyBorder="1" applyAlignment="1">
      <alignment horizontal="center" vertical="center" wrapText="1"/>
    </xf>
    <xf numFmtId="0" fontId="3" fillId="0" borderId="37" xfId="0" applyFont="1" applyBorder="1"/>
    <xf numFmtId="0" fontId="0" fillId="0" borderId="38" xfId="0" applyBorder="1" applyAlignment="1">
      <alignment horizontal="center"/>
    </xf>
    <xf numFmtId="0" fontId="2" fillId="7" borderId="36" xfId="0" applyFont="1" applyFill="1" applyBorder="1" applyAlignment="1">
      <alignment horizontal="center"/>
    </xf>
    <xf numFmtId="0" fontId="3" fillId="0" borderId="10" xfId="0" applyFont="1" applyBorder="1" applyAlignment="1">
      <alignment horizontal="center"/>
    </xf>
    <xf numFmtId="0" fontId="5" fillId="0" borderId="43" xfId="0" applyFont="1" applyBorder="1" applyAlignment="1">
      <alignment horizontal="center"/>
    </xf>
    <xf numFmtId="0" fontId="5" fillId="10" borderId="44" xfId="0" applyFont="1" applyFill="1" applyBorder="1" applyAlignment="1">
      <alignment horizontal="center" vertical="center" wrapText="1"/>
    </xf>
    <xf numFmtId="0" fontId="5" fillId="0" borderId="44" xfId="0" applyFont="1" applyBorder="1" applyAlignment="1">
      <alignment horizontal="center"/>
    </xf>
    <xf numFmtId="0" fontId="5" fillId="10" borderId="46" xfId="0" applyFont="1" applyFill="1" applyBorder="1" applyAlignment="1">
      <alignment horizontal="center" vertical="center" wrapText="1"/>
    </xf>
    <xf numFmtId="0" fontId="5" fillId="0" borderId="59" xfId="0" applyFont="1" applyBorder="1" applyAlignment="1">
      <alignment horizontal="center"/>
    </xf>
    <xf numFmtId="0" fontId="3" fillId="10" borderId="0" xfId="0" applyFont="1" applyFill="1" applyAlignment="1">
      <alignment horizontal="center"/>
    </xf>
    <xf numFmtId="17" fontId="3" fillId="10" borderId="0" xfId="0" applyNumberFormat="1" applyFont="1" applyFill="1" applyAlignment="1">
      <alignment horizontal="center" vertical="center" wrapText="1"/>
    </xf>
    <xf numFmtId="2" fontId="5" fillId="10" borderId="0" xfId="0" applyNumberFormat="1" applyFont="1" applyFill="1" applyAlignment="1">
      <alignment horizontal="center"/>
    </xf>
    <xf numFmtId="17" fontId="3" fillId="0" borderId="10" xfId="0" applyNumberFormat="1" applyFont="1" applyBorder="1" applyAlignment="1">
      <alignment horizontal="center"/>
    </xf>
    <xf numFmtId="0" fontId="3" fillId="0" borderId="8" xfId="0" applyFont="1" applyBorder="1" applyAlignment="1">
      <alignment horizontal="center" vertical="center"/>
    </xf>
    <xf numFmtId="0" fontId="3" fillId="0" borderId="69" xfId="0" applyFont="1" applyBorder="1"/>
    <xf numFmtId="0" fontId="5" fillId="0" borderId="94" xfId="0" applyFont="1" applyBorder="1" applyAlignment="1">
      <alignment horizontal="center"/>
    </xf>
    <xf numFmtId="0" fontId="5" fillId="0" borderId="82" xfId="0" applyFont="1" applyBorder="1" applyAlignment="1">
      <alignment wrapText="1"/>
    </xf>
    <xf numFmtId="10" fontId="5" fillId="0" borderId="0" xfId="0" applyNumberFormat="1" applyFont="1" applyAlignment="1">
      <alignment horizontal="center"/>
    </xf>
    <xf numFmtId="0" fontId="3" fillId="0" borderId="0" xfId="0" applyFont="1" applyAlignment="1">
      <alignment horizontal="center" wrapText="1"/>
    </xf>
    <xf numFmtId="0" fontId="5" fillId="0" borderId="0" xfId="0" applyFont="1" applyAlignment="1">
      <alignment horizontal="center" wrapText="1"/>
    </xf>
    <xf numFmtId="0" fontId="3" fillId="0" borderId="95" xfId="0" applyFont="1" applyBorder="1" applyAlignment="1">
      <alignment horizontal="center" vertical="center" wrapText="1"/>
    </xf>
    <xf numFmtId="0" fontId="3" fillId="0" borderId="96" xfId="0" applyFont="1" applyBorder="1" applyAlignment="1">
      <alignment horizontal="center" vertical="center" wrapText="1"/>
    </xf>
    <xf numFmtId="0" fontId="3" fillId="0" borderId="97" xfId="0" applyFont="1" applyBorder="1" applyAlignment="1">
      <alignment horizontal="center" vertical="center" wrapText="1"/>
    </xf>
    <xf numFmtId="0" fontId="5" fillId="0" borderId="75" xfId="0" applyFont="1" applyBorder="1" applyAlignment="1">
      <alignment horizontal="center" vertical="center" wrapText="1"/>
    </xf>
    <xf numFmtId="0" fontId="5" fillId="0" borderId="83" xfId="0" applyFont="1" applyBorder="1" applyAlignment="1">
      <alignment horizontal="center" vertical="center" wrapText="1"/>
    </xf>
    <xf numFmtId="0" fontId="5" fillId="0" borderId="78" xfId="0" applyFont="1" applyBorder="1" applyAlignment="1">
      <alignment horizontal="center" vertical="center" wrapText="1"/>
    </xf>
    <xf numFmtId="0" fontId="3" fillId="0" borderId="80" xfId="0" applyFont="1" applyBorder="1" applyAlignment="1">
      <alignment horizontal="center" vertical="center" wrapText="1"/>
    </xf>
    <xf numFmtId="0" fontId="3" fillId="0" borderId="81" xfId="0" applyFont="1" applyBorder="1" applyAlignment="1">
      <alignment horizontal="center" vertical="center" wrapText="1"/>
    </xf>
    <xf numFmtId="0" fontId="2" fillId="7" borderId="32" xfId="0" applyFont="1" applyFill="1" applyBorder="1" applyAlignment="1">
      <alignment horizontal="center"/>
    </xf>
    <xf numFmtId="0" fontId="18" fillId="10" borderId="77" xfId="0" applyFont="1" applyFill="1" applyBorder="1" applyAlignment="1">
      <alignment wrapText="1"/>
    </xf>
    <xf numFmtId="0" fontId="18" fillId="10" borderId="76" xfId="0" applyFont="1" applyFill="1" applyBorder="1" applyAlignment="1">
      <alignment horizontal="center" wrapText="1"/>
    </xf>
    <xf numFmtId="0" fontId="18" fillId="10" borderId="88" xfId="0" applyFont="1" applyFill="1" applyBorder="1" applyAlignment="1">
      <alignment horizontal="center" wrapText="1"/>
    </xf>
    <xf numFmtId="0" fontId="18" fillId="10" borderId="92" xfId="0" applyFont="1" applyFill="1" applyBorder="1" applyAlignment="1">
      <alignment horizontal="center" wrapText="1"/>
    </xf>
    <xf numFmtId="0" fontId="18" fillId="10" borderId="87" xfId="0" applyFont="1" applyFill="1" applyBorder="1" applyAlignment="1">
      <alignment horizontal="center" wrapText="1"/>
    </xf>
    <xf numFmtId="0" fontId="18" fillId="10" borderId="90" xfId="0" applyFont="1" applyFill="1" applyBorder="1" applyAlignment="1">
      <alignment horizontal="center" wrapText="1"/>
    </xf>
    <xf numFmtId="10" fontId="18" fillId="10" borderId="86" xfId="0" applyNumberFormat="1" applyFont="1" applyFill="1" applyBorder="1" applyAlignment="1">
      <alignment horizontal="center" wrapText="1"/>
    </xf>
    <xf numFmtId="0" fontId="18" fillId="10" borderId="91" xfId="0" applyFont="1" applyFill="1" applyBorder="1" applyAlignment="1">
      <alignment horizontal="center" wrapText="1"/>
    </xf>
    <xf numFmtId="0" fontId="18" fillId="10" borderId="89" xfId="0" applyFont="1" applyFill="1" applyBorder="1" applyAlignment="1">
      <alignment horizontal="center" wrapText="1"/>
    </xf>
    <xf numFmtId="0" fontId="17" fillId="10" borderId="79" xfId="0" applyFont="1" applyFill="1" applyBorder="1" applyAlignment="1">
      <alignment wrapText="1"/>
    </xf>
    <xf numFmtId="0" fontId="17" fillId="10" borderId="85" xfId="0" applyFont="1" applyFill="1" applyBorder="1" applyAlignment="1">
      <alignment horizontal="center" wrapText="1"/>
    </xf>
    <xf numFmtId="0" fontId="17" fillId="10" borderId="89" xfId="0" applyFont="1" applyFill="1" applyBorder="1" applyAlignment="1">
      <alignment horizontal="center" wrapText="1"/>
    </xf>
    <xf numFmtId="0" fontId="17" fillId="10" borderId="23" xfId="0" applyFont="1" applyFill="1" applyBorder="1" applyAlignment="1">
      <alignment horizontal="center" wrapText="1"/>
    </xf>
    <xf numFmtId="10" fontId="17" fillId="10" borderId="86" xfId="0" applyNumberFormat="1" applyFont="1" applyFill="1" applyBorder="1" applyAlignment="1">
      <alignment horizontal="center" wrapText="1"/>
    </xf>
    <xf numFmtId="17" fontId="3" fillId="7" borderId="8" xfId="0" applyNumberFormat="1" applyFont="1" applyFill="1" applyBorder="1" applyAlignment="1">
      <alignment horizontal="center" vertical="center" wrapText="1"/>
    </xf>
    <xf numFmtId="0" fontId="5" fillId="0" borderId="9" xfId="0" applyFont="1" applyBorder="1" applyAlignment="1">
      <alignment horizontal="center" vertical="center"/>
    </xf>
    <xf numFmtId="164" fontId="10" fillId="0" borderId="55" xfId="0" applyNumberFormat="1" applyFont="1" applyBorder="1" applyAlignment="1">
      <alignment horizontal="center"/>
    </xf>
    <xf numFmtId="0" fontId="17" fillId="10" borderId="64" xfId="0" applyFont="1" applyFill="1" applyBorder="1" applyAlignment="1">
      <alignment horizontal="center" wrapText="1"/>
    </xf>
    <xf numFmtId="0" fontId="21" fillId="10" borderId="37" xfId="0" applyFont="1" applyFill="1" applyBorder="1" applyAlignment="1">
      <alignment horizontal="left"/>
    </xf>
    <xf numFmtId="0" fontId="21" fillId="10" borderId="44" xfId="0" applyFont="1" applyFill="1" applyBorder="1" applyAlignment="1">
      <alignment horizontal="center"/>
    </xf>
    <xf numFmtId="0" fontId="21" fillId="10" borderId="46" xfId="0" applyFont="1" applyFill="1" applyBorder="1" applyAlignment="1">
      <alignment horizontal="center"/>
    </xf>
    <xf numFmtId="0" fontId="21" fillId="10" borderId="21" xfId="0" applyFont="1" applyFill="1" applyBorder="1" applyAlignment="1">
      <alignment horizontal="left"/>
    </xf>
    <xf numFmtId="0" fontId="21" fillId="10" borderId="9" xfId="0" applyFont="1" applyFill="1" applyBorder="1" applyAlignment="1">
      <alignment horizontal="center"/>
    </xf>
    <xf numFmtId="0" fontId="21" fillId="10" borderId="15" xfId="0" applyFont="1" applyFill="1" applyBorder="1" applyAlignment="1">
      <alignment horizontal="center"/>
    </xf>
    <xf numFmtId="0" fontId="21" fillId="10" borderId="30" xfId="0" applyFont="1" applyFill="1" applyBorder="1" applyAlignment="1">
      <alignment horizontal="center"/>
    </xf>
    <xf numFmtId="0" fontId="21" fillId="10" borderId="50" xfId="0" applyFont="1" applyFill="1" applyBorder="1" applyAlignment="1">
      <alignment horizontal="center"/>
    </xf>
    <xf numFmtId="0" fontId="21" fillId="10" borderId="22" xfId="0" applyFont="1" applyFill="1" applyBorder="1" applyAlignment="1">
      <alignment horizontal="left"/>
    </xf>
    <xf numFmtId="0" fontId="21" fillId="10" borderId="17" xfId="0" applyFont="1" applyFill="1" applyBorder="1" applyAlignment="1">
      <alignment horizontal="center"/>
    </xf>
    <xf numFmtId="0" fontId="21" fillId="10" borderId="18" xfId="0" applyFont="1" applyFill="1" applyBorder="1" applyAlignment="1">
      <alignment horizontal="center"/>
    </xf>
    <xf numFmtId="0" fontId="24" fillId="10" borderId="69" xfId="0" applyFont="1" applyFill="1" applyBorder="1" applyAlignment="1">
      <alignment horizontal="left"/>
    </xf>
    <xf numFmtId="0" fontId="24" fillId="10" borderId="62" xfId="0" applyFont="1" applyFill="1" applyBorder="1" applyAlignment="1">
      <alignment horizontal="left"/>
    </xf>
    <xf numFmtId="0" fontId="24" fillId="10" borderId="15" xfId="0" applyFont="1" applyFill="1" applyBorder="1" applyAlignment="1">
      <alignment horizontal="center"/>
    </xf>
    <xf numFmtId="0" fontId="24" fillId="10" borderId="52" xfId="0" applyFont="1" applyFill="1" applyBorder="1" applyAlignment="1">
      <alignment horizontal="left"/>
    </xf>
    <xf numFmtId="0" fontId="24" fillId="10" borderId="72" xfId="0" applyFont="1" applyFill="1" applyBorder="1" applyAlignment="1">
      <alignment horizontal="left"/>
    </xf>
    <xf numFmtId="0" fontId="24" fillId="10" borderId="50" xfId="0" applyFont="1" applyFill="1" applyBorder="1" applyAlignment="1">
      <alignment horizontal="center"/>
    </xf>
    <xf numFmtId="0" fontId="24" fillId="10" borderId="46" xfId="0" applyFont="1" applyFill="1" applyBorder="1" applyAlignment="1">
      <alignment horizontal="center" vertical="center"/>
    </xf>
    <xf numFmtId="0" fontId="24" fillId="10" borderId="15" xfId="0" applyFont="1" applyFill="1" applyBorder="1" applyAlignment="1">
      <alignment horizontal="center" vertical="center"/>
    </xf>
    <xf numFmtId="0" fontId="24" fillId="10" borderId="63" xfId="0" applyFont="1" applyFill="1" applyBorder="1" applyAlignment="1">
      <alignment horizontal="left"/>
    </xf>
    <xf numFmtId="0" fontId="24" fillId="11" borderId="58" xfId="0" applyFont="1" applyFill="1" applyBorder="1" applyAlignment="1">
      <alignment horizontal="center"/>
    </xf>
    <xf numFmtId="0" fontId="17" fillId="10" borderId="82" xfId="0" applyFont="1" applyFill="1" applyBorder="1" applyAlignment="1">
      <alignment wrapText="1"/>
    </xf>
    <xf numFmtId="0" fontId="17" fillId="10" borderId="84" xfId="0" applyFont="1" applyFill="1" applyBorder="1" applyAlignment="1">
      <alignment horizontal="center" vertical="center" wrapText="1"/>
    </xf>
    <xf numFmtId="0" fontId="17" fillId="10" borderId="92" xfId="0" applyFont="1" applyFill="1" applyBorder="1" applyAlignment="1">
      <alignment horizontal="center" vertical="center" wrapText="1"/>
    </xf>
    <xf numFmtId="0" fontId="17" fillId="10" borderId="55" xfId="0" applyFont="1" applyFill="1" applyBorder="1" applyAlignment="1">
      <alignment horizontal="center" vertical="center" wrapText="1"/>
    </xf>
    <xf numFmtId="0" fontId="17" fillId="10" borderId="5"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17" fillId="10" borderId="23" xfId="0" applyFont="1" applyFill="1" applyBorder="1" applyAlignment="1">
      <alignment horizontal="center" vertical="center" wrapText="1"/>
    </xf>
    <xf numFmtId="0" fontId="17" fillId="10" borderId="23" xfId="0" applyFont="1" applyFill="1" applyBorder="1" applyAlignment="1">
      <alignment vertical="center"/>
    </xf>
    <xf numFmtId="0" fontId="20" fillId="10" borderId="9" xfId="0" applyFont="1" applyFill="1" applyBorder="1" applyAlignment="1">
      <alignment horizontal="center" vertical="center"/>
    </xf>
    <xf numFmtId="0" fontId="20" fillId="10" borderId="9" xfId="0" applyFont="1" applyFill="1" applyBorder="1" applyAlignment="1">
      <alignment vertical="center"/>
    </xf>
    <xf numFmtId="0" fontId="20" fillId="10" borderId="9" xfId="0" applyFont="1" applyFill="1" applyBorder="1" applyAlignment="1">
      <alignment horizontal="center" vertical="center" wrapText="1"/>
    </xf>
    <xf numFmtId="0" fontId="5" fillId="0" borderId="60" xfId="0" applyFont="1" applyBorder="1" applyAlignment="1">
      <alignment horizontal="center"/>
    </xf>
    <xf numFmtId="0" fontId="28" fillId="0" borderId="10" xfId="0" applyFont="1" applyBorder="1" applyAlignment="1">
      <alignment horizontal="center" vertical="center"/>
    </xf>
    <xf numFmtId="0" fontId="28" fillId="0" borderId="65" xfId="0" applyFont="1" applyBorder="1" applyAlignment="1">
      <alignment horizontal="center" vertical="center"/>
    </xf>
    <xf numFmtId="0" fontId="28" fillId="0" borderId="23" xfId="0" applyFont="1" applyBorder="1" applyAlignment="1">
      <alignment horizontal="center" vertical="center"/>
    </xf>
    <xf numFmtId="0" fontId="29" fillId="0" borderId="65" xfId="0" applyFont="1" applyBorder="1" applyAlignment="1">
      <alignment horizontal="center" vertical="center"/>
    </xf>
    <xf numFmtId="0" fontId="29" fillId="2" borderId="65" xfId="0" applyFont="1" applyFill="1" applyBorder="1" applyAlignment="1">
      <alignment horizontal="center" vertical="center" wrapText="1"/>
    </xf>
    <xf numFmtId="0" fontId="28" fillId="0" borderId="40" xfId="0" applyFont="1" applyBorder="1" applyAlignment="1">
      <alignment horizontal="center" vertical="center"/>
    </xf>
    <xf numFmtId="0" fontId="29" fillId="0" borderId="55" xfId="0" applyFont="1" applyBorder="1" applyAlignment="1">
      <alignment horizontal="center" vertical="center"/>
    </xf>
    <xf numFmtId="0" fontId="29" fillId="2" borderId="55" xfId="0" applyFont="1" applyFill="1" applyBorder="1" applyAlignment="1">
      <alignment horizontal="center" vertical="center" wrapText="1"/>
    </xf>
    <xf numFmtId="0" fontId="29" fillId="0" borderId="13" xfId="0" applyFont="1" applyBorder="1" applyAlignment="1">
      <alignment horizontal="center" vertical="center"/>
    </xf>
    <xf numFmtId="0" fontId="29" fillId="2" borderId="13" xfId="0" applyFont="1" applyFill="1" applyBorder="1" applyAlignment="1">
      <alignment horizontal="center" vertical="center" wrapText="1"/>
    </xf>
    <xf numFmtId="0" fontId="28" fillId="0" borderId="8" xfId="0" applyFont="1" applyBorder="1" applyAlignment="1">
      <alignment horizontal="center" vertical="center"/>
    </xf>
    <xf numFmtId="0" fontId="28" fillId="0" borderId="7" xfId="0" applyFont="1" applyBorder="1" applyAlignment="1">
      <alignment horizontal="center" vertical="center"/>
    </xf>
    <xf numFmtId="0" fontId="27" fillId="2" borderId="82" xfId="0" applyFont="1" applyFill="1" applyBorder="1" applyAlignment="1">
      <alignment vertical="center" wrapText="1"/>
    </xf>
    <xf numFmtId="0" fontId="27" fillId="2" borderId="55" xfId="0" applyFont="1" applyFill="1" applyBorder="1" applyAlignment="1">
      <alignment vertical="center" wrapText="1"/>
    </xf>
    <xf numFmtId="0" fontId="27" fillId="2" borderId="66" xfId="0" applyFont="1" applyFill="1" applyBorder="1" applyAlignment="1">
      <alignment vertical="center" wrapText="1"/>
    </xf>
    <xf numFmtId="0" fontId="27" fillId="2" borderId="23" xfId="0" applyFont="1" applyFill="1" applyBorder="1" applyAlignment="1">
      <alignment vertical="center" wrapText="1"/>
    </xf>
    <xf numFmtId="0" fontId="27" fillId="2" borderId="65" xfId="0" applyFont="1" applyFill="1" applyBorder="1" applyAlignment="1">
      <alignment vertical="center" wrapText="1"/>
    </xf>
    <xf numFmtId="0" fontId="27" fillId="2" borderId="65" xfId="0" applyFont="1" applyFill="1" applyBorder="1" applyAlignment="1">
      <alignment vertical="center"/>
    </xf>
    <xf numFmtId="0" fontId="30" fillId="2" borderId="82" xfId="0" applyFont="1" applyFill="1" applyBorder="1" applyAlignment="1">
      <alignment vertical="center" wrapText="1"/>
    </xf>
    <xf numFmtId="0" fontId="30" fillId="2" borderId="90" xfId="0" applyFont="1" applyFill="1" applyBorder="1" applyAlignment="1">
      <alignment horizontal="center" vertical="center" wrapText="1"/>
    </xf>
    <xf numFmtId="0" fontId="30" fillId="2" borderId="92" xfId="0" applyFont="1" applyFill="1" applyBorder="1" applyAlignment="1">
      <alignment horizontal="center" vertical="center" wrapText="1"/>
    </xf>
    <xf numFmtId="0" fontId="30" fillId="2" borderId="86" xfId="0" applyFont="1" applyFill="1" applyBorder="1" applyAlignment="1">
      <alignment horizontal="center" vertical="center" wrapText="1"/>
    </xf>
    <xf numFmtId="0" fontId="30" fillId="2" borderId="101" xfId="0" applyFont="1" applyFill="1" applyBorder="1" applyAlignment="1">
      <alignment horizontal="center" vertical="center" wrapText="1"/>
    </xf>
    <xf numFmtId="10" fontId="30" fillId="2" borderId="86" xfId="0" applyNumberFormat="1" applyFont="1" applyFill="1" applyBorder="1" applyAlignment="1">
      <alignment horizontal="center" vertical="center" wrapText="1"/>
    </xf>
    <xf numFmtId="0" fontId="30" fillId="2" borderId="65" xfId="0" applyFont="1" applyFill="1" applyBorder="1" applyAlignment="1">
      <alignment horizontal="center" vertical="center" wrapText="1"/>
    </xf>
    <xf numFmtId="0" fontId="27" fillId="2" borderId="102" xfId="0" applyFont="1" applyFill="1" applyBorder="1" applyAlignment="1">
      <alignment vertical="center" wrapText="1"/>
    </xf>
    <xf numFmtId="0" fontId="27" fillId="2" borderId="66" xfId="0" applyFont="1" applyFill="1" applyBorder="1" applyAlignment="1">
      <alignment horizontal="center" vertical="center" wrapText="1"/>
    </xf>
    <xf numFmtId="0" fontId="27" fillId="2" borderId="23" xfId="0" applyFont="1" applyFill="1" applyBorder="1" applyAlignment="1">
      <alignment horizontal="center" vertical="center" wrapText="1"/>
    </xf>
    <xf numFmtId="0" fontId="27" fillId="2" borderId="65" xfId="0" applyFont="1" applyFill="1" applyBorder="1" applyAlignment="1">
      <alignment horizontal="center" vertical="center" wrapText="1"/>
    </xf>
    <xf numFmtId="0" fontId="27" fillId="2" borderId="64" xfId="0" applyFont="1" applyFill="1" applyBorder="1" applyAlignment="1">
      <alignment horizontal="center" vertical="center" wrapText="1"/>
    </xf>
    <xf numFmtId="10" fontId="27" fillId="2" borderId="86" xfId="0" applyNumberFormat="1" applyFont="1" applyFill="1" applyBorder="1" applyAlignment="1">
      <alignment horizontal="center" vertical="center" wrapText="1"/>
    </xf>
    <xf numFmtId="0" fontId="27" fillId="2" borderId="90" xfId="0" applyFont="1" applyFill="1" applyBorder="1" applyAlignment="1">
      <alignment horizontal="center" vertical="center" wrapText="1"/>
    </xf>
    <xf numFmtId="0" fontId="27" fillId="2" borderId="92" xfId="0" applyFont="1" applyFill="1" applyBorder="1" applyAlignment="1">
      <alignment horizontal="center" vertical="center" wrapText="1"/>
    </xf>
    <xf numFmtId="0" fontId="27" fillId="2" borderId="86" xfId="0" applyFont="1" applyFill="1" applyBorder="1" applyAlignment="1">
      <alignment horizontal="center" vertical="center" wrapText="1"/>
    </xf>
    <xf numFmtId="0" fontId="28" fillId="0" borderId="9" xfId="0" applyFont="1" applyBorder="1" applyAlignment="1">
      <alignment horizontal="center" vertical="center"/>
    </xf>
    <xf numFmtId="0" fontId="2" fillId="0" borderId="9" xfId="0" applyFont="1" applyBorder="1" applyAlignment="1">
      <alignment horizontal="center"/>
    </xf>
    <xf numFmtId="0" fontId="2" fillId="0" borderId="9" xfId="0" applyFont="1" applyBorder="1" applyAlignment="1">
      <alignment horizontal="center" vertical="center" wrapText="1"/>
    </xf>
    <xf numFmtId="0" fontId="5" fillId="0" borderId="46" xfId="0" applyFont="1" applyBorder="1" applyAlignment="1">
      <alignment horizontal="center"/>
    </xf>
    <xf numFmtId="0" fontId="5" fillId="0" borderId="18" xfId="0" applyFont="1" applyBorder="1" applyAlignment="1">
      <alignment horizontal="center"/>
    </xf>
    <xf numFmtId="0" fontId="5" fillId="0" borderId="50" xfId="0" applyFont="1" applyBorder="1" applyAlignment="1">
      <alignment horizontal="center"/>
    </xf>
    <xf numFmtId="0" fontId="3" fillId="10" borderId="0" xfId="0" applyFont="1" applyFill="1" applyAlignment="1">
      <alignment horizontal="center" vertical="center" wrapText="1"/>
    </xf>
    <xf numFmtId="0" fontId="3" fillId="0" borderId="0" xfId="0" applyFont="1" applyAlignment="1">
      <alignment horizontal="center"/>
    </xf>
    <xf numFmtId="0" fontId="5" fillId="10" borderId="0" xfId="0" applyFont="1" applyFill="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3" fillId="0" borderId="5" xfId="0" applyFont="1" applyBorder="1"/>
    <xf numFmtId="0" fontId="3" fillId="10" borderId="32"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3" fillId="0" borderId="36" xfId="0" applyFont="1" applyBorder="1" applyAlignment="1">
      <alignment horizontal="center"/>
    </xf>
    <xf numFmtId="0" fontId="3" fillId="0" borderId="32" xfId="0" applyFont="1" applyBorder="1" applyAlignment="1">
      <alignment horizontal="center"/>
    </xf>
    <xf numFmtId="0" fontId="22" fillId="11" borderId="10" xfId="0" applyFont="1" applyFill="1" applyBorder="1" applyAlignment="1">
      <alignment horizontal="center"/>
    </xf>
    <xf numFmtId="0" fontId="22" fillId="11" borderId="8" xfId="0" applyFont="1" applyFill="1" applyBorder="1" applyAlignment="1">
      <alignment horizontal="left"/>
    </xf>
    <xf numFmtId="0" fontId="22" fillId="11" borderId="23" xfId="0" applyFont="1" applyFill="1" applyBorder="1" applyAlignment="1">
      <alignment horizontal="center"/>
    </xf>
    <xf numFmtId="0" fontId="5" fillId="0" borderId="37"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3" fillId="10" borderId="7" xfId="0" applyFont="1" applyFill="1" applyBorder="1" applyAlignment="1">
      <alignment horizontal="center"/>
    </xf>
    <xf numFmtId="0" fontId="0" fillId="0" borderId="36" xfId="0" applyBorder="1" applyAlignment="1">
      <alignment horizontal="center"/>
    </xf>
    <xf numFmtId="0" fontId="5" fillId="0" borderId="71" xfId="0" applyFont="1" applyBorder="1" applyAlignment="1">
      <alignment horizontal="center" vertical="center"/>
    </xf>
    <xf numFmtId="0" fontId="5" fillId="0" borderId="53" xfId="0" applyFont="1" applyBorder="1" applyAlignment="1">
      <alignment horizontal="center" vertical="center"/>
    </xf>
    <xf numFmtId="0" fontId="5" fillId="0" borderId="68" xfId="0" applyFont="1" applyBorder="1" applyAlignment="1">
      <alignment horizontal="center" vertical="center"/>
    </xf>
    <xf numFmtId="0" fontId="5" fillId="0" borderId="51" xfId="0" applyFont="1" applyBorder="1" applyAlignment="1">
      <alignment horizontal="center" vertical="center"/>
    </xf>
    <xf numFmtId="0" fontId="5" fillId="0" borderId="55" xfId="0" applyFont="1" applyBorder="1" applyAlignment="1">
      <alignment horizontal="center" vertical="center"/>
    </xf>
    <xf numFmtId="0" fontId="5" fillId="0" borderId="10" xfId="0" applyFont="1" applyBorder="1" applyAlignment="1">
      <alignment horizontal="center" vertical="center"/>
    </xf>
    <xf numFmtId="0" fontId="5" fillId="0" borderId="40" xfId="0" applyFont="1" applyBorder="1" applyAlignment="1">
      <alignment horizontal="center" vertical="center"/>
    </xf>
    <xf numFmtId="1" fontId="3" fillId="7" borderId="8" xfId="0" applyNumberFormat="1" applyFont="1" applyFill="1" applyBorder="1" applyAlignment="1">
      <alignment horizontal="center" vertical="center" wrapText="1"/>
    </xf>
    <xf numFmtId="0" fontId="0" fillId="0" borderId="47" xfId="0" applyBorder="1"/>
    <xf numFmtId="0" fontId="0" fillId="0" borderId="48" xfId="0" applyBorder="1"/>
    <xf numFmtId="0" fontId="2" fillId="7" borderId="42" xfId="0" applyFont="1" applyFill="1" applyBorder="1"/>
    <xf numFmtId="0" fontId="18" fillId="10" borderId="77" xfId="0" applyFont="1" applyFill="1" applyBorder="1" applyAlignment="1">
      <alignment vertical="center" wrapText="1"/>
    </xf>
    <xf numFmtId="0" fontId="17" fillId="10" borderId="79" xfId="0" applyFont="1" applyFill="1" applyBorder="1" applyAlignment="1">
      <alignment vertical="center" wrapText="1"/>
    </xf>
    <xf numFmtId="0" fontId="17" fillId="10" borderId="85" xfId="0" applyFont="1" applyFill="1" applyBorder="1" applyAlignment="1">
      <alignment horizontal="center" vertical="center" wrapText="1"/>
    </xf>
    <xf numFmtId="0" fontId="17" fillId="10" borderId="89" xfId="0" applyFont="1" applyFill="1" applyBorder="1" applyAlignment="1">
      <alignment horizontal="center" vertical="center" wrapText="1"/>
    </xf>
    <xf numFmtId="10" fontId="17" fillId="10" borderId="86" xfId="0" applyNumberFormat="1" applyFont="1" applyFill="1" applyBorder="1" applyAlignment="1">
      <alignment horizontal="center" vertical="center" wrapText="1"/>
    </xf>
    <xf numFmtId="0" fontId="31" fillId="10" borderId="84" xfId="0" applyFont="1" applyFill="1" applyBorder="1" applyAlignment="1">
      <alignment horizontal="center" vertical="center" wrapText="1"/>
    </xf>
    <xf numFmtId="0" fontId="31" fillId="10" borderId="92" xfId="0" applyFont="1" applyFill="1" applyBorder="1" applyAlignment="1">
      <alignment horizontal="center" vertical="center" wrapText="1"/>
    </xf>
    <xf numFmtId="0" fontId="31" fillId="10" borderId="8" xfId="0" applyFont="1" applyFill="1" applyBorder="1" applyAlignment="1">
      <alignment horizontal="center" vertical="center" wrapText="1"/>
    </xf>
    <xf numFmtId="0" fontId="5" fillId="0" borderId="75" xfId="0" applyFont="1" applyBorder="1" applyAlignment="1">
      <alignment horizontal="center" wrapText="1"/>
    </xf>
    <xf numFmtId="0" fontId="5" fillId="0" borderId="83" xfId="0" applyFont="1" applyBorder="1" applyAlignment="1">
      <alignment horizontal="center" wrapText="1"/>
    </xf>
    <xf numFmtId="0" fontId="5" fillId="0" borderId="78" xfId="0" applyFont="1" applyBorder="1" applyAlignment="1">
      <alignment horizontal="center" wrapText="1"/>
    </xf>
    <xf numFmtId="0" fontId="3" fillId="0" borderId="80" xfId="0" applyFont="1" applyBorder="1" applyAlignment="1">
      <alignment horizontal="center" wrapText="1"/>
    </xf>
    <xf numFmtId="0" fontId="3" fillId="0" borderId="81" xfId="0" applyFont="1" applyBorder="1" applyAlignment="1">
      <alignment horizontal="center" wrapText="1"/>
    </xf>
    <xf numFmtId="1" fontId="3" fillId="10" borderId="13" xfId="0" applyNumberFormat="1" applyFont="1" applyFill="1" applyBorder="1" applyAlignment="1">
      <alignment horizontal="center" vertical="center"/>
    </xf>
    <xf numFmtId="1" fontId="3" fillId="10" borderId="10" xfId="0" applyNumberFormat="1" applyFont="1" applyFill="1" applyBorder="1" applyAlignment="1">
      <alignment horizontal="center" vertical="center"/>
    </xf>
    <xf numFmtId="2" fontId="5" fillId="10" borderId="43" xfId="0" applyNumberFormat="1" applyFont="1" applyFill="1" applyBorder="1" applyAlignment="1">
      <alignment horizontal="center"/>
    </xf>
    <xf numFmtId="2" fontId="5" fillId="10" borderId="46" xfId="0" applyNumberFormat="1" applyFont="1" applyFill="1" applyBorder="1" applyAlignment="1">
      <alignment horizontal="center"/>
    </xf>
    <xf numFmtId="2" fontId="5" fillId="10" borderId="15" xfId="0" applyNumberFormat="1" applyFont="1" applyFill="1" applyBorder="1" applyAlignment="1">
      <alignment horizontal="center"/>
    </xf>
    <xf numFmtId="2" fontId="5" fillId="10" borderId="18" xfId="0" applyNumberFormat="1" applyFont="1" applyFill="1" applyBorder="1" applyAlignment="1">
      <alignment horizontal="center"/>
    </xf>
    <xf numFmtId="0" fontId="3" fillId="10" borderId="6" xfId="0" applyFont="1" applyFill="1" applyBorder="1"/>
    <xf numFmtId="164" fontId="5" fillId="10" borderId="94" xfId="0" applyNumberFormat="1" applyFont="1" applyFill="1" applyBorder="1" applyAlignment="1">
      <alignment horizontal="center"/>
    </xf>
    <xf numFmtId="164" fontId="5" fillId="10" borderId="19" xfId="0" applyNumberFormat="1" applyFont="1" applyFill="1" applyBorder="1" applyAlignment="1">
      <alignment horizontal="center"/>
    </xf>
    <xf numFmtId="164" fontId="5" fillId="10" borderId="93" xfId="0" applyNumberFormat="1" applyFont="1" applyFill="1" applyBorder="1" applyAlignment="1">
      <alignment horizontal="center"/>
    </xf>
    <xf numFmtId="164" fontId="5" fillId="10" borderId="43" xfId="0" applyNumberFormat="1" applyFont="1" applyFill="1" applyBorder="1" applyAlignment="1">
      <alignment horizontal="center"/>
    </xf>
    <xf numFmtId="2" fontId="5" fillId="10" borderId="50" xfId="0" applyNumberFormat="1" applyFont="1" applyFill="1" applyBorder="1" applyAlignment="1">
      <alignment horizontal="center"/>
    </xf>
    <xf numFmtId="2" fontId="0" fillId="0" borderId="31" xfId="0" applyNumberFormat="1" applyBorder="1" applyAlignment="1">
      <alignment horizontal="center"/>
    </xf>
    <xf numFmtId="2" fontId="0" fillId="0" borderId="42" xfId="0" applyNumberFormat="1" applyBorder="1" applyAlignment="1">
      <alignment horizontal="center"/>
    </xf>
    <xf numFmtId="164" fontId="5" fillId="10" borderId="31" xfId="0" applyNumberFormat="1" applyFont="1" applyFill="1" applyBorder="1" applyAlignment="1">
      <alignment horizontal="center"/>
    </xf>
    <xf numFmtId="2" fontId="5" fillId="10" borderId="33" xfId="0" applyNumberFormat="1" applyFont="1" applyFill="1" applyBorder="1" applyAlignment="1">
      <alignment horizontal="center"/>
    </xf>
    <xf numFmtId="164" fontId="5" fillId="10" borderId="35" xfId="0" applyNumberFormat="1" applyFont="1" applyFill="1" applyBorder="1" applyAlignment="1">
      <alignment horizontal="center"/>
    </xf>
    <xf numFmtId="0" fontId="16" fillId="8" borderId="10" xfId="0" applyFont="1" applyFill="1" applyBorder="1" applyAlignment="1">
      <alignment horizontal="center"/>
    </xf>
    <xf numFmtId="17" fontId="16" fillId="8" borderId="10" xfId="0" applyNumberFormat="1" applyFont="1" applyFill="1" applyBorder="1" applyAlignment="1">
      <alignment horizontal="center"/>
    </xf>
    <xf numFmtId="0" fontId="5" fillId="0" borderId="43" xfId="0" applyFont="1" applyBorder="1" applyAlignment="1">
      <alignment horizontal="left"/>
    </xf>
    <xf numFmtId="0" fontId="5" fillId="0" borderId="45" xfId="0" applyFont="1" applyBorder="1" applyAlignment="1">
      <alignment horizontal="center"/>
    </xf>
    <xf numFmtId="0" fontId="5" fillId="0" borderId="14" xfId="0" applyFont="1" applyBorder="1" applyAlignment="1">
      <alignment horizontal="left"/>
    </xf>
    <xf numFmtId="0" fontId="5" fillId="0" borderId="47" xfId="0" applyFont="1" applyBorder="1" applyAlignment="1">
      <alignment horizontal="center"/>
    </xf>
    <xf numFmtId="0" fontId="5" fillId="0" borderId="16" xfId="0" applyFont="1" applyBorder="1" applyAlignment="1">
      <alignment horizontal="left"/>
    </xf>
    <xf numFmtId="0" fontId="5" fillId="0" borderId="48" xfId="0" applyFont="1" applyBorder="1" applyAlignment="1">
      <alignment horizontal="center"/>
    </xf>
    <xf numFmtId="0" fontId="3" fillId="7" borderId="23" xfId="0" applyFont="1" applyFill="1" applyBorder="1" applyAlignment="1">
      <alignment horizontal="left"/>
    </xf>
    <xf numFmtId="0" fontId="5" fillId="7" borderId="23" xfId="0" applyFont="1" applyFill="1" applyBorder="1" applyAlignment="1">
      <alignment horizontal="center"/>
    </xf>
    <xf numFmtId="0" fontId="5" fillId="7" borderId="8" xfId="0" applyFont="1" applyFill="1" applyBorder="1" applyAlignment="1">
      <alignment horizontal="center"/>
    </xf>
    <xf numFmtId="0" fontId="5" fillId="0" borderId="0" xfId="0" applyFont="1"/>
    <xf numFmtId="0" fontId="5" fillId="0" borderId="69" xfId="0" applyFont="1" applyBorder="1" applyAlignment="1">
      <alignment horizontal="left"/>
    </xf>
    <xf numFmtId="0" fontId="5" fillId="0" borderId="52" xfId="0" applyFont="1" applyBorder="1" applyAlignment="1">
      <alignment horizontal="left"/>
    </xf>
    <xf numFmtId="0" fontId="5" fillId="0" borderId="63" xfId="0" applyFont="1" applyBorder="1" applyAlignment="1">
      <alignment horizontal="left"/>
    </xf>
    <xf numFmtId="0" fontId="16" fillId="8" borderId="8" xfId="0" applyFont="1" applyFill="1" applyBorder="1" applyAlignment="1">
      <alignment horizontal="center"/>
    </xf>
    <xf numFmtId="17" fontId="16" fillId="8" borderId="8" xfId="0" applyNumberFormat="1" applyFont="1" applyFill="1" applyBorder="1" applyAlignment="1">
      <alignment horizontal="center"/>
    </xf>
    <xf numFmtId="0" fontId="5" fillId="0" borderId="28" xfId="0" applyFont="1" applyBorder="1" applyAlignment="1">
      <alignment horizontal="left"/>
    </xf>
    <xf numFmtId="0" fontId="5" fillId="0" borderId="29" xfId="0" applyFont="1" applyBorder="1" applyAlignment="1">
      <alignment horizontal="center"/>
    </xf>
    <xf numFmtId="0" fontId="5" fillId="0" borderId="28" xfId="0" applyFont="1" applyBorder="1" applyAlignment="1">
      <alignment horizontal="center"/>
    </xf>
    <xf numFmtId="0" fontId="5" fillId="0" borderId="21" xfId="0" applyFont="1" applyBorder="1" applyAlignment="1">
      <alignment horizontal="left"/>
    </xf>
    <xf numFmtId="0" fontId="5" fillId="0" borderId="24" xfId="0" applyFont="1" applyBorder="1" applyAlignment="1">
      <alignment horizontal="center"/>
    </xf>
    <xf numFmtId="0" fontId="5" fillId="0" borderId="54" xfId="0" applyFont="1" applyBorder="1" applyAlignment="1">
      <alignment horizontal="left"/>
    </xf>
    <xf numFmtId="0" fontId="5" fillId="0" borderId="25" xfId="0" applyFont="1" applyBorder="1" applyAlignment="1">
      <alignment horizontal="center"/>
    </xf>
    <xf numFmtId="0" fontId="5" fillId="0" borderId="23" xfId="0" applyFont="1" applyBorder="1" applyAlignment="1">
      <alignment horizontal="center"/>
    </xf>
    <xf numFmtId="0" fontId="3" fillId="7" borderId="8" xfId="0" applyFont="1" applyFill="1" applyBorder="1" applyAlignment="1">
      <alignment horizontal="left"/>
    </xf>
    <xf numFmtId="0" fontId="33" fillId="0" borderId="0" xfId="0" applyFont="1"/>
    <xf numFmtId="0" fontId="5" fillId="0" borderId="57" xfId="0" applyFont="1" applyBorder="1" applyAlignment="1">
      <alignment horizontal="center"/>
    </xf>
    <xf numFmtId="0" fontId="5" fillId="0" borderId="58" xfId="0" applyFont="1" applyBorder="1" applyAlignment="1">
      <alignment horizontal="center"/>
    </xf>
    <xf numFmtId="0" fontId="5" fillId="0" borderId="61" xfId="0" applyFont="1" applyBorder="1" applyAlignment="1">
      <alignment horizontal="center"/>
    </xf>
    <xf numFmtId="0" fontId="5" fillId="7" borderId="32" xfId="0" applyFont="1" applyFill="1" applyBorder="1" applyAlignment="1">
      <alignment horizontal="center"/>
    </xf>
    <xf numFmtId="0" fontId="5" fillId="7" borderId="33" xfId="0" applyFont="1" applyFill="1" applyBorder="1" applyAlignment="1">
      <alignment horizontal="center"/>
    </xf>
    <xf numFmtId="17" fontId="16" fillId="8" borderId="7" xfId="0" applyNumberFormat="1" applyFont="1" applyFill="1" applyBorder="1" applyAlignment="1">
      <alignment horizontal="center"/>
    </xf>
    <xf numFmtId="0" fontId="5" fillId="7" borderId="36" xfId="0" applyFont="1" applyFill="1" applyBorder="1" applyAlignment="1">
      <alignment horizontal="center"/>
    </xf>
    <xf numFmtId="0" fontId="5" fillId="0" borderId="22" xfId="0" applyFont="1" applyBorder="1" applyAlignment="1">
      <alignment horizontal="left"/>
    </xf>
    <xf numFmtId="0" fontId="5" fillId="0" borderId="49" xfId="0" applyFont="1" applyBorder="1" applyAlignment="1">
      <alignment horizontal="center"/>
    </xf>
    <xf numFmtId="0" fontId="3" fillId="6" borderId="8" xfId="0" applyFont="1" applyFill="1" applyBorder="1" applyAlignment="1">
      <alignment horizontal="center"/>
    </xf>
    <xf numFmtId="0" fontId="3" fillId="6" borderId="36" xfId="0" applyFont="1" applyFill="1" applyBorder="1" applyAlignment="1">
      <alignment horizontal="center"/>
    </xf>
    <xf numFmtId="0" fontId="3" fillId="6" borderId="32" xfId="0" applyFont="1" applyFill="1" applyBorder="1" applyAlignment="1">
      <alignment horizontal="center"/>
    </xf>
    <xf numFmtId="0" fontId="3" fillId="6" borderId="33" xfId="0" applyFont="1" applyFill="1" applyBorder="1" applyAlignment="1">
      <alignment horizontal="center"/>
    </xf>
    <xf numFmtId="0" fontId="5" fillId="0" borderId="27" xfId="0" applyFont="1" applyBorder="1" applyAlignment="1">
      <alignment horizontal="center"/>
    </xf>
    <xf numFmtId="0" fontId="5" fillId="0" borderId="65" xfId="0" applyFont="1" applyBorder="1" applyAlignment="1">
      <alignment horizontal="center"/>
    </xf>
    <xf numFmtId="0" fontId="5" fillId="0" borderId="70" xfId="0" applyFont="1" applyBorder="1" applyAlignment="1">
      <alignment horizontal="center"/>
    </xf>
    <xf numFmtId="0" fontId="5" fillId="0" borderId="37" xfId="0" applyFont="1" applyBorder="1" applyAlignment="1">
      <alignment horizontal="left"/>
    </xf>
    <xf numFmtId="0" fontId="5" fillId="0" borderId="41" xfId="0" applyFont="1" applyBorder="1" applyAlignment="1">
      <alignment horizontal="center"/>
    </xf>
    <xf numFmtId="0" fontId="5" fillId="0" borderId="25" xfId="0" applyFont="1" applyBorder="1" applyAlignment="1">
      <alignment horizontal="left"/>
    </xf>
    <xf numFmtId="0" fontId="5" fillId="0" borderId="26" xfId="0" applyFont="1" applyBorder="1" applyAlignment="1">
      <alignment horizontal="center"/>
    </xf>
    <xf numFmtId="17" fontId="16" fillId="8" borderId="6" xfId="0" applyNumberFormat="1" applyFont="1" applyFill="1" applyBorder="1" applyAlignment="1">
      <alignment horizontal="center"/>
    </xf>
    <xf numFmtId="0" fontId="5" fillId="7" borderId="66" xfId="0" applyFont="1" applyFill="1" applyBorder="1" applyAlignment="1">
      <alignment horizontal="center"/>
    </xf>
    <xf numFmtId="0" fontId="5" fillId="7" borderId="6" xfId="0" applyFont="1" applyFill="1" applyBorder="1" applyAlignment="1">
      <alignment horizontal="center"/>
    </xf>
    <xf numFmtId="0" fontId="5" fillId="7" borderId="7" xfId="0" applyFont="1" applyFill="1" applyBorder="1" applyAlignment="1">
      <alignment horizontal="center"/>
    </xf>
    <xf numFmtId="0" fontId="5" fillId="7" borderId="5" xfId="0" applyFont="1" applyFill="1" applyBorder="1" applyAlignment="1">
      <alignment horizontal="center"/>
    </xf>
    <xf numFmtId="0" fontId="3" fillId="6" borderId="10" xfId="0" applyFont="1" applyFill="1" applyBorder="1" applyAlignment="1">
      <alignment horizontal="center"/>
    </xf>
    <xf numFmtId="17" fontId="3" fillId="6" borderId="10" xfId="0" applyNumberFormat="1" applyFont="1" applyFill="1" applyBorder="1" applyAlignment="1">
      <alignment horizontal="center"/>
    </xf>
    <xf numFmtId="0" fontId="5" fillId="10" borderId="15" xfId="0" applyFont="1" applyFill="1" applyBorder="1" applyAlignment="1">
      <alignment horizontal="center"/>
    </xf>
    <xf numFmtId="0" fontId="3" fillId="6" borderId="23" xfId="0" applyFont="1" applyFill="1" applyBorder="1" applyAlignment="1">
      <alignment horizontal="left"/>
    </xf>
    <xf numFmtId="0" fontId="3" fillId="6" borderId="23" xfId="0" applyFont="1" applyFill="1" applyBorder="1" applyAlignment="1">
      <alignment horizontal="center"/>
    </xf>
    <xf numFmtId="0" fontId="5" fillId="10" borderId="0" xfId="0" applyFont="1" applyFill="1"/>
    <xf numFmtId="9" fontId="3" fillId="6" borderId="10" xfId="2" applyFont="1" applyFill="1" applyBorder="1" applyAlignment="1">
      <alignment horizontal="center"/>
    </xf>
    <xf numFmtId="0" fontId="5" fillId="0" borderId="38" xfId="0" applyFont="1" applyBorder="1" applyAlignment="1">
      <alignment horizontal="center"/>
    </xf>
    <xf numFmtId="0" fontId="3" fillId="6" borderId="8" xfId="0" applyFont="1" applyFill="1" applyBorder="1" applyAlignment="1">
      <alignment horizontal="left"/>
    </xf>
    <xf numFmtId="0" fontId="3" fillId="11" borderId="0" xfId="0" applyFont="1" applyFill="1" applyAlignment="1">
      <alignment horizontal="left"/>
    </xf>
    <xf numFmtId="0" fontId="3" fillId="11" borderId="0" xfId="0" applyFont="1" applyFill="1" applyAlignment="1">
      <alignment horizontal="center"/>
    </xf>
    <xf numFmtId="9" fontId="3" fillId="6" borderId="8" xfId="2" applyFont="1" applyFill="1" applyBorder="1" applyAlignment="1">
      <alignment horizontal="center"/>
    </xf>
    <xf numFmtId="9" fontId="3" fillId="6" borderId="5" xfId="2" applyFont="1" applyFill="1" applyBorder="1" applyAlignment="1">
      <alignment horizontal="center"/>
    </xf>
    <xf numFmtId="9" fontId="3" fillId="6" borderId="7" xfId="2" applyFont="1" applyFill="1" applyBorder="1" applyAlignment="1">
      <alignment horizontal="center"/>
    </xf>
    <xf numFmtId="17" fontId="3" fillId="6" borderId="8" xfId="0" applyNumberFormat="1" applyFont="1" applyFill="1" applyBorder="1" applyAlignment="1">
      <alignment horizontal="center"/>
    </xf>
    <xf numFmtId="0" fontId="5" fillId="10" borderId="58" xfId="0" applyFont="1" applyFill="1" applyBorder="1" applyAlignment="1">
      <alignment horizontal="center"/>
    </xf>
    <xf numFmtId="0" fontId="3" fillId="6" borderId="6" xfId="0" applyFont="1" applyFill="1" applyBorder="1" applyAlignment="1">
      <alignment horizontal="center"/>
    </xf>
    <xf numFmtId="0" fontId="3" fillId="6" borderId="7" xfId="0" applyFont="1" applyFill="1" applyBorder="1" applyAlignment="1">
      <alignment horizontal="center"/>
    </xf>
    <xf numFmtId="0" fontId="5" fillId="11" borderId="62" xfId="0" applyFont="1" applyFill="1" applyBorder="1" applyAlignment="1">
      <alignment horizontal="center"/>
    </xf>
    <xf numFmtId="0" fontId="5" fillId="11" borderId="20" xfId="0" applyFont="1" applyFill="1" applyBorder="1" applyAlignment="1">
      <alignment horizontal="center"/>
    </xf>
    <xf numFmtId="0" fontId="5" fillId="11" borderId="9" xfId="0" applyFont="1" applyFill="1" applyBorder="1" applyAlignment="1">
      <alignment horizontal="center"/>
    </xf>
    <xf numFmtId="0" fontId="5" fillId="0" borderId="52" xfId="0" applyFont="1" applyBorder="1" applyAlignment="1">
      <alignment horizontal="center"/>
    </xf>
    <xf numFmtId="0" fontId="5" fillId="0" borderId="72" xfId="0" applyFont="1" applyBorder="1" applyAlignment="1">
      <alignment horizontal="center"/>
    </xf>
    <xf numFmtId="0" fontId="5" fillId="0" borderId="69" xfId="0" applyFont="1" applyBorder="1" applyAlignment="1">
      <alignment horizontal="center"/>
    </xf>
    <xf numFmtId="0" fontId="5" fillId="0" borderId="62" xfId="0" applyFont="1" applyBorder="1" applyAlignment="1">
      <alignment horizontal="center"/>
    </xf>
    <xf numFmtId="0" fontId="5" fillId="0" borderId="63" xfId="0" applyFont="1" applyBorder="1" applyAlignment="1">
      <alignment horizontal="center"/>
    </xf>
    <xf numFmtId="0" fontId="5" fillId="0" borderId="9" xfId="0" applyFont="1" applyBorder="1" applyAlignment="1">
      <alignment horizontal="left"/>
    </xf>
    <xf numFmtId="0" fontId="5" fillId="10" borderId="9" xfId="0" applyFont="1" applyFill="1" applyBorder="1" applyAlignment="1">
      <alignment horizontal="center"/>
    </xf>
    <xf numFmtId="0" fontId="5" fillId="0" borderId="20" xfId="0" applyFont="1" applyBorder="1" applyAlignment="1">
      <alignment horizontal="left"/>
    </xf>
    <xf numFmtId="0" fontId="5" fillId="10" borderId="20" xfId="0" applyFont="1" applyFill="1" applyBorder="1" applyAlignment="1">
      <alignment horizontal="center"/>
    </xf>
    <xf numFmtId="0" fontId="5" fillId="10" borderId="37" xfId="0" applyFont="1" applyFill="1" applyBorder="1" applyAlignment="1">
      <alignment horizontal="center" vertical="center" wrapText="1"/>
    </xf>
    <xf numFmtId="0" fontId="5" fillId="0" borderId="6" xfId="0" applyFont="1" applyBorder="1" applyAlignment="1">
      <alignment horizontal="center"/>
    </xf>
    <xf numFmtId="0" fontId="3" fillId="0" borderId="31" xfId="0" applyFont="1" applyBorder="1" applyAlignment="1">
      <alignment horizontal="center"/>
    </xf>
    <xf numFmtId="0" fontId="3" fillId="0" borderId="33" xfId="0" applyFont="1" applyBorder="1" applyAlignment="1">
      <alignment horizontal="center"/>
    </xf>
    <xf numFmtId="0" fontId="5" fillId="0" borderId="103" xfId="0" applyFont="1" applyBorder="1" applyAlignment="1">
      <alignment horizontal="center"/>
    </xf>
    <xf numFmtId="0" fontId="5" fillId="10" borderId="104" xfId="0" applyFont="1" applyFill="1" applyBorder="1" applyAlignment="1">
      <alignment horizontal="center" vertical="center" wrapText="1"/>
    </xf>
    <xf numFmtId="0" fontId="5" fillId="0" borderId="104" xfId="0" applyFont="1" applyBorder="1" applyAlignment="1">
      <alignment horizontal="center"/>
    </xf>
    <xf numFmtId="0" fontId="5" fillId="10" borderId="98" xfId="0" applyFont="1" applyFill="1" applyBorder="1" applyAlignment="1">
      <alignment horizontal="center" vertical="center" wrapText="1"/>
    </xf>
    <xf numFmtId="0" fontId="2" fillId="0" borderId="9" xfId="0" applyFont="1" applyBorder="1" applyAlignment="1">
      <alignment horizontal="center" wrapText="1"/>
    </xf>
    <xf numFmtId="0" fontId="3" fillId="10" borderId="60" xfId="0" applyFont="1" applyFill="1" applyBorder="1" applyAlignment="1">
      <alignment horizontal="center" vertical="center" wrapText="1"/>
    </xf>
    <xf numFmtId="0" fontId="5" fillId="0" borderId="5" xfId="0" applyFont="1" applyBorder="1" applyAlignment="1">
      <alignment horizontal="center"/>
    </xf>
    <xf numFmtId="0" fontId="5" fillId="10" borderId="21" xfId="0" applyFont="1" applyFill="1" applyBorder="1" applyAlignment="1">
      <alignment horizontal="center" vertical="center" wrapText="1"/>
    </xf>
    <xf numFmtId="0" fontId="5" fillId="10" borderId="25" xfId="0" applyFont="1" applyFill="1" applyBorder="1" applyAlignment="1">
      <alignment horizontal="center" vertical="center" wrapText="1"/>
    </xf>
    <xf numFmtId="0" fontId="5" fillId="10" borderId="22" xfId="0" applyFont="1" applyFill="1" applyBorder="1" applyAlignment="1">
      <alignment horizontal="center" vertical="center" wrapText="1"/>
    </xf>
    <xf numFmtId="0" fontId="21" fillId="10" borderId="52" xfId="0" applyFont="1" applyFill="1" applyBorder="1" applyAlignment="1">
      <alignment horizontal="left"/>
    </xf>
    <xf numFmtId="0" fontId="24" fillId="10" borderId="37" xfId="0" applyFont="1" applyFill="1" applyBorder="1" applyAlignment="1">
      <alignment horizontal="center"/>
    </xf>
    <xf numFmtId="0" fontId="24" fillId="10" borderId="21" xfId="0" applyFont="1" applyFill="1" applyBorder="1" applyAlignment="1">
      <alignment horizontal="center"/>
    </xf>
    <xf numFmtId="0" fontId="24" fillId="10" borderId="22" xfId="0" applyFont="1" applyFill="1" applyBorder="1" applyAlignment="1">
      <alignment horizontal="center"/>
    </xf>
    <xf numFmtId="0" fontId="23" fillId="11" borderId="8" xfId="0" applyFont="1" applyFill="1" applyBorder="1" applyAlignment="1">
      <alignment horizontal="center"/>
    </xf>
    <xf numFmtId="0" fontId="24" fillId="11" borderId="8" xfId="0" applyFont="1" applyFill="1" applyBorder="1" applyAlignment="1">
      <alignment horizontal="left"/>
    </xf>
    <xf numFmtId="0" fontId="22" fillId="11" borderId="8" xfId="0" applyFont="1" applyFill="1" applyBorder="1" applyAlignment="1">
      <alignment horizontal="center"/>
    </xf>
    <xf numFmtId="0" fontId="23" fillId="11" borderId="10" xfId="0" applyFont="1" applyFill="1" applyBorder="1" applyAlignment="1">
      <alignment horizontal="center"/>
    </xf>
    <xf numFmtId="0" fontId="25" fillId="11" borderId="8" xfId="0" applyFont="1" applyFill="1" applyBorder="1" applyAlignment="1">
      <alignment horizontal="left"/>
    </xf>
    <xf numFmtId="0" fontId="24" fillId="10" borderId="71" xfId="0" applyFont="1" applyFill="1" applyBorder="1" applyAlignment="1">
      <alignment horizontal="center" vertical="center"/>
    </xf>
    <xf numFmtId="0" fontId="24" fillId="10" borderId="53" xfId="0" applyFont="1" applyFill="1" applyBorder="1" applyAlignment="1">
      <alignment horizontal="center" vertical="center"/>
    </xf>
    <xf numFmtId="0" fontId="24" fillId="10" borderId="37" xfId="0" applyFont="1" applyFill="1" applyBorder="1" applyAlignment="1">
      <alignment horizontal="left"/>
    </xf>
    <xf numFmtId="0" fontId="24" fillId="10" borderId="28" xfId="0" applyFont="1" applyFill="1" applyBorder="1" applyAlignment="1">
      <alignment horizontal="left"/>
    </xf>
    <xf numFmtId="0" fontId="24" fillId="10" borderId="21" xfId="0" applyFont="1" applyFill="1" applyBorder="1" applyAlignment="1">
      <alignment horizontal="left"/>
    </xf>
    <xf numFmtId="0" fontId="24" fillId="10" borderId="21" xfId="0" applyFont="1" applyFill="1" applyBorder="1" applyAlignment="1">
      <alignment horizontal="left" vertical="center" wrapText="1"/>
    </xf>
    <xf numFmtId="0" fontId="24" fillId="10" borderId="25" xfId="0" applyFont="1" applyFill="1" applyBorder="1" applyAlignment="1">
      <alignment horizontal="left"/>
    </xf>
    <xf numFmtId="0" fontId="24" fillId="10" borderId="22" xfId="0" applyFont="1" applyFill="1" applyBorder="1" applyAlignment="1">
      <alignment horizontal="left"/>
    </xf>
    <xf numFmtId="0" fontId="23" fillId="11" borderId="23" xfId="0" applyFont="1" applyFill="1" applyBorder="1" applyAlignment="1">
      <alignment horizontal="left"/>
    </xf>
    <xf numFmtId="0" fontId="2" fillId="10" borderId="10" xfId="0" applyFont="1" applyFill="1" applyBorder="1"/>
    <xf numFmtId="0" fontId="2" fillId="10" borderId="11" xfId="0" applyFont="1" applyFill="1" applyBorder="1" applyAlignment="1">
      <alignment horizontal="center"/>
    </xf>
    <xf numFmtId="0" fontId="2" fillId="10" borderId="10" xfId="0" applyFont="1" applyFill="1" applyBorder="1" applyAlignment="1">
      <alignment horizontal="center"/>
    </xf>
    <xf numFmtId="0" fontId="0" fillId="10" borderId="23" xfId="0" applyFill="1" applyBorder="1"/>
    <xf numFmtId="0" fontId="0" fillId="10" borderId="23" xfId="0" applyFill="1" applyBorder="1" applyAlignment="1">
      <alignment horizontal="center"/>
    </xf>
    <xf numFmtId="0" fontId="0" fillId="10" borderId="66" xfId="0" applyFill="1" applyBorder="1" applyAlignment="1">
      <alignment horizontal="center"/>
    </xf>
    <xf numFmtId="10" fontId="0" fillId="0" borderId="71" xfId="2" applyNumberFormat="1" applyFont="1" applyBorder="1" applyAlignment="1">
      <alignment horizontal="center"/>
    </xf>
    <xf numFmtId="10" fontId="0" fillId="0" borderId="53" xfId="2" applyNumberFormat="1" applyFont="1" applyBorder="1" applyAlignment="1">
      <alignment horizontal="center"/>
    </xf>
    <xf numFmtId="0" fontId="2" fillId="11" borderId="8" xfId="0" applyFont="1" applyFill="1" applyBorder="1"/>
    <xf numFmtId="0" fontId="2" fillId="10" borderId="6" xfId="0" applyFont="1" applyFill="1" applyBorder="1" applyAlignment="1">
      <alignment horizontal="center"/>
    </xf>
    <xf numFmtId="0" fontId="2" fillId="10" borderId="8" xfId="0" applyFont="1" applyFill="1" applyBorder="1" applyAlignment="1">
      <alignment horizontal="center"/>
    </xf>
    <xf numFmtId="0" fontId="2" fillId="11" borderId="8" xfId="0" applyFont="1" applyFill="1" applyBorder="1" applyAlignment="1">
      <alignment horizontal="left"/>
    </xf>
    <xf numFmtId="0" fontId="2" fillId="11" borderId="6" xfId="0" applyFont="1" applyFill="1" applyBorder="1" applyAlignment="1">
      <alignment horizontal="center"/>
    </xf>
    <xf numFmtId="0" fontId="2" fillId="11" borderId="8" xfId="0" applyFont="1" applyFill="1" applyBorder="1" applyAlignment="1">
      <alignment horizontal="center"/>
    </xf>
    <xf numFmtId="0" fontId="5" fillId="0" borderId="11" xfId="0" applyFont="1" applyBorder="1"/>
    <xf numFmtId="0" fontId="5" fillId="0" borderId="24" xfId="0" applyFont="1" applyBorder="1"/>
    <xf numFmtId="0" fontId="5" fillId="0" borderId="27" xfId="0" applyFont="1" applyBorder="1"/>
    <xf numFmtId="0" fontId="35" fillId="12" borderId="0" xfId="0" applyFont="1" applyFill="1"/>
    <xf numFmtId="0" fontId="38" fillId="10" borderId="0" xfId="0" applyFont="1" applyFill="1"/>
    <xf numFmtId="0" fontId="38" fillId="0" borderId="0" xfId="0" applyFont="1"/>
    <xf numFmtId="167" fontId="37" fillId="12" borderId="0" xfId="0" applyNumberFormat="1" applyFont="1" applyFill="1" applyAlignment="1">
      <alignment horizontal="left" vertical="center"/>
    </xf>
    <xf numFmtId="3" fontId="35" fillId="12" borderId="0" xfId="0" applyNumberFormat="1" applyFont="1" applyFill="1"/>
    <xf numFmtId="0" fontId="35" fillId="12" borderId="0" xfId="0" applyFont="1" applyFill="1" applyAlignment="1">
      <alignment horizontal="center"/>
    </xf>
    <xf numFmtId="3" fontId="35" fillId="12" borderId="0" xfId="0" applyNumberFormat="1" applyFont="1" applyFill="1" applyAlignment="1">
      <alignment horizontal="center"/>
    </xf>
    <xf numFmtId="167" fontId="37" fillId="13" borderId="0" xfId="0" applyNumberFormat="1" applyFont="1" applyFill="1" applyAlignment="1">
      <alignment horizontal="left" vertical="center"/>
    </xf>
    <xf numFmtId="0" fontId="35" fillId="13" borderId="0" xfId="0" applyFont="1" applyFill="1"/>
    <xf numFmtId="167" fontId="37" fillId="13" borderId="0" xfId="0" applyNumberFormat="1" applyFont="1" applyFill="1" applyAlignment="1">
      <alignment horizontal="center" vertical="center"/>
    </xf>
    <xf numFmtId="167" fontId="37" fillId="12" borderId="0" xfId="0" applyNumberFormat="1" applyFont="1" applyFill="1" applyAlignment="1">
      <alignment horizontal="center" vertical="center"/>
    </xf>
    <xf numFmtId="17" fontId="37" fillId="14" borderId="115" xfId="0" applyNumberFormat="1" applyFont="1" applyFill="1" applyBorder="1" applyAlignment="1">
      <alignment horizontal="center" vertical="center"/>
    </xf>
    <xf numFmtId="17" fontId="37" fillId="14" borderId="115" xfId="0" applyNumberFormat="1" applyFont="1" applyFill="1" applyBorder="1" applyAlignment="1">
      <alignment horizontal="center" vertical="center" wrapText="1"/>
    </xf>
    <xf numFmtId="10" fontId="35" fillId="12" borderId="0" xfId="0" applyNumberFormat="1" applyFont="1" applyFill="1" applyAlignment="1">
      <alignment horizontal="center"/>
    </xf>
    <xf numFmtId="3" fontId="35" fillId="12" borderId="115" xfId="0" applyNumberFormat="1" applyFont="1" applyFill="1" applyBorder="1" applyAlignment="1">
      <alignment horizontal="center" vertical="center"/>
    </xf>
    <xf numFmtId="3" fontId="39" fillId="12" borderId="115" xfId="0" applyNumberFormat="1" applyFont="1" applyFill="1" applyBorder="1" applyAlignment="1">
      <alignment horizontal="center" vertical="center"/>
    </xf>
    <xf numFmtId="0" fontId="10" fillId="10" borderId="0" xfId="0" applyFont="1" applyFill="1"/>
    <xf numFmtId="0" fontId="10" fillId="0" borderId="0" xfId="0" applyFont="1"/>
    <xf numFmtId="0" fontId="24" fillId="12" borderId="0" xfId="0" applyFont="1" applyFill="1"/>
    <xf numFmtId="0" fontId="24" fillId="12" borderId="0" xfId="0" applyFont="1" applyFill="1" applyAlignment="1">
      <alignment horizontal="center"/>
    </xf>
    <xf numFmtId="3" fontId="24" fillId="12" borderId="0" xfId="0" applyNumberFormat="1" applyFont="1" applyFill="1"/>
    <xf numFmtId="10" fontId="24" fillId="12" borderId="0" xfId="0" applyNumberFormat="1" applyFont="1" applyFill="1" applyAlignment="1">
      <alignment horizontal="center"/>
    </xf>
    <xf numFmtId="167" fontId="23" fillId="13" borderId="0" xfId="0" applyNumberFormat="1" applyFont="1" applyFill="1" applyAlignment="1">
      <alignment horizontal="left" vertical="center"/>
    </xf>
    <xf numFmtId="0" fontId="24" fillId="13" borderId="0" xfId="0" applyFont="1" applyFill="1"/>
    <xf numFmtId="167" fontId="23" fillId="13" borderId="0" xfId="0" applyNumberFormat="1" applyFont="1" applyFill="1" applyAlignment="1">
      <alignment horizontal="center" vertical="center"/>
    </xf>
    <xf numFmtId="0" fontId="23" fillId="12" borderId="0" xfId="0" applyFont="1" applyFill="1" applyAlignment="1">
      <alignment horizontal="center" vertical="center" wrapText="1"/>
    </xf>
    <xf numFmtId="167" fontId="23" fillId="12" borderId="0" xfId="0" applyNumberFormat="1" applyFont="1" applyFill="1" applyAlignment="1">
      <alignment horizontal="center" vertical="center"/>
    </xf>
    <xf numFmtId="167" fontId="23" fillId="12" borderId="0" xfId="0" applyNumberFormat="1" applyFont="1" applyFill="1" applyAlignment="1">
      <alignment horizontal="left" vertical="center"/>
    </xf>
    <xf numFmtId="0" fontId="24" fillId="12" borderId="0" xfId="0" applyFont="1" applyFill="1" applyAlignment="1">
      <alignment vertical="center" wrapText="1"/>
    </xf>
    <xf numFmtId="0" fontId="24" fillId="12" borderId="0" xfId="0" applyFont="1" applyFill="1" applyAlignment="1">
      <alignment horizontal="center" vertical="center" wrapText="1"/>
    </xf>
    <xf numFmtId="9" fontId="24" fillId="12" borderId="0" xfId="0" applyNumberFormat="1" applyFont="1" applyFill="1" applyAlignment="1">
      <alignment horizontal="center" vertical="center" wrapText="1"/>
    </xf>
    <xf numFmtId="0" fontId="41" fillId="12" borderId="0" xfId="0" applyFont="1" applyFill="1" applyAlignment="1">
      <alignment vertical="center" wrapText="1"/>
    </xf>
    <xf numFmtId="0" fontId="23" fillId="12" borderId="0" xfId="0" applyFont="1" applyFill="1" applyAlignment="1">
      <alignment horizontal="center" wrapText="1"/>
    </xf>
    <xf numFmtId="9" fontId="23" fillId="12" borderId="0" xfId="0" applyNumberFormat="1" applyFont="1" applyFill="1" applyAlignment="1">
      <alignment horizontal="center" wrapText="1"/>
    </xf>
    <xf numFmtId="3" fontId="35" fillId="12" borderId="0" xfId="0" applyNumberFormat="1" applyFont="1" applyFill="1" applyAlignment="1">
      <alignment horizontal="center" vertical="center"/>
    </xf>
    <xf numFmtId="0" fontId="35" fillId="12" borderId="0" xfId="0" applyFont="1" applyFill="1" applyAlignment="1">
      <alignment vertical="center"/>
    </xf>
    <xf numFmtId="0" fontId="35" fillId="10" borderId="0" xfId="0" applyFont="1" applyFill="1" applyAlignment="1">
      <alignment vertical="center" wrapText="1"/>
    </xf>
    <xf numFmtId="0" fontId="42" fillId="10" borderId="0" xfId="0" applyFont="1" applyFill="1" applyAlignment="1">
      <alignment vertical="center" wrapText="1"/>
    </xf>
    <xf numFmtId="0" fontId="35" fillId="10" borderId="0" xfId="0" applyFont="1" applyFill="1" applyAlignment="1">
      <alignment horizontal="center" vertical="center" wrapText="1"/>
    </xf>
    <xf numFmtId="0" fontId="35" fillId="12" borderId="0" xfId="0" applyFont="1" applyFill="1" applyAlignment="1">
      <alignment horizontal="center" vertical="center"/>
    </xf>
    <xf numFmtId="0" fontId="37" fillId="12" borderId="0" xfId="0" applyFont="1" applyFill="1" applyAlignment="1">
      <alignment horizontal="center" wrapText="1"/>
    </xf>
    <xf numFmtId="9" fontId="37" fillId="12" borderId="0" xfId="0" applyNumberFormat="1" applyFont="1" applyFill="1" applyAlignment="1">
      <alignment horizontal="center" wrapText="1"/>
    </xf>
    <xf numFmtId="0" fontId="37" fillId="12" borderId="0" xfId="0" applyFont="1" applyFill="1" applyAlignment="1">
      <alignment horizontal="center" vertical="center" wrapText="1"/>
    </xf>
    <xf numFmtId="0" fontId="37" fillId="12" borderId="113" xfId="0" applyFont="1" applyFill="1" applyBorder="1" applyAlignment="1">
      <alignment horizontal="center" vertical="center" wrapText="1"/>
    </xf>
    <xf numFmtId="3" fontId="35" fillId="12" borderId="9" xfId="0" applyNumberFormat="1" applyFont="1" applyFill="1" applyBorder="1" applyAlignment="1">
      <alignment horizontal="center" vertical="center"/>
    </xf>
    <xf numFmtId="3" fontId="24" fillId="12" borderId="9" xfId="0" applyNumberFormat="1" applyFont="1" applyFill="1" applyBorder="1" applyAlignment="1">
      <alignment horizontal="center" vertical="center"/>
    </xf>
    <xf numFmtId="3" fontId="37" fillId="12" borderId="9" xfId="0" applyNumberFormat="1" applyFont="1" applyFill="1" applyBorder="1" applyAlignment="1">
      <alignment horizontal="center" vertical="center"/>
    </xf>
    <xf numFmtId="3" fontId="44" fillId="12" borderId="115" xfId="0" applyNumberFormat="1" applyFont="1" applyFill="1" applyBorder="1" applyAlignment="1">
      <alignment horizontal="center" vertical="center"/>
    </xf>
    <xf numFmtId="2" fontId="37" fillId="12" borderId="9" xfId="0" applyNumberFormat="1" applyFont="1" applyFill="1" applyBorder="1" applyAlignment="1">
      <alignment horizontal="center" vertical="center"/>
    </xf>
    <xf numFmtId="0" fontId="3" fillId="0" borderId="25" xfId="0" applyFont="1" applyBorder="1" applyAlignment="1">
      <alignment horizontal="left"/>
    </xf>
    <xf numFmtId="0" fontId="2" fillId="0" borderId="8" xfId="0" applyFont="1" applyBorder="1"/>
    <xf numFmtId="0" fontId="5" fillId="16" borderId="2" xfId="0" applyFont="1" applyFill="1" applyBorder="1" applyAlignment="1">
      <alignment horizontal="center" vertical="center" wrapText="1"/>
    </xf>
    <xf numFmtId="0" fontId="0" fillId="0" borderId="0" xfId="2" applyNumberFormat="1" applyFont="1"/>
    <xf numFmtId="1" fontId="3" fillId="7" borderId="10" xfId="0" applyNumberFormat="1" applyFont="1" applyFill="1" applyBorder="1" applyAlignment="1">
      <alignment horizontal="center" vertical="center" wrapText="1"/>
    </xf>
    <xf numFmtId="0" fontId="5" fillId="0" borderId="125" xfId="0" applyFont="1" applyBorder="1" applyAlignment="1">
      <alignment horizontal="center"/>
    </xf>
    <xf numFmtId="0" fontId="3" fillId="0" borderId="42" xfId="0" applyFont="1" applyBorder="1" applyAlignment="1">
      <alignment horizontal="center"/>
    </xf>
    <xf numFmtId="0" fontId="25" fillId="11" borderId="8" xfId="0" applyFont="1" applyFill="1" applyBorder="1" applyAlignment="1">
      <alignment horizontal="center"/>
    </xf>
    <xf numFmtId="0" fontId="5" fillId="10" borderId="71" xfId="0" applyFont="1" applyFill="1" applyBorder="1" applyAlignment="1">
      <alignment horizontal="center"/>
    </xf>
    <xf numFmtId="0" fontId="5" fillId="10" borderId="53" xfId="0" applyFont="1" applyFill="1" applyBorder="1" applyAlignment="1">
      <alignment horizontal="center"/>
    </xf>
    <xf numFmtId="0" fontId="5" fillId="10" borderId="68" xfId="0" applyFont="1" applyFill="1" applyBorder="1" applyAlignment="1">
      <alignment horizontal="center"/>
    </xf>
    <xf numFmtId="0" fontId="5" fillId="10" borderId="55" xfId="0" applyFont="1" applyFill="1" applyBorder="1" applyAlignment="1">
      <alignment horizontal="center"/>
    </xf>
    <xf numFmtId="0" fontId="5" fillId="10" borderId="21" xfId="0" applyFont="1" applyFill="1" applyBorder="1" applyAlignment="1">
      <alignment horizontal="center"/>
    </xf>
    <xf numFmtId="0" fontId="5" fillId="10" borderId="22" xfId="0" applyFont="1" applyFill="1" applyBorder="1" applyAlignment="1">
      <alignment horizontal="center"/>
    </xf>
    <xf numFmtId="3" fontId="16" fillId="12" borderId="115" xfId="0" applyNumberFormat="1" applyFont="1" applyFill="1" applyBorder="1" applyAlignment="1">
      <alignment horizontal="center" vertical="center"/>
    </xf>
    <xf numFmtId="0" fontId="2" fillId="7" borderId="64" xfId="0" applyFont="1" applyFill="1" applyBorder="1" applyAlignment="1">
      <alignment horizontal="left"/>
    </xf>
    <xf numFmtId="10" fontId="0" fillId="0" borderId="70" xfId="2" applyNumberFormat="1" applyFont="1" applyBorder="1" applyAlignment="1">
      <alignment horizontal="center"/>
    </xf>
    <xf numFmtId="10" fontId="0" fillId="10" borderId="8" xfId="2" applyNumberFormat="1" applyFont="1" applyFill="1" applyBorder="1" applyAlignment="1">
      <alignment horizontal="center"/>
    </xf>
    <xf numFmtId="0" fontId="3" fillId="0" borderId="23" xfId="0" applyFont="1" applyBorder="1" applyAlignment="1">
      <alignment horizontal="center"/>
    </xf>
    <xf numFmtId="0" fontId="3" fillId="0" borderId="65" xfId="0" applyFont="1" applyBorder="1" applyAlignment="1">
      <alignment horizontal="center"/>
    </xf>
    <xf numFmtId="0" fontId="21" fillId="10" borderId="47" xfId="0" applyFont="1" applyFill="1" applyBorder="1" applyAlignment="1">
      <alignment horizontal="center"/>
    </xf>
    <xf numFmtId="0" fontId="24" fillId="10" borderId="51" xfId="0" applyFont="1" applyFill="1" applyBorder="1" applyAlignment="1">
      <alignment horizontal="center"/>
    </xf>
    <xf numFmtId="0" fontId="24" fillId="10" borderId="53" xfId="0" applyFont="1" applyFill="1" applyBorder="1" applyAlignment="1">
      <alignment horizontal="center"/>
    </xf>
    <xf numFmtId="0" fontId="24" fillId="10" borderId="70" xfId="0" applyFont="1" applyFill="1" applyBorder="1" applyAlignment="1">
      <alignment horizontal="center"/>
    </xf>
    <xf numFmtId="0" fontId="21" fillId="10" borderId="53" xfId="0" applyFont="1" applyFill="1" applyBorder="1" applyAlignment="1">
      <alignment horizontal="center"/>
    </xf>
    <xf numFmtId="0" fontId="21" fillId="10" borderId="21" xfId="0" applyFont="1" applyFill="1" applyBorder="1" applyAlignment="1">
      <alignment horizontal="center"/>
    </xf>
    <xf numFmtId="0" fontId="24" fillId="10" borderId="69" xfId="0" applyFont="1" applyFill="1" applyBorder="1" applyAlignment="1">
      <alignment horizontal="center"/>
    </xf>
    <xf numFmtId="0" fontId="24" fillId="10" borderId="52" xfId="0" applyFont="1" applyFill="1" applyBorder="1" applyAlignment="1">
      <alignment horizontal="center"/>
    </xf>
    <xf numFmtId="0" fontId="24" fillId="10" borderId="63" xfId="0" applyFont="1" applyFill="1" applyBorder="1" applyAlignment="1">
      <alignment horizontal="center"/>
    </xf>
    <xf numFmtId="0" fontId="22" fillId="11" borderId="10" xfId="0" applyFont="1" applyFill="1" applyBorder="1" applyAlignment="1">
      <alignment horizontal="center" vertical="center"/>
    </xf>
    <xf numFmtId="0" fontId="5" fillId="10" borderId="9" xfId="0" applyFont="1" applyFill="1" applyBorder="1" applyAlignment="1">
      <alignment horizontal="center" vertical="center" wrapText="1"/>
    </xf>
    <xf numFmtId="0" fontId="5" fillId="0" borderId="31" xfId="0" applyFont="1" applyBorder="1" applyAlignment="1">
      <alignment horizontal="center"/>
    </xf>
    <xf numFmtId="10" fontId="5" fillId="0" borderId="8" xfId="2" applyNumberFormat="1" applyFont="1" applyBorder="1" applyAlignment="1">
      <alignment horizontal="center"/>
    </xf>
    <xf numFmtId="0" fontId="22" fillId="11" borderId="8" xfId="0" applyFont="1" applyFill="1" applyBorder="1" applyAlignment="1">
      <alignment horizontal="center" vertical="center"/>
    </xf>
    <xf numFmtId="0" fontId="60" fillId="48" borderId="2" xfId="0" applyFont="1" applyFill="1" applyBorder="1" applyAlignment="1">
      <alignment horizontal="center" vertical="center" wrapText="1"/>
    </xf>
    <xf numFmtId="0" fontId="8" fillId="8" borderId="64" xfId="0" applyFont="1" applyFill="1" applyBorder="1" applyAlignment="1">
      <alignment horizontal="center"/>
    </xf>
    <xf numFmtId="0" fontId="8" fillId="8" borderId="23" xfId="0" applyFont="1" applyFill="1" applyBorder="1" applyAlignment="1">
      <alignment horizontal="center"/>
    </xf>
    <xf numFmtId="0" fontId="2" fillId="7" borderId="23" xfId="0" applyFont="1" applyFill="1" applyBorder="1" applyAlignment="1">
      <alignment horizontal="center"/>
    </xf>
    <xf numFmtId="0" fontId="5" fillId="7" borderId="64" xfId="0" applyFont="1" applyFill="1" applyBorder="1" applyAlignment="1">
      <alignment horizontal="center"/>
    </xf>
    <xf numFmtId="0" fontId="5" fillId="0" borderId="32" xfId="0" applyFont="1" applyBorder="1" applyAlignment="1">
      <alignment horizontal="center"/>
    </xf>
    <xf numFmtId="0" fontId="5" fillId="7" borderId="31" xfId="0" applyFont="1" applyFill="1" applyBorder="1" applyAlignment="1">
      <alignment horizontal="center"/>
    </xf>
    <xf numFmtId="0" fontId="5" fillId="10" borderId="30" xfId="0" applyFont="1" applyFill="1" applyBorder="1" applyAlignment="1">
      <alignment horizontal="center" vertical="center" wrapText="1"/>
    </xf>
    <xf numFmtId="0" fontId="3" fillId="0" borderId="64" xfId="0" applyFont="1" applyBorder="1"/>
    <xf numFmtId="0" fontId="5" fillId="10" borderId="37" xfId="0" applyFont="1" applyFill="1" applyBorder="1" applyAlignment="1">
      <alignment horizontal="center"/>
    </xf>
    <xf numFmtId="17" fontId="37" fillId="14" borderId="9" xfId="0" applyNumberFormat="1" applyFont="1" applyFill="1" applyBorder="1" applyAlignment="1">
      <alignment horizontal="center" vertical="center"/>
    </xf>
    <xf numFmtId="17" fontId="37" fillId="14" borderId="9" xfId="0" applyNumberFormat="1" applyFont="1" applyFill="1" applyBorder="1" applyAlignment="1">
      <alignment horizontal="center" vertical="center" wrapText="1"/>
    </xf>
    <xf numFmtId="3" fontId="44" fillId="12" borderId="9" xfId="0" applyNumberFormat="1" applyFont="1" applyFill="1" applyBorder="1" applyAlignment="1">
      <alignment horizontal="center" vertical="center"/>
    </xf>
    <xf numFmtId="3" fontId="23" fillId="12" borderId="9" xfId="0" applyNumberFormat="1" applyFont="1" applyFill="1" applyBorder="1" applyAlignment="1">
      <alignment horizontal="center" vertical="center"/>
    </xf>
    <xf numFmtId="3" fontId="16" fillId="12" borderId="9" xfId="0" applyNumberFormat="1" applyFont="1" applyFill="1" applyBorder="1" applyAlignment="1">
      <alignment horizontal="center" vertical="center"/>
    </xf>
    <xf numFmtId="3" fontId="37" fillId="12" borderId="115" xfId="0" applyNumberFormat="1" applyFont="1" applyFill="1" applyBorder="1" applyAlignment="1">
      <alignment horizontal="center" vertical="center"/>
    </xf>
    <xf numFmtId="0" fontId="2" fillId="7" borderId="42" xfId="0" applyFont="1" applyFill="1" applyBorder="1" applyAlignment="1">
      <alignment horizontal="center"/>
    </xf>
    <xf numFmtId="0" fontId="3" fillId="0" borderId="6" xfId="0" applyFont="1" applyBorder="1" applyAlignment="1">
      <alignment horizontal="center"/>
    </xf>
    <xf numFmtId="0" fontId="5" fillId="10" borderId="46" xfId="0" applyFont="1" applyFill="1" applyBorder="1" applyAlignment="1">
      <alignment horizontal="center"/>
    </xf>
    <xf numFmtId="0" fontId="3" fillId="0" borderId="22" xfId="0" applyFont="1" applyBorder="1"/>
    <xf numFmtId="1" fontId="3" fillId="7" borderId="7" xfId="0" applyNumberFormat="1" applyFont="1" applyFill="1" applyBorder="1" applyAlignment="1">
      <alignment horizontal="center" vertical="center" wrapText="1"/>
    </xf>
    <xf numFmtId="0" fontId="3" fillId="0" borderId="28" xfId="0" applyFont="1" applyBorder="1" applyAlignment="1">
      <alignment horizontal="left"/>
    </xf>
    <xf numFmtId="0" fontId="5" fillId="10" borderId="28"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5" fillId="10" borderId="32" xfId="0" applyFont="1" applyFill="1" applyBorder="1" applyAlignment="1">
      <alignment horizontal="center" vertical="center" wrapText="1"/>
    </xf>
    <xf numFmtId="0" fontId="5" fillId="10" borderId="33" xfId="0" applyFont="1" applyFill="1" applyBorder="1" applyAlignment="1">
      <alignment horizontal="center" vertical="center" wrapText="1"/>
    </xf>
    <xf numFmtId="0" fontId="2" fillId="0" borderId="9" xfId="0" applyFont="1" applyBorder="1"/>
    <xf numFmtId="0" fontId="2" fillId="0" borderId="9" xfId="0" applyFont="1" applyBorder="1" applyAlignment="1">
      <alignment horizontal="left"/>
    </xf>
    <xf numFmtId="0" fontId="21" fillId="10" borderId="69" xfId="0" applyFont="1" applyFill="1" applyBorder="1" applyAlignment="1">
      <alignment horizontal="left"/>
    </xf>
    <xf numFmtId="0" fontId="21" fillId="10" borderId="63" xfId="0" applyFont="1" applyFill="1" applyBorder="1" applyAlignment="1">
      <alignment horizontal="left"/>
    </xf>
    <xf numFmtId="0" fontId="22" fillId="11" borderId="5" xfId="0" applyFont="1" applyFill="1" applyBorder="1" applyAlignment="1">
      <alignment horizontal="left"/>
    </xf>
    <xf numFmtId="0" fontId="24" fillId="11" borderId="5" xfId="0" applyFont="1" applyFill="1" applyBorder="1" applyAlignment="1">
      <alignment horizontal="left"/>
    </xf>
    <xf numFmtId="0" fontId="24" fillId="10" borderId="52" xfId="0" applyFont="1" applyFill="1" applyBorder="1" applyAlignment="1">
      <alignment horizontal="left" vertical="center" wrapText="1"/>
    </xf>
    <xf numFmtId="0" fontId="25" fillId="11" borderId="5" xfId="0" applyFont="1" applyFill="1" applyBorder="1" applyAlignment="1">
      <alignment horizontal="left"/>
    </xf>
    <xf numFmtId="0" fontId="2" fillId="0" borderId="39" xfId="0" applyFont="1" applyBorder="1" applyAlignment="1">
      <alignment horizontal="center"/>
    </xf>
    <xf numFmtId="168" fontId="37" fillId="12" borderId="9" xfId="0" applyNumberFormat="1" applyFont="1" applyFill="1" applyBorder="1" applyAlignment="1">
      <alignment horizontal="center" vertical="center"/>
    </xf>
    <xf numFmtId="168" fontId="16" fillId="12" borderId="9" xfId="0" applyNumberFormat="1" applyFont="1" applyFill="1" applyBorder="1" applyAlignment="1">
      <alignment horizontal="center" vertical="center"/>
    </xf>
    <xf numFmtId="168" fontId="23" fillId="12" borderId="9" xfId="0" applyNumberFormat="1" applyFont="1" applyFill="1" applyBorder="1" applyAlignment="1">
      <alignment horizontal="center" vertical="center"/>
    </xf>
    <xf numFmtId="168" fontId="16" fillId="12" borderId="115" xfId="0" applyNumberFormat="1" applyFont="1" applyFill="1" applyBorder="1" applyAlignment="1">
      <alignment horizontal="center" vertical="center"/>
    </xf>
    <xf numFmtId="168" fontId="37" fillId="12" borderId="115" xfId="0" applyNumberFormat="1" applyFont="1" applyFill="1" applyBorder="1" applyAlignment="1">
      <alignment horizontal="center" vertical="center"/>
    </xf>
    <xf numFmtId="0" fontId="5" fillId="10" borderId="40" xfId="0" applyFont="1" applyFill="1" applyBorder="1" applyAlignment="1">
      <alignment horizontal="center" vertical="center" wrapText="1"/>
    </xf>
    <xf numFmtId="0" fontId="3" fillId="0" borderId="54" xfId="0" applyFont="1" applyBorder="1"/>
    <xf numFmtId="0" fontId="62" fillId="10" borderId="53" xfId="0" applyFont="1" applyFill="1" applyBorder="1" applyAlignment="1">
      <alignment horizontal="center"/>
    </xf>
    <xf numFmtId="0" fontId="61" fillId="10" borderId="51" xfId="0" applyFont="1" applyFill="1" applyBorder="1" applyAlignment="1">
      <alignment horizontal="center"/>
    </xf>
    <xf numFmtId="0" fontId="62" fillId="10" borderId="21" xfId="0" applyFont="1" applyFill="1" applyBorder="1" applyAlignment="1">
      <alignment horizontal="center"/>
    </xf>
    <xf numFmtId="0" fontId="61" fillId="10" borderId="37" xfId="0" applyFont="1" applyFill="1" applyBorder="1" applyAlignment="1">
      <alignment horizontal="center"/>
    </xf>
    <xf numFmtId="0" fontId="61" fillId="10" borderId="53" xfId="0" applyFont="1" applyFill="1" applyBorder="1" applyAlignment="1">
      <alignment horizontal="center"/>
    </xf>
    <xf numFmtId="0" fontId="61" fillId="0" borderId="58" xfId="0" applyFont="1" applyBorder="1" applyAlignment="1">
      <alignment horizontal="center"/>
    </xf>
    <xf numFmtId="0" fontId="61" fillId="10" borderId="21" xfId="0" applyFont="1" applyFill="1" applyBorder="1" applyAlignment="1">
      <alignment horizontal="center"/>
    </xf>
    <xf numFmtId="0" fontId="61" fillId="0" borderId="56" xfId="0" applyFont="1" applyBorder="1" applyAlignment="1">
      <alignment horizontal="center"/>
    </xf>
    <xf numFmtId="0" fontId="61" fillId="0" borderId="15" xfId="0" applyFont="1" applyBorder="1" applyAlignment="1">
      <alignment horizontal="center"/>
    </xf>
    <xf numFmtId="0" fontId="61" fillId="0" borderId="14" xfId="0" applyFont="1" applyBorder="1" applyAlignment="1">
      <alignment horizontal="center"/>
    </xf>
    <xf numFmtId="0" fontId="0" fillId="0" borderId="0" xfId="0" pivotButton="1"/>
    <xf numFmtId="0" fontId="57" fillId="0" borderId="0" xfId="0" applyFont="1"/>
    <xf numFmtId="0" fontId="24" fillId="11" borderId="64" xfId="0" applyFont="1" applyFill="1" applyBorder="1" applyAlignment="1">
      <alignment horizontal="left"/>
    </xf>
    <xf numFmtId="0" fontId="61" fillId="0" borderId="59" xfId="0" applyFont="1" applyBorder="1" applyAlignment="1">
      <alignment horizontal="center"/>
    </xf>
    <xf numFmtId="0" fontId="61" fillId="0" borderId="50" xfId="0" applyFont="1" applyBorder="1" applyAlignment="1">
      <alignment horizontal="center"/>
    </xf>
    <xf numFmtId="0" fontId="61" fillId="10" borderId="22" xfId="0" applyFont="1" applyFill="1" applyBorder="1" applyAlignment="1">
      <alignment horizontal="center"/>
    </xf>
    <xf numFmtId="0" fontId="61" fillId="10" borderId="70" xfId="0" applyFont="1" applyFill="1" applyBorder="1" applyAlignment="1">
      <alignment horizontal="center"/>
    </xf>
    <xf numFmtId="0" fontId="31" fillId="11" borderId="8" xfId="0" applyFont="1" applyFill="1" applyBorder="1" applyAlignment="1">
      <alignment horizontal="center"/>
    </xf>
    <xf numFmtId="0" fontId="61" fillId="10" borderId="71" xfId="0" applyFont="1" applyFill="1" applyBorder="1" applyAlignment="1">
      <alignment horizontal="center" vertical="center"/>
    </xf>
    <xf numFmtId="0" fontId="61" fillId="10" borderId="46" xfId="0" applyFont="1" applyFill="1" applyBorder="1" applyAlignment="1">
      <alignment horizontal="center" vertical="center"/>
    </xf>
    <xf numFmtId="0" fontId="61" fillId="10" borderId="53" xfId="0" applyFont="1" applyFill="1" applyBorder="1" applyAlignment="1">
      <alignment horizontal="center" vertical="center"/>
    </xf>
    <xf numFmtId="0" fontId="61" fillId="10" borderId="15" xfId="0" applyFont="1" applyFill="1" applyBorder="1" applyAlignment="1">
      <alignment horizontal="center" vertical="center"/>
    </xf>
    <xf numFmtId="0" fontId="61" fillId="10" borderId="14" xfId="0" applyFont="1" applyFill="1" applyBorder="1" applyAlignment="1">
      <alignment horizontal="center"/>
    </xf>
    <xf numFmtId="0" fontId="61" fillId="10" borderId="15" xfId="0" applyFont="1" applyFill="1" applyBorder="1" applyAlignment="1">
      <alignment horizontal="center"/>
    </xf>
    <xf numFmtId="0" fontId="31" fillId="0" borderId="5" xfId="0" applyFont="1" applyBorder="1" applyAlignment="1">
      <alignment horizontal="center"/>
    </xf>
    <xf numFmtId="0" fontId="31" fillId="0" borderId="7" xfId="0" applyFont="1" applyBorder="1" applyAlignment="1">
      <alignment horizontal="center"/>
    </xf>
    <xf numFmtId="0" fontId="61" fillId="10" borderId="43" xfId="0" applyFont="1" applyFill="1" applyBorder="1" applyAlignment="1">
      <alignment horizontal="center"/>
    </xf>
    <xf numFmtId="0" fontId="61" fillId="10" borderId="46" xfId="0" applyFont="1" applyFill="1" applyBorder="1" applyAlignment="1">
      <alignment horizontal="center"/>
    </xf>
    <xf numFmtId="0" fontId="61" fillId="10" borderId="94" xfId="0" applyFont="1" applyFill="1" applyBorder="1" applyAlignment="1">
      <alignment horizontal="center"/>
    </xf>
    <xf numFmtId="0" fontId="61" fillId="11" borderId="58" xfId="0" applyFont="1" applyFill="1" applyBorder="1" applyAlignment="1">
      <alignment horizontal="center"/>
    </xf>
    <xf numFmtId="0" fontId="61" fillId="10" borderId="19" xfId="0" applyFont="1" applyFill="1" applyBorder="1" applyAlignment="1">
      <alignment horizontal="center"/>
    </xf>
    <xf numFmtId="0" fontId="61" fillId="10" borderId="59" xfId="0" applyFont="1" applyFill="1" applyBorder="1" applyAlignment="1">
      <alignment horizontal="center"/>
    </xf>
    <xf numFmtId="0" fontId="61" fillId="10" borderId="50" xfId="0" applyFont="1" applyFill="1" applyBorder="1" applyAlignment="1">
      <alignment horizontal="center"/>
    </xf>
    <xf numFmtId="0" fontId="61" fillId="10" borderId="35" xfId="0" applyFont="1" applyFill="1" applyBorder="1" applyAlignment="1">
      <alignment horizontal="center"/>
    </xf>
    <xf numFmtId="0" fontId="61" fillId="10" borderId="31" xfId="0" applyFont="1" applyFill="1" applyBorder="1" applyAlignment="1">
      <alignment horizontal="center"/>
    </xf>
    <xf numFmtId="0" fontId="61" fillId="10" borderId="33" xfId="0" applyFont="1" applyFill="1" applyBorder="1" applyAlignment="1">
      <alignment horizontal="center"/>
    </xf>
    <xf numFmtId="0" fontId="61" fillId="10" borderId="36" xfId="0" applyFont="1" applyFill="1" applyBorder="1" applyAlignment="1">
      <alignment horizontal="center"/>
    </xf>
    <xf numFmtId="0" fontId="61" fillId="11" borderId="8" xfId="0" applyFont="1" applyFill="1" applyBorder="1" applyAlignment="1">
      <alignment horizontal="center"/>
    </xf>
    <xf numFmtId="0" fontId="3" fillId="0" borderId="9" xfId="0" applyFont="1" applyBorder="1" applyAlignment="1">
      <alignment horizontal="center" vertical="center"/>
    </xf>
    <xf numFmtId="0" fontId="5" fillId="16" borderId="4" xfId="0" applyFont="1" applyFill="1" applyBorder="1" applyAlignment="1">
      <alignment horizontal="center" vertical="center" wrapText="1"/>
    </xf>
    <xf numFmtId="0" fontId="4" fillId="16" borderId="4" xfId="0" applyFont="1" applyFill="1" applyBorder="1" applyAlignment="1">
      <alignment vertical="center" wrapText="1"/>
    </xf>
    <xf numFmtId="0" fontId="22" fillId="11" borderId="5" xfId="0" applyFont="1" applyFill="1" applyBorder="1" applyAlignment="1">
      <alignment horizontal="center" vertical="center"/>
    </xf>
    <xf numFmtId="0" fontId="23" fillId="11" borderId="5" xfId="0" applyFont="1" applyFill="1" applyBorder="1" applyAlignment="1">
      <alignment horizontal="center"/>
    </xf>
    <xf numFmtId="4" fontId="35" fillId="12" borderId="115" xfId="0" applyNumberFormat="1" applyFont="1" applyFill="1" applyBorder="1" applyAlignment="1">
      <alignment horizontal="center" vertical="center"/>
    </xf>
    <xf numFmtId="167" fontId="37" fillId="14" borderId="113" xfId="0" applyNumberFormat="1" applyFont="1" applyFill="1" applyBorder="1" applyAlignment="1">
      <alignment horizontal="center" vertical="center" wrapText="1"/>
    </xf>
    <xf numFmtId="0" fontId="36" fillId="0" borderId="114" xfId="0" applyFont="1" applyBorder="1"/>
    <xf numFmtId="0" fontId="35" fillId="12" borderId="105" xfId="0" applyFont="1" applyFill="1" applyBorder="1" applyAlignment="1">
      <alignment horizontal="center"/>
    </xf>
    <xf numFmtId="0" fontId="36" fillId="0" borderId="106" xfId="0" applyFont="1" applyBorder="1"/>
    <xf numFmtId="0" fontId="36" fillId="0" borderId="107" xfId="0" applyFont="1" applyBorder="1"/>
    <xf numFmtId="0" fontId="36" fillId="0" borderId="108" xfId="0" applyFont="1" applyBorder="1"/>
    <xf numFmtId="0" fontId="38" fillId="0" borderId="0" xfId="0" applyFont="1"/>
    <xf numFmtId="0" fontId="36" fillId="0" borderId="109" xfId="0" applyFont="1" applyBorder="1"/>
    <xf numFmtId="0" fontId="36" fillId="0" borderId="110" xfId="0" applyFont="1" applyBorder="1"/>
    <xf numFmtId="0" fontId="36" fillId="0" borderId="111" xfId="0" applyFont="1" applyBorder="1"/>
    <xf numFmtId="0" fontId="36" fillId="0" borderId="112" xfId="0" applyFont="1" applyBorder="1"/>
    <xf numFmtId="0" fontId="37" fillId="12" borderId="105" xfId="0" applyFont="1" applyFill="1" applyBorder="1" applyAlignment="1">
      <alignment horizontal="center" vertical="center"/>
    </xf>
    <xf numFmtId="0" fontId="35" fillId="12" borderId="111" xfId="0" applyFont="1" applyFill="1" applyBorder="1" applyAlignment="1">
      <alignment horizontal="center"/>
    </xf>
    <xf numFmtId="0" fontId="35" fillId="12" borderId="106" xfId="0" applyFont="1" applyFill="1" applyBorder="1" applyAlignment="1">
      <alignment horizontal="center"/>
    </xf>
    <xf numFmtId="167" fontId="37" fillId="14" borderId="113" xfId="0" applyNumberFormat="1" applyFont="1" applyFill="1" applyBorder="1" applyAlignment="1">
      <alignment horizontal="center" vertical="center"/>
    </xf>
    <xf numFmtId="167" fontId="23" fillId="14" borderId="9" xfId="0" applyNumberFormat="1" applyFont="1" applyFill="1" applyBorder="1" applyAlignment="1">
      <alignment horizontal="center" vertical="center" wrapText="1"/>
    </xf>
    <xf numFmtId="0" fontId="40" fillId="0" borderId="9" xfId="0" applyFont="1" applyBorder="1"/>
    <xf numFmtId="0" fontId="23" fillId="12" borderId="0" xfId="0" applyFont="1" applyFill="1" applyAlignment="1">
      <alignment horizontal="center" wrapText="1"/>
    </xf>
    <xf numFmtId="0" fontId="40" fillId="10" borderId="0" xfId="0" applyFont="1" applyFill="1"/>
    <xf numFmtId="0" fontId="23" fillId="12" borderId="0" xfId="0" applyFont="1" applyFill="1" applyAlignment="1">
      <alignment horizontal="center" vertical="center" wrapText="1"/>
    </xf>
    <xf numFmtId="0" fontId="10" fillId="0" borderId="0" xfId="0" applyFont="1"/>
    <xf numFmtId="167" fontId="23" fillId="14" borderId="9" xfId="0" applyNumberFormat="1" applyFont="1" applyFill="1" applyBorder="1" applyAlignment="1">
      <alignment horizontal="center" vertical="center"/>
    </xf>
    <xf numFmtId="167" fontId="37" fillId="13" borderId="0" xfId="0" applyNumberFormat="1" applyFont="1" applyFill="1" applyAlignment="1">
      <alignment horizontal="left" vertical="center"/>
    </xf>
    <xf numFmtId="0" fontId="36" fillId="0" borderId="0" xfId="0" applyFont="1"/>
    <xf numFmtId="167" fontId="37" fillId="14" borderId="9" xfId="0" applyNumberFormat="1" applyFont="1" applyFill="1" applyBorder="1" applyAlignment="1">
      <alignment horizontal="center" vertical="center" wrapText="1"/>
    </xf>
    <xf numFmtId="0" fontId="36" fillId="0" borderId="9" xfId="0" applyFont="1" applyBorder="1"/>
    <xf numFmtId="167" fontId="16" fillId="14" borderId="9" xfId="0" applyNumberFormat="1" applyFont="1" applyFill="1" applyBorder="1" applyAlignment="1">
      <alignment horizontal="center" vertical="center"/>
    </xf>
    <xf numFmtId="0" fontId="43" fillId="0" borderId="9" xfId="0" applyFont="1" applyBorder="1"/>
    <xf numFmtId="0" fontId="7" fillId="7" borderId="5" xfId="0" applyFont="1" applyFill="1" applyBorder="1" applyAlignment="1">
      <alignment horizontal="center"/>
    </xf>
    <xf numFmtId="0" fontId="7" fillId="7" borderId="6" xfId="0" applyFont="1" applyFill="1" applyBorder="1" applyAlignment="1">
      <alignment horizontal="center"/>
    </xf>
    <xf numFmtId="0" fontId="7" fillId="7" borderId="7" xfId="0" applyFont="1" applyFill="1" applyBorder="1" applyAlignment="1">
      <alignment horizontal="center"/>
    </xf>
    <xf numFmtId="0" fontId="7" fillId="7" borderId="12" xfId="0" applyFont="1" applyFill="1" applyBorder="1" applyAlignment="1">
      <alignment horizontal="center"/>
    </xf>
    <xf numFmtId="0" fontId="7" fillId="7" borderId="11" xfId="0" applyFont="1" applyFill="1" applyBorder="1" applyAlignment="1">
      <alignment horizontal="center"/>
    </xf>
    <xf numFmtId="0" fontId="7" fillId="7" borderId="13" xfId="0" applyFont="1" applyFill="1" applyBorder="1" applyAlignment="1">
      <alignment horizontal="center"/>
    </xf>
    <xf numFmtId="0" fontId="32" fillId="7" borderId="31" xfId="0" applyFont="1" applyFill="1" applyBorder="1" applyAlignment="1">
      <alignment horizontal="center"/>
    </xf>
    <xf numFmtId="0" fontId="32" fillId="7" borderId="32" xfId="0" applyFont="1" applyFill="1" applyBorder="1" applyAlignment="1">
      <alignment horizontal="center"/>
    </xf>
    <xf numFmtId="0" fontId="32" fillId="7" borderId="42" xfId="0" applyFont="1" applyFill="1" applyBorder="1" applyAlignment="1">
      <alignment horizontal="center"/>
    </xf>
    <xf numFmtId="0" fontId="32" fillId="7" borderId="33" xfId="0" applyFont="1" applyFill="1" applyBorder="1" applyAlignment="1">
      <alignment horizontal="center"/>
    </xf>
    <xf numFmtId="0" fontId="32" fillId="7" borderId="5" xfId="0" applyFont="1" applyFill="1" applyBorder="1" applyAlignment="1">
      <alignment horizontal="center"/>
    </xf>
    <xf numFmtId="0" fontId="32" fillId="7" borderId="6" xfId="0" applyFont="1" applyFill="1" applyBorder="1" applyAlignment="1">
      <alignment horizontal="center"/>
    </xf>
    <xf numFmtId="0" fontId="32" fillId="7" borderId="36" xfId="0" applyFont="1" applyFill="1" applyBorder="1" applyAlignment="1">
      <alignment horizontal="center"/>
    </xf>
    <xf numFmtId="0" fontId="32" fillId="7" borderId="7" xfId="0" applyFont="1" applyFill="1" applyBorder="1" applyAlignment="1">
      <alignment horizontal="center"/>
    </xf>
    <xf numFmtId="17" fontId="3" fillId="7" borderId="12" xfId="0" applyNumberFormat="1" applyFont="1" applyFill="1" applyBorder="1" applyAlignment="1">
      <alignment horizontal="center" vertical="center" wrapText="1"/>
    </xf>
    <xf numFmtId="17" fontId="3" fillId="7" borderId="7" xfId="0" applyNumberFormat="1" applyFont="1" applyFill="1" applyBorder="1" applyAlignment="1">
      <alignment horizontal="center" vertical="center" wrapText="1"/>
    </xf>
    <xf numFmtId="17" fontId="3" fillId="7" borderId="6" xfId="0" applyNumberFormat="1" applyFont="1" applyFill="1" applyBorder="1" applyAlignment="1">
      <alignment horizontal="center" vertical="center" wrapText="1"/>
    </xf>
    <xf numFmtId="0" fontId="11" fillId="7" borderId="10" xfId="0" applyFont="1" applyFill="1" applyBorder="1" applyAlignment="1">
      <alignment horizontal="center" vertical="center"/>
    </xf>
    <xf numFmtId="0" fontId="11" fillId="7" borderId="23" xfId="0" applyFont="1" applyFill="1" applyBorder="1" applyAlignment="1">
      <alignment horizontal="center" vertical="center"/>
    </xf>
    <xf numFmtId="0" fontId="3" fillId="10" borderId="44" xfId="0" applyFont="1" applyFill="1" applyBorder="1" applyAlignment="1">
      <alignment horizontal="center" vertical="center" wrapText="1"/>
    </xf>
    <xf numFmtId="0" fontId="3" fillId="10" borderId="98" xfId="0" applyFont="1" applyFill="1" applyBorder="1" applyAlignment="1">
      <alignment horizontal="center" vertical="center" wrapText="1"/>
    </xf>
    <xf numFmtId="0" fontId="0" fillId="0" borderId="0" xfId="0" applyAlignment="1">
      <alignment horizontal="center"/>
    </xf>
    <xf numFmtId="0" fontId="2" fillId="10" borderId="31" xfId="0" applyFont="1" applyFill="1" applyBorder="1" applyAlignment="1">
      <alignment horizontal="center"/>
    </xf>
    <xf numFmtId="0" fontId="2" fillId="10" borderId="32" xfId="0" applyFont="1" applyFill="1" applyBorder="1" applyAlignment="1">
      <alignment horizontal="center"/>
    </xf>
    <xf numFmtId="0" fontId="2" fillId="10" borderId="33" xfId="0" applyFont="1" applyFill="1" applyBorder="1" applyAlignment="1">
      <alignment horizontal="center"/>
    </xf>
    <xf numFmtId="0" fontId="3" fillId="0" borderId="10" xfId="0" applyFont="1" applyBorder="1" applyAlignment="1">
      <alignment horizontal="center" vertical="center"/>
    </xf>
    <xf numFmtId="0" fontId="3" fillId="0" borderId="54" xfId="0" applyFont="1" applyBorder="1" applyAlignment="1">
      <alignment horizontal="center" vertical="center"/>
    </xf>
    <xf numFmtId="0" fontId="3" fillId="10" borderId="36" xfId="0" applyFont="1" applyFill="1" applyBorder="1" applyAlignment="1">
      <alignment horizontal="center" vertical="center" wrapText="1"/>
    </xf>
    <xf numFmtId="0" fontId="3" fillId="10" borderId="32" xfId="0" applyFont="1" applyFill="1" applyBorder="1" applyAlignment="1">
      <alignment horizontal="center" vertical="center" wrapText="1"/>
    </xf>
    <xf numFmtId="0" fontId="3" fillId="10" borderId="42" xfId="0" applyFont="1" applyFill="1" applyBorder="1" applyAlignment="1">
      <alignment horizontal="center" vertical="center" wrapText="1"/>
    </xf>
    <xf numFmtId="0" fontId="2" fillId="0" borderId="5" xfId="0" applyFont="1" applyBorder="1" applyAlignment="1">
      <alignment horizontal="center"/>
    </xf>
    <xf numFmtId="0" fontId="2" fillId="0" borderId="66" xfId="0" applyFont="1" applyBorder="1" applyAlignment="1">
      <alignment horizontal="center"/>
    </xf>
    <xf numFmtId="0" fontId="3" fillId="10" borderId="10" xfId="0" applyFont="1" applyFill="1" applyBorder="1" applyAlignment="1">
      <alignment horizontal="center" vertical="center"/>
    </xf>
    <xf numFmtId="0" fontId="3" fillId="10" borderId="23" xfId="0" applyFont="1" applyFill="1" applyBorder="1" applyAlignment="1">
      <alignment horizontal="center" vertical="center"/>
    </xf>
    <xf numFmtId="0" fontId="3" fillId="10" borderId="40" xfId="0" applyFont="1" applyFill="1" applyBorder="1" applyAlignment="1">
      <alignment horizontal="center" vertical="center"/>
    </xf>
    <xf numFmtId="0" fontId="2" fillId="0" borderId="7" xfId="0" applyFont="1" applyBorder="1" applyAlignment="1">
      <alignment horizontal="center"/>
    </xf>
    <xf numFmtId="0" fontId="3" fillId="10" borderId="5" xfId="0" applyFont="1" applyFill="1" applyBorder="1" applyAlignment="1">
      <alignment horizontal="center"/>
    </xf>
    <xf numFmtId="0" fontId="3" fillId="10" borderId="6" xfId="0" applyFont="1" applyFill="1" applyBorder="1" applyAlignment="1">
      <alignment horizontal="center"/>
    </xf>
    <xf numFmtId="0" fontId="3" fillId="10" borderId="7" xfId="0" applyFont="1" applyFill="1" applyBorder="1" applyAlignment="1">
      <alignment horizontal="center"/>
    </xf>
    <xf numFmtId="0" fontId="3" fillId="10" borderId="64" xfId="0" applyFont="1" applyFill="1" applyBorder="1" applyAlignment="1">
      <alignment horizontal="center"/>
    </xf>
    <xf numFmtId="0" fontId="3" fillId="10" borderId="66" xfId="0" applyFont="1" applyFill="1" applyBorder="1" applyAlignment="1">
      <alignment horizontal="center"/>
    </xf>
    <xf numFmtId="0" fontId="9" fillId="0" borderId="10" xfId="0" applyFont="1" applyBorder="1" applyAlignment="1">
      <alignment horizontal="center" vertical="center"/>
    </xf>
    <xf numFmtId="0" fontId="9" fillId="0" borderId="40" xfId="0" applyFont="1" applyBorder="1" applyAlignment="1">
      <alignment horizontal="center" vertical="center"/>
    </xf>
    <xf numFmtId="0" fontId="9" fillId="0" borderId="23" xfId="0" applyFont="1" applyBorder="1" applyAlignment="1">
      <alignment horizontal="center" vertic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8" fillId="7" borderId="7" xfId="0" applyFont="1" applyFill="1" applyBorder="1" applyAlignment="1">
      <alignment horizontal="center"/>
    </xf>
    <xf numFmtId="0" fontId="17" fillId="10" borderId="5" xfId="0" applyFont="1" applyFill="1" applyBorder="1" applyAlignment="1">
      <alignment horizontal="center" wrapText="1"/>
    </xf>
    <xf numFmtId="0" fontId="17" fillId="10" borderId="6" xfId="0" applyFont="1" applyFill="1" applyBorder="1" applyAlignment="1">
      <alignment horizontal="center" wrapText="1"/>
    </xf>
    <xf numFmtId="0" fontId="17" fillId="10" borderId="7" xfId="0" applyFont="1" applyFill="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10" borderId="7"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3" fillId="10" borderId="5" xfId="0" applyFont="1" applyFill="1" applyBorder="1" applyAlignment="1">
      <alignment horizontal="center" vertical="center" wrapText="1"/>
    </xf>
    <xf numFmtId="0" fontId="3" fillId="0" borderId="23" xfId="0" applyFont="1" applyBorder="1" applyAlignment="1">
      <alignment horizontal="center" vertical="center"/>
    </xf>
    <xf numFmtId="0" fontId="3" fillId="0" borderId="64" xfId="0" applyFont="1" applyBorder="1" applyAlignment="1">
      <alignment horizontal="center" vertical="center"/>
    </xf>
    <xf numFmtId="0" fontId="3" fillId="0" borderId="37" xfId="0" applyFont="1" applyBorder="1" applyAlignment="1">
      <alignment horizontal="center" vertical="center"/>
    </xf>
    <xf numFmtId="0" fontId="3" fillId="0" borderId="72" xfId="0" applyFont="1" applyBorder="1" applyAlignment="1">
      <alignment horizontal="center" vertical="center"/>
    </xf>
    <xf numFmtId="0" fontId="9" fillId="10" borderId="10" xfId="0" applyFont="1" applyFill="1" applyBorder="1" applyAlignment="1">
      <alignment horizontal="center" vertical="center" textRotation="255"/>
    </xf>
    <xf numFmtId="0" fontId="9" fillId="10" borderId="40" xfId="0" applyFont="1" applyFill="1" applyBorder="1" applyAlignment="1">
      <alignment horizontal="center" vertical="center" textRotation="255"/>
    </xf>
    <xf numFmtId="0" fontId="9" fillId="10" borderId="23" xfId="0" applyFont="1" applyFill="1" applyBorder="1" applyAlignment="1">
      <alignment horizontal="center" vertical="center" textRotation="255"/>
    </xf>
    <xf numFmtId="0" fontId="9" fillId="15" borderId="10" xfId="0" applyFont="1" applyFill="1" applyBorder="1" applyAlignment="1">
      <alignment horizontal="center" vertical="center" textRotation="255"/>
    </xf>
    <xf numFmtId="0" fontId="9" fillId="15" borderId="40" xfId="0" applyFont="1" applyFill="1" applyBorder="1" applyAlignment="1">
      <alignment horizontal="center" vertical="center" textRotation="255"/>
    </xf>
    <xf numFmtId="0" fontId="9" fillId="15" borderId="23" xfId="0" applyFont="1" applyFill="1" applyBorder="1" applyAlignment="1">
      <alignment horizontal="center" vertical="center" textRotation="255"/>
    </xf>
    <xf numFmtId="0" fontId="3" fillId="0" borderId="43" xfId="0" applyFont="1" applyBorder="1" applyAlignment="1">
      <alignment horizontal="center"/>
    </xf>
    <xf numFmtId="0" fontId="3" fillId="0" borderId="44" xfId="0" applyFont="1" applyBorder="1" applyAlignment="1">
      <alignment horizontal="center"/>
    </xf>
    <xf numFmtId="0" fontId="3" fillId="0" borderId="46" xfId="0" applyFont="1" applyBorder="1" applyAlignment="1">
      <alignment horizontal="center"/>
    </xf>
    <xf numFmtId="0" fontId="2" fillId="10" borderId="10" xfId="0" applyFont="1" applyFill="1" applyBorder="1" applyAlignment="1">
      <alignment horizontal="center" vertical="center" textRotation="255"/>
    </xf>
    <xf numFmtId="0" fontId="2" fillId="10" borderId="40" xfId="0" applyFont="1" applyFill="1" applyBorder="1" applyAlignment="1">
      <alignment horizontal="center" vertical="center" textRotation="255"/>
    </xf>
    <xf numFmtId="0" fontId="2" fillId="10" borderId="23" xfId="0" applyFont="1" applyFill="1" applyBorder="1" applyAlignment="1">
      <alignment horizontal="center" vertical="center" textRotation="255"/>
    </xf>
    <xf numFmtId="0" fontId="3" fillId="0" borderId="69" xfId="0" applyFont="1" applyBorder="1" applyAlignment="1">
      <alignment horizontal="center"/>
    </xf>
    <xf numFmtId="0" fontId="3" fillId="0" borderId="41" xfId="0" applyFont="1" applyBorder="1" applyAlignment="1">
      <alignment horizontal="center"/>
    </xf>
    <xf numFmtId="0" fontId="3" fillId="0" borderId="71" xfId="0" applyFont="1" applyBorder="1" applyAlignment="1">
      <alignment horizontal="center"/>
    </xf>
    <xf numFmtId="0" fontId="3" fillId="10" borderId="43" xfId="0" applyFont="1" applyFill="1" applyBorder="1" applyAlignment="1">
      <alignment horizontal="center"/>
    </xf>
    <xf numFmtId="0" fontId="3" fillId="10" borderId="44" xfId="0" applyFont="1" applyFill="1" applyBorder="1" applyAlignment="1">
      <alignment horizontal="center"/>
    </xf>
    <xf numFmtId="0" fontId="3" fillId="10" borderId="46" xfId="0" applyFont="1" applyFill="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2" fillId="0" borderId="10" xfId="0" applyFont="1" applyBorder="1" applyAlignment="1">
      <alignment horizontal="center" vertical="center" textRotation="255"/>
    </xf>
    <xf numFmtId="0" fontId="2" fillId="0" borderId="40" xfId="0" applyFont="1" applyBorder="1" applyAlignment="1">
      <alignment horizontal="center" vertical="center" textRotation="255"/>
    </xf>
    <xf numFmtId="0" fontId="2" fillId="0" borderId="23" xfId="0" applyFont="1" applyBorder="1" applyAlignment="1">
      <alignment horizontal="center" vertical="center" textRotation="255"/>
    </xf>
    <xf numFmtId="0" fontId="22" fillId="11" borderId="5" xfId="0" applyFont="1" applyFill="1" applyBorder="1" applyAlignment="1">
      <alignment horizontal="center" vertical="center"/>
    </xf>
    <xf numFmtId="0" fontId="22" fillId="11" borderId="7" xfId="0" applyFont="1" applyFill="1" applyBorder="1" applyAlignment="1">
      <alignment horizontal="center" vertical="center"/>
    </xf>
    <xf numFmtId="0" fontId="34" fillId="10" borderId="5"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7" xfId="0" applyFont="1" applyFill="1" applyBorder="1" applyAlignment="1">
      <alignment horizontal="center" vertical="center"/>
    </xf>
    <xf numFmtId="0" fontId="34" fillId="10" borderId="5" xfId="0" applyFont="1" applyFill="1" applyBorder="1" applyAlignment="1">
      <alignment horizontal="center"/>
    </xf>
    <xf numFmtId="0" fontId="34" fillId="10" borderId="6" xfId="0" applyFont="1" applyFill="1" applyBorder="1" applyAlignment="1">
      <alignment horizontal="center"/>
    </xf>
    <xf numFmtId="0" fontId="34" fillId="10" borderId="7" xfId="0" applyFont="1" applyFill="1" applyBorder="1" applyAlignment="1">
      <alignment horizontal="center"/>
    </xf>
    <xf numFmtId="0" fontId="16" fillId="10" borderId="5" xfId="0" applyFont="1" applyFill="1" applyBorder="1" applyAlignment="1">
      <alignment horizontal="center"/>
    </xf>
    <xf numFmtId="0" fontId="16" fillId="10" borderId="6" xfId="0" applyFont="1" applyFill="1" applyBorder="1" applyAlignment="1">
      <alignment horizontal="center"/>
    </xf>
    <xf numFmtId="0" fontId="16" fillId="10" borderId="7" xfId="0" applyFont="1" applyFill="1" applyBorder="1" applyAlignment="1">
      <alignment horizontal="center"/>
    </xf>
    <xf numFmtId="9" fontId="20" fillId="11" borderId="12" xfId="2" applyFont="1" applyFill="1" applyBorder="1" applyAlignment="1">
      <alignment horizontal="center" vertical="center"/>
    </xf>
    <xf numFmtId="9" fontId="20" fillId="11" borderId="64" xfId="2" applyFont="1" applyFill="1" applyBorder="1" applyAlignment="1">
      <alignment horizontal="center" vertical="center"/>
    </xf>
    <xf numFmtId="0" fontId="22" fillId="11" borderId="5" xfId="0" applyFont="1" applyFill="1" applyBorder="1" applyAlignment="1">
      <alignment horizontal="center"/>
    </xf>
    <xf numFmtId="0" fontId="22" fillId="11" borderId="7" xfId="0" applyFont="1" applyFill="1" applyBorder="1" applyAlignment="1">
      <alignment horizontal="center"/>
    </xf>
    <xf numFmtId="9" fontId="3" fillId="11" borderId="12" xfId="2" applyFont="1" applyFill="1" applyBorder="1" applyAlignment="1">
      <alignment horizontal="center" vertical="center"/>
    </xf>
    <xf numFmtId="9" fontId="3" fillId="11" borderId="64" xfId="2" applyFont="1" applyFill="1" applyBorder="1" applyAlignment="1">
      <alignment horizontal="center" vertical="center"/>
    </xf>
    <xf numFmtId="0" fontId="23" fillId="11" borderId="5" xfId="0" applyFont="1" applyFill="1" applyBorder="1" applyAlignment="1">
      <alignment horizontal="center"/>
    </xf>
    <xf numFmtId="0" fontId="23" fillId="11" borderId="7" xfId="0" applyFont="1" applyFill="1" applyBorder="1" applyAlignment="1">
      <alignment horizontal="center"/>
    </xf>
    <xf numFmtId="0" fontId="31" fillId="10" borderId="5" xfId="0" applyFont="1" applyFill="1" applyBorder="1" applyAlignment="1">
      <alignment horizontal="center"/>
    </xf>
    <xf numFmtId="0" fontId="31" fillId="10" borderId="6" xfId="0" applyFont="1" applyFill="1" applyBorder="1" applyAlignment="1">
      <alignment horizontal="center"/>
    </xf>
    <xf numFmtId="0" fontId="31" fillId="10" borderId="7" xfId="0" applyFont="1" applyFill="1" applyBorder="1" applyAlignment="1">
      <alignment horizontal="center"/>
    </xf>
    <xf numFmtId="0" fontId="3" fillId="0" borderId="69" xfId="0" applyFont="1" applyBorder="1" applyAlignment="1">
      <alignment horizontal="center" vertical="center" wrapText="1"/>
    </xf>
    <xf numFmtId="0" fontId="3" fillId="0" borderId="52" xfId="0" applyFont="1" applyBorder="1" applyAlignment="1">
      <alignment horizontal="center" vertical="center"/>
    </xf>
    <xf numFmtId="0" fontId="3" fillId="0" borderId="63" xfId="0" applyFont="1" applyBorder="1" applyAlignment="1">
      <alignment horizontal="center" vertical="center"/>
    </xf>
    <xf numFmtId="0" fontId="3" fillId="9" borderId="5"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7" xfId="0" applyFont="1" applyFill="1" applyBorder="1" applyAlignment="1">
      <alignment horizontal="center" vertical="center"/>
    </xf>
    <xf numFmtId="0" fontId="3" fillId="0" borderId="5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9" xfId="0" applyFont="1" applyBorder="1" applyAlignment="1">
      <alignment horizontal="center" wrapText="1"/>
    </xf>
    <xf numFmtId="0" fontId="3" fillId="0" borderId="52" xfId="0" applyFont="1" applyBorder="1" applyAlignment="1">
      <alignment horizontal="center" wrapText="1"/>
    </xf>
    <xf numFmtId="0" fontId="3" fillId="0" borderId="63" xfId="0" applyFont="1" applyBorder="1" applyAlignment="1">
      <alignment horizontal="center" wrapText="1"/>
    </xf>
    <xf numFmtId="0" fontId="3" fillId="0" borderId="10"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23" xfId="0" applyFont="1" applyBorder="1" applyAlignment="1">
      <alignment horizontal="center" vertical="center" wrapText="1"/>
    </xf>
    <xf numFmtId="0" fontId="3" fillId="10" borderId="5" xfId="0" applyFont="1" applyFill="1" applyBorder="1" applyAlignment="1">
      <alignment horizontal="center" vertical="center"/>
    </xf>
    <xf numFmtId="0" fontId="3" fillId="10" borderId="6" xfId="0" applyFont="1" applyFill="1" applyBorder="1" applyAlignment="1">
      <alignment horizontal="center" vertical="center"/>
    </xf>
    <xf numFmtId="0" fontId="3" fillId="10" borderId="7" xfId="0" applyFont="1" applyFill="1" applyBorder="1" applyAlignment="1">
      <alignment horizontal="center" vertical="center"/>
    </xf>
    <xf numFmtId="0" fontId="5" fillId="0" borderId="9" xfId="0" applyFont="1" applyBorder="1" applyAlignment="1">
      <alignment horizontal="center" vertical="center"/>
    </xf>
    <xf numFmtId="0" fontId="26" fillId="10" borderId="9" xfId="0" applyFont="1" applyFill="1" applyBorder="1" applyAlignment="1">
      <alignment horizontal="center"/>
    </xf>
    <xf numFmtId="0" fontId="28" fillId="0" borderId="10" xfId="0" applyFont="1" applyBorder="1" applyAlignment="1">
      <alignment horizontal="center" vertical="center"/>
    </xf>
    <xf numFmtId="0" fontId="28" fillId="0" borderId="92" xfId="0" applyFont="1" applyBorder="1" applyAlignment="1">
      <alignment horizontal="center" vertical="center"/>
    </xf>
    <xf numFmtId="0" fontId="28" fillId="2" borderId="5" xfId="0" applyFont="1" applyFill="1" applyBorder="1" applyAlignment="1">
      <alignment horizontal="center" vertical="center" wrapText="1"/>
    </xf>
    <xf numFmtId="0" fontId="28" fillId="2" borderId="99" xfId="0" applyFont="1" applyFill="1" applyBorder="1" applyAlignment="1">
      <alignment horizontal="center" vertical="center" wrapText="1"/>
    </xf>
    <xf numFmtId="0" fontId="28" fillId="2" borderId="100" xfId="0" applyFont="1" applyFill="1" applyBorder="1" applyAlignment="1">
      <alignment horizontal="center" vertical="center" wrapText="1"/>
    </xf>
    <xf numFmtId="0" fontId="28" fillId="2" borderId="7" xfId="0" applyFont="1" applyFill="1" applyBorder="1" applyAlignment="1">
      <alignment horizontal="center" vertical="center" wrapText="1"/>
    </xf>
    <xf numFmtId="0" fontId="27" fillId="2" borderId="5" xfId="0" applyFont="1" applyFill="1" applyBorder="1" applyAlignment="1">
      <alignment vertical="center" wrapText="1"/>
    </xf>
    <xf numFmtId="0" fontId="27" fillId="2" borderId="6" xfId="0" applyFont="1" applyFill="1" applyBorder="1" applyAlignment="1">
      <alignment vertical="center" wrapText="1"/>
    </xf>
    <xf numFmtId="0" fontId="27" fillId="2" borderId="99" xfId="0" applyFont="1" applyFill="1" applyBorder="1" applyAlignment="1">
      <alignment vertical="center" wrapText="1"/>
    </xf>
    <xf numFmtId="0" fontId="22" fillId="11" borderId="6" xfId="0" applyFont="1" applyFill="1" applyBorder="1" applyAlignment="1">
      <alignment horizontal="center" vertical="center"/>
    </xf>
    <xf numFmtId="0" fontId="24" fillId="10" borderId="29" xfId="0" applyFont="1" applyFill="1" applyBorder="1" applyAlignment="1">
      <alignment horizontal="center"/>
    </xf>
    <xf numFmtId="0" fontId="24" fillId="10" borderId="24" xfId="0" applyFont="1" applyFill="1" applyBorder="1" applyAlignment="1">
      <alignment horizontal="center"/>
    </xf>
    <xf numFmtId="0" fontId="21" fillId="10" borderId="24" xfId="0" applyFont="1" applyFill="1" applyBorder="1" applyAlignment="1">
      <alignment horizontal="center"/>
    </xf>
    <xf numFmtId="0" fontId="24" fillId="10" borderId="26" xfId="0" applyFont="1" applyFill="1" applyBorder="1" applyAlignment="1">
      <alignment horizontal="center"/>
    </xf>
    <xf numFmtId="0" fontId="22" fillId="11" borderId="42" xfId="0" applyFont="1" applyFill="1" applyBorder="1" applyAlignment="1">
      <alignment horizontal="center" vertical="center"/>
    </xf>
    <xf numFmtId="0" fontId="22" fillId="11" borderId="36" xfId="0" applyFont="1" applyFill="1" applyBorder="1" applyAlignment="1">
      <alignment horizontal="center" vertical="center"/>
    </xf>
    <xf numFmtId="0" fontId="22" fillId="11" borderId="33" xfId="0" applyFont="1" applyFill="1" applyBorder="1" applyAlignment="1">
      <alignment horizontal="center" vertical="center"/>
    </xf>
    <xf numFmtId="0" fontId="22" fillId="11" borderId="31" xfId="0" applyFont="1" applyFill="1" applyBorder="1" applyAlignment="1">
      <alignment horizontal="center" vertical="center"/>
    </xf>
    <xf numFmtId="0" fontId="24" fillId="10" borderId="46" xfId="0" applyFont="1" applyFill="1" applyBorder="1" applyAlignment="1">
      <alignment horizontal="center"/>
    </xf>
    <xf numFmtId="0" fontId="24" fillId="10" borderId="34" xfId="0" applyFont="1" applyFill="1" applyBorder="1" applyAlignment="1">
      <alignment horizontal="center"/>
    </xf>
    <xf numFmtId="0" fontId="24" fillId="10" borderId="19" xfId="0" applyFont="1" applyFill="1" applyBorder="1" applyAlignment="1">
      <alignment horizontal="center"/>
    </xf>
    <xf numFmtId="0" fontId="21" fillId="10" borderId="19" xfId="0" applyFont="1" applyFill="1" applyBorder="1" applyAlignment="1">
      <alignment horizontal="center"/>
    </xf>
    <xf numFmtId="0" fontId="24" fillId="10" borderId="18" xfId="0" applyFont="1" applyFill="1" applyBorder="1" applyAlignment="1">
      <alignment horizontal="center"/>
    </xf>
    <xf numFmtId="0" fontId="24" fillId="10" borderId="35" xfId="0" applyFont="1" applyFill="1" applyBorder="1" applyAlignment="1">
      <alignment horizontal="center"/>
    </xf>
    <xf numFmtId="0" fontId="23" fillId="11" borderId="46" xfId="0" applyFont="1" applyFill="1" applyBorder="1" applyAlignment="1">
      <alignment horizontal="center"/>
    </xf>
    <xf numFmtId="0" fontId="23" fillId="11" borderId="43" xfId="0" applyFont="1" applyFill="1" applyBorder="1" applyAlignment="1">
      <alignment horizontal="center"/>
    </xf>
    <xf numFmtId="0" fontId="4" fillId="2" borderId="2" xfId="0" applyFont="1" applyFill="1" applyBorder="1" applyAlignment="1">
      <alignment vertical="center" wrapText="1"/>
    </xf>
    <xf numFmtId="0" fontId="63" fillId="0" borderId="2" xfId="0" applyFont="1" applyBorder="1" applyAlignment="1">
      <alignment horizontal="center" vertical="center" wrapText="1"/>
    </xf>
    <xf numFmtId="0" fontId="63" fillId="0" borderId="2" xfId="0" applyFont="1" applyBorder="1" applyAlignment="1">
      <alignment vertical="center" wrapText="1"/>
    </xf>
    <xf numFmtId="0" fontId="63" fillId="0" borderId="1" xfId="0" applyFont="1" applyBorder="1" applyAlignment="1">
      <alignment horizontal="center" vertical="center" wrapText="1"/>
    </xf>
    <xf numFmtId="0" fontId="5" fillId="0" borderId="126" xfId="0" applyFont="1" applyBorder="1" applyAlignment="1">
      <alignment horizontal="center" vertical="center" wrapText="1"/>
    </xf>
    <xf numFmtId="14" fontId="5" fillId="0" borderId="75" xfId="0" applyNumberFormat="1" applyFont="1" applyBorder="1" applyAlignment="1">
      <alignment horizontal="center" vertical="center" wrapText="1"/>
    </xf>
    <xf numFmtId="0" fontId="5" fillId="0" borderId="75" xfId="0" applyFont="1" applyBorder="1" applyAlignment="1">
      <alignment vertical="center" wrapText="1"/>
    </xf>
    <xf numFmtId="0" fontId="4" fillId="0" borderId="75" xfId="0" applyFont="1" applyBorder="1" applyAlignment="1">
      <alignment vertical="center" wrapText="1"/>
    </xf>
    <xf numFmtId="0" fontId="5" fillId="0" borderId="3" xfId="0" applyFont="1" applyBorder="1" applyAlignment="1">
      <alignment vertical="center" wrapText="1"/>
    </xf>
    <xf numFmtId="0" fontId="5" fillId="2" borderId="4" xfId="0" applyFont="1" applyFill="1" applyBorder="1" applyAlignment="1">
      <alignment horizontal="center" vertical="center" wrapText="1"/>
    </xf>
    <xf numFmtId="0" fontId="5" fillId="49" borderId="2" xfId="0" applyFont="1" applyFill="1" applyBorder="1" applyAlignment="1">
      <alignment horizontal="center" vertical="center" wrapText="1"/>
    </xf>
    <xf numFmtId="14" fontId="5" fillId="2" borderId="2" xfId="0" applyNumberFormat="1" applyFont="1" applyFill="1" applyBorder="1" applyAlignment="1">
      <alignment horizontal="center" vertical="center" wrapText="1"/>
    </xf>
    <xf numFmtId="0" fontId="5" fillId="2" borderId="2" xfId="0" applyFont="1" applyFill="1" applyBorder="1" applyAlignment="1">
      <alignment vertical="center" wrapText="1"/>
    </xf>
    <xf numFmtId="0" fontId="5" fillId="0" borderId="2" xfId="0" applyFont="1" applyBorder="1" applyAlignment="1">
      <alignment horizontal="center" vertical="center"/>
    </xf>
    <xf numFmtId="0" fontId="5" fillId="0" borderId="2" xfId="0" applyFont="1" applyBorder="1" applyAlignment="1">
      <alignment horizontal="center" wrapText="1"/>
    </xf>
    <xf numFmtId="0" fontId="64" fillId="2" borderId="2" xfId="0" applyFont="1" applyFill="1" applyBorder="1" applyAlignment="1">
      <alignment vertical="center" wrapText="1"/>
    </xf>
    <xf numFmtId="0" fontId="5" fillId="50"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14" fontId="4" fillId="0" borderId="2" xfId="0" applyNumberFormat="1" applyFont="1" applyBorder="1" applyAlignment="1">
      <alignment horizontal="center" vertical="center" wrapText="1"/>
    </xf>
    <xf numFmtId="0" fontId="63" fillId="0" borderId="127" xfId="0" applyFont="1" applyBorder="1" applyAlignment="1">
      <alignment horizontal="center" vertical="center" wrapText="1"/>
    </xf>
    <xf numFmtId="0" fontId="4" fillId="0" borderId="127" xfId="0" applyFont="1" applyBorder="1" applyAlignment="1">
      <alignment vertical="center" wrapText="1"/>
    </xf>
    <xf numFmtId="0" fontId="4" fillId="0" borderId="76" xfId="0" applyFont="1" applyBorder="1" applyAlignment="1">
      <alignment vertical="center" wrapText="1"/>
    </xf>
    <xf numFmtId="0" fontId="6" fillId="3" borderId="76" xfId="0" applyFont="1" applyFill="1" applyBorder="1" applyAlignment="1">
      <alignment horizontal="center" vertical="center" wrapText="1"/>
    </xf>
    <xf numFmtId="0" fontId="4" fillId="2" borderId="76" xfId="0" applyFont="1" applyFill="1" applyBorder="1" applyAlignment="1">
      <alignment vertical="center" wrapText="1"/>
    </xf>
    <xf numFmtId="0" fontId="5" fillId="0" borderId="128" xfId="0" applyFont="1" applyBorder="1" applyAlignment="1">
      <alignment horizontal="center" vertical="center" wrapText="1"/>
    </xf>
    <xf numFmtId="0" fontId="4" fillId="0" borderId="129" xfId="0" applyFont="1" applyBorder="1" applyAlignment="1">
      <alignment horizontal="center" vertical="center" wrapText="1"/>
    </xf>
    <xf numFmtId="14" fontId="4" fillId="0" borderId="129" xfId="0" applyNumberFormat="1" applyFont="1" applyBorder="1" applyAlignment="1">
      <alignment horizontal="center" vertical="center" wrapText="1"/>
    </xf>
    <xf numFmtId="0" fontId="5" fillId="0" borderId="129" xfId="0" applyFont="1" applyBorder="1" applyAlignment="1">
      <alignment horizontal="center" vertical="center" wrapText="1"/>
    </xf>
    <xf numFmtId="0" fontId="5" fillId="0" borderId="129" xfId="0" applyFont="1" applyBorder="1" applyAlignment="1">
      <alignment vertical="center" wrapText="1"/>
    </xf>
    <xf numFmtId="0" fontId="5" fillId="2" borderId="129" xfId="0" applyFont="1" applyFill="1" applyBorder="1" applyAlignment="1">
      <alignment horizontal="center" vertical="center" wrapText="1"/>
    </xf>
    <xf numFmtId="0" fontId="4" fillId="0" borderId="129" xfId="0" applyFont="1" applyBorder="1" applyAlignment="1">
      <alignment vertical="center" wrapText="1"/>
    </xf>
    <xf numFmtId="14" fontId="5" fillId="0" borderId="129" xfId="0" applyNumberFormat="1" applyFont="1" applyBorder="1" applyAlignment="1">
      <alignment horizontal="center" vertical="center" wrapText="1"/>
    </xf>
    <xf numFmtId="0" fontId="4" fillId="0" borderId="130" xfId="0" applyFont="1" applyBorder="1" applyAlignment="1">
      <alignment vertical="center" wrapText="1"/>
    </xf>
    <xf numFmtId="0" fontId="0" fillId="0" borderId="0" xfId="0" applyAlignment="1">
      <alignment horizontal="left" indent="1"/>
    </xf>
    <xf numFmtId="0" fontId="0" fillId="0" borderId="0" xfId="0" applyAlignment="1">
      <alignment horizontal="left" indent="2"/>
    </xf>
  </cellXfs>
  <cellStyles count="58">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o" xfId="10" builtinId="26" customBuiltin="1"/>
    <cellStyle name="Cálculo" xfId="15" builtinId="22" customBuiltin="1"/>
    <cellStyle name="Celda de comprobación" xfId="17" builtinId="23" customBuiltin="1"/>
    <cellStyle name="Celda vinculada" xfId="16" builtinId="24" customBuiltin="1"/>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Incorrecto" xfId="11" builtinId="27" customBuiltin="1"/>
    <cellStyle name="Millares" xfId="1" builtinId="3"/>
    <cellStyle name="Millares 2" xfId="3" xr:uid="{62283614-7641-414F-93C3-9F426D0ABAD7}"/>
    <cellStyle name="Millares 2 2" xfId="47" xr:uid="{C9846E98-EF50-44AB-BC7D-94F1B71FC9E5}"/>
    <cellStyle name="Millares 2 3" xfId="52" xr:uid="{20473F39-0ACA-4899-99B9-EFB8AB334BCD}"/>
    <cellStyle name="Millares 2 4" xfId="55" xr:uid="{4772F420-3CBA-4274-A242-E280C0241E61}"/>
    <cellStyle name="Millares 3" xfId="4" xr:uid="{3D9B94E7-A17D-4F3D-835C-E8B45BC1A117}"/>
    <cellStyle name="Millares 3 2" xfId="48" xr:uid="{0D39660F-7373-4CA0-93D9-022261C019FD}"/>
    <cellStyle name="Millares 3 3" xfId="51" xr:uid="{288BFC4A-106F-4859-BEFE-F027FF51C4BF}"/>
    <cellStyle name="Millares 3 4" xfId="56" xr:uid="{19C1DD5F-145C-4F47-A971-0579346CBBB1}"/>
    <cellStyle name="Millares 4" xfId="49" xr:uid="{1A567B36-0FF0-48C5-90FB-9F7E8CA88A55}"/>
    <cellStyle name="Millares 4 2" xfId="53" xr:uid="{ACA6C40C-C99E-4DFF-9938-1FDCA658D703}"/>
    <cellStyle name="Millares 4 3" xfId="57" xr:uid="{9403872D-62F1-4E06-85C9-4F4240D88D75}"/>
    <cellStyle name="Millares 5" xfId="46" xr:uid="{0E0EB491-9959-481E-95BF-3C3CD170132C}"/>
    <cellStyle name="Millares 6" xfId="50" xr:uid="{746C6BAE-D3B7-42B5-93FC-BE6FAD8D0503}"/>
    <cellStyle name="Millares 7" xfId="54" xr:uid="{FDB85708-B41A-4552-9581-AA30141140C3}"/>
    <cellStyle name="Neutral" xfId="12" builtinId="28" customBuiltin="1"/>
    <cellStyle name="Normal" xfId="0" builtinId="0"/>
    <cellStyle name="Notas" xfId="19" builtinId="10" customBuiltin="1"/>
    <cellStyle name="Porcentaje" xfId="2" builtinId="5"/>
    <cellStyle name="Salida" xfId="14" builtinId="21" customBuiltin="1"/>
    <cellStyle name="Texto de advertencia" xfId="18" builtinId="11" customBuiltin="1"/>
    <cellStyle name="Texto explicativo" xfId="20" builtinId="53" customBuiltin="1"/>
    <cellStyle name="Título" xfId="5" builtinId="15" customBuiltin="1"/>
    <cellStyle name="Título 2" xfId="7" builtinId="17" customBuiltin="1"/>
    <cellStyle name="Título 3" xfId="8" builtinId="18" customBuiltin="1"/>
    <cellStyle name="Total" xfId="21" builtinId="25" customBuiltin="1"/>
  </cellStyles>
  <dxfs count="29">
    <dxf>
      <font>
        <b/>
        <i val="0"/>
        <strike val="0"/>
        <condense val="0"/>
        <extend val="0"/>
        <outline val="0"/>
        <shadow val="0"/>
        <u/>
        <vertAlign val="baseline"/>
        <sz val="11"/>
        <color theme="1"/>
        <name val="Century Gothic"/>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numFmt numFmtId="19" formatCode="d/mm/yyyy"/>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general"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numFmt numFmtId="19" formatCode="d/mm/yyyy"/>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1"/>
        <color theme="1"/>
        <name val="Century Gothic"/>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CCCCCC"/>
        </top>
        <bottom style="medium">
          <color rgb="FF000000"/>
        </bottom>
        <vertical/>
        <horizontal/>
      </border>
    </dxf>
    <dxf>
      <border outline="0">
        <bottom style="medium">
          <color rgb="FF000000"/>
        </bottom>
      </border>
    </dxf>
    <dxf>
      <border outline="0">
        <right style="medium">
          <color rgb="FF000000"/>
        </right>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2.xml"/><Relationship Id="rId1" Type="http://schemas.microsoft.com/office/2011/relationships/chartStyle" Target="style52.xml"/></Relationships>
</file>

<file path=xl/charts/_rels/chart5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8.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9.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0.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1.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2.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3.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QUEJAS ACUEDUCTO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5060551641571119E-2"/>
          <c:y val="0.219144227340034"/>
          <c:w val="0.90286351706036749"/>
          <c:h val="0.54556998751544616"/>
        </c:manualLayout>
      </c:layout>
      <c:lineChart>
        <c:grouping val="standard"/>
        <c:varyColors val="0"/>
        <c:ser>
          <c:idx val="1"/>
          <c:order val="1"/>
          <c:tx>
            <c:strRef>
              <c:f>Acueducto!#REF!</c:f>
              <c:strCache>
                <c:ptCount val="1"/>
                <c:pt idx="0">
                  <c:v>#REF!</c:v>
                </c:pt>
              </c:strCache>
            </c:strRef>
          </c:tx>
          <c:spPr>
            <a:ln w="28575" cap="rnd">
              <a:solidFill>
                <a:schemeClr val="accent2"/>
              </a:solidFill>
              <a:round/>
            </a:ln>
            <a:effectLst/>
          </c:spPr>
          <c:marker>
            <c:symbol val="none"/>
          </c:marker>
          <c:dLbls>
            <c:delete val="1"/>
          </c:dLbls>
          <c:cat>
            <c:numRef>
              <c:f>Acueducto!$F$24:$Q$24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Acueducto!#REF!</c:f>
              <c:numCache>
                <c:formatCode>General</c:formatCode>
                <c:ptCount val="1"/>
                <c:pt idx="0">
                  <c:v>1</c:v>
                </c:pt>
              </c:numCache>
              <c:extLst/>
            </c:numRef>
          </c:val>
          <c:smooth val="0"/>
          <c:extLst xmlns:c15="http://schemas.microsoft.com/office/drawing/2012/chart">
            <c:ext xmlns:c16="http://schemas.microsoft.com/office/drawing/2014/chart" uri="{C3380CC4-5D6E-409C-BE32-E72D297353CC}">
              <c16:uniqueId val="{00000002-F76B-4469-9D72-D8778E222D0A}"/>
            </c:ext>
          </c:extLst>
        </c:ser>
        <c:ser>
          <c:idx val="5"/>
          <c:order val="5"/>
          <c:tx>
            <c:strRef>
              <c:f>Acueducto!$E$32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Acueducto!$F$24:$Q$24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Acueducto!$F$32:$Q$32</c:f>
              <c:numCache>
                <c:formatCode>General</c:formatCode>
                <c:ptCount val="12"/>
                <c:pt idx="0">
                  <c:v>67</c:v>
                </c:pt>
                <c:pt idx="1">
                  <c:v>72</c:v>
                </c:pt>
                <c:pt idx="2">
                  <c:v>86</c:v>
                </c:pt>
                <c:pt idx="3">
                  <c:v>93</c:v>
                </c:pt>
                <c:pt idx="4">
                  <c:v>95</c:v>
                </c:pt>
                <c:pt idx="5">
                  <c:v>57</c:v>
                </c:pt>
                <c:pt idx="6">
                  <c:v>140</c:v>
                </c:pt>
                <c:pt idx="7">
                  <c:v>88</c:v>
                </c:pt>
              </c:numCache>
              <c:extLst/>
            </c:numRef>
          </c:val>
          <c:smooth val="0"/>
          <c:extLst>
            <c:ext xmlns:c16="http://schemas.microsoft.com/office/drawing/2014/chart" uri="{C3380CC4-5D6E-409C-BE32-E72D297353CC}">
              <c16:uniqueId val="{00000000-F76B-4469-9D72-D8778E222D0A}"/>
            </c:ext>
          </c:extLst>
        </c:ser>
        <c:dLbls>
          <c:dLblPos val="t"/>
          <c:showLegendKey val="0"/>
          <c:showVal val="1"/>
          <c:showCatName val="0"/>
          <c:showSerName val="0"/>
          <c:showPercent val="0"/>
          <c:showBubbleSize val="0"/>
        </c:dLbls>
        <c:smooth val="0"/>
        <c:axId val="886895472"/>
        <c:axId val="843391552"/>
        <c:extLst>
          <c:ext xmlns:c15="http://schemas.microsoft.com/office/drawing/2012/chart" uri="{02D57815-91ED-43cb-92C2-25804820EDAC}">
            <c15:filteredLineSeries>
              <c15:ser>
                <c:idx val="0"/>
                <c:order val="0"/>
                <c:tx>
                  <c:strRef>
                    <c:extLst>
                      <c:ext uri="{02D57815-91ED-43cb-92C2-25804820EDAC}">
                        <c15:formulaRef>
                          <c15:sqref>Acueducto!$E$25</c15:sqref>
                        </c15:formulaRef>
                      </c:ext>
                    </c:extLst>
                    <c:strCache>
                      <c:ptCount val="1"/>
                      <c:pt idx="0">
                        <c:v>Estado de la Infraestructura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Acueducto!$F$24:$Q$24</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Acueducto!$F$25:$Q$25</c15:sqref>
                        </c15:formulaRef>
                      </c:ext>
                    </c:extLst>
                    <c:numCache>
                      <c:formatCode>General</c:formatCode>
                      <c:ptCount val="12"/>
                      <c:pt idx="0">
                        <c:v>58</c:v>
                      </c:pt>
                      <c:pt idx="1">
                        <c:v>60</c:v>
                      </c:pt>
                      <c:pt idx="2">
                        <c:v>73</c:v>
                      </c:pt>
                      <c:pt idx="3">
                        <c:v>81</c:v>
                      </c:pt>
                      <c:pt idx="4">
                        <c:v>84</c:v>
                      </c:pt>
                      <c:pt idx="5">
                        <c:v>53</c:v>
                      </c:pt>
                      <c:pt idx="6">
                        <c:v>108</c:v>
                      </c:pt>
                      <c:pt idx="7">
                        <c:v>67</c:v>
                      </c:pt>
                    </c:numCache>
                  </c:numRef>
                </c:val>
                <c:smooth val="0"/>
                <c:extLst>
                  <c:ext xmlns:c16="http://schemas.microsoft.com/office/drawing/2014/chart" uri="{C3380CC4-5D6E-409C-BE32-E72D297353CC}">
                    <c16:uniqueId val="{00000001-F76B-4469-9D72-D8778E222D0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Acueducto!$E$29</c15:sqref>
                        </c15:formulaRef>
                      </c:ext>
                    </c:extLst>
                    <c:strCache>
                      <c:ptCount val="1"/>
                      <c:pt idx="0">
                        <c:v>Suspensión o corte del servicio sin previo aviso o sin causa aparente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Acueducto!$F$24:$Q$24</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Acueducto!$F$29:$Q$29</c15:sqref>
                        </c15:formulaRef>
                      </c:ext>
                    </c:extLst>
                    <c:numCache>
                      <c:formatCode>General</c:formatCode>
                      <c:ptCount val="12"/>
                      <c:pt idx="0">
                        <c:v>1</c:v>
                      </c:pt>
                      <c:pt idx="1">
                        <c:v>0</c:v>
                      </c:pt>
                      <c:pt idx="2">
                        <c:v>1</c:v>
                      </c:pt>
                      <c:pt idx="3">
                        <c:v>2</c:v>
                      </c:pt>
                      <c:pt idx="4">
                        <c:v>1</c:v>
                      </c:pt>
                      <c:pt idx="5">
                        <c:v>0</c:v>
                      </c:pt>
                      <c:pt idx="6">
                        <c:v>2</c:v>
                      </c:pt>
                      <c:pt idx="7">
                        <c:v>0</c:v>
                      </c:pt>
                    </c:numCache>
                  </c:numRef>
                </c:val>
                <c:smooth val="0"/>
                <c:extLst xmlns:c15="http://schemas.microsoft.com/office/drawing/2012/chart">
                  <c:ext xmlns:c16="http://schemas.microsoft.com/office/drawing/2014/chart" uri="{C3380CC4-5D6E-409C-BE32-E72D297353CC}">
                    <c16:uniqueId val="{00000003-F76B-4469-9D72-D8778E222D0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Acueducto!$E$30</c15:sqref>
                        </c15:formulaRef>
                      </c:ext>
                    </c:extLst>
                    <c:strCache>
                      <c:ptCount val="1"/>
                      <c:pt idx="0">
                        <c:v>Terminación del contrato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Acueducto!$F$24:$Q$24</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Acueducto!$F$30:$Q$30</c15:sqref>
                        </c15:formulaRef>
                      </c:ext>
                    </c:extLst>
                    <c:numCache>
                      <c:formatCode>General</c:formatCode>
                      <c:ptCount val="12"/>
                      <c:pt idx="0">
                        <c:v>1</c:v>
                      </c:pt>
                      <c:pt idx="1">
                        <c:v>1</c:v>
                      </c:pt>
                      <c:pt idx="2">
                        <c:v>3</c:v>
                      </c:pt>
                      <c:pt idx="3">
                        <c:v>2</c:v>
                      </c:pt>
                      <c:pt idx="4">
                        <c:v>3</c:v>
                      </c:pt>
                      <c:pt idx="5">
                        <c:v>0</c:v>
                      </c:pt>
                      <c:pt idx="6">
                        <c:v>1</c:v>
                      </c:pt>
                      <c:pt idx="7">
                        <c:v>4</c:v>
                      </c:pt>
                    </c:numCache>
                  </c:numRef>
                </c:val>
                <c:smooth val="0"/>
                <c:extLst xmlns:c15="http://schemas.microsoft.com/office/drawing/2012/chart">
                  <c:ext xmlns:c16="http://schemas.microsoft.com/office/drawing/2014/chart" uri="{C3380CC4-5D6E-409C-BE32-E72D297353CC}">
                    <c16:uniqueId val="{00000004-F76B-4469-9D72-D8778E222D0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Acueducto!$E$31</c15:sqref>
                        </c15:formulaRef>
                      </c:ext>
                    </c:extLst>
                    <c:strCache>
                      <c:ptCount val="1"/>
                      <c:pt idx="0">
                        <c:v>Variaciones en las características del suministro o prestación del servicio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Acueducto!$F$24:$Q$24</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Acueducto!$F$31:$Q$31</c15:sqref>
                        </c15:formulaRef>
                      </c:ext>
                    </c:extLst>
                    <c:numCache>
                      <c:formatCode>General</c:formatCode>
                      <c:ptCount val="12"/>
                      <c:pt idx="0">
                        <c:v>7</c:v>
                      </c:pt>
                      <c:pt idx="1">
                        <c:v>11</c:v>
                      </c:pt>
                      <c:pt idx="2">
                        <c:v>8</c:v>
                      </c:pt>
                      <c:pt idx="3">
                        <c:v>8</c:v>
                      </c:pt>
                      <c:pt idx="4">
                        <c:v>6</c:v>
                      </c:pt>
                      <c:pt idx="5">
                        <c:v>2</c:v>
                      </c:pt>
                      <c:pt idx="6">
                        <c:v>27</c:v>
                      </c:pt>
                      <c:pt idx="7">
                        <c:v>16</c:v>
                      </c:pt>
                    </c:numCache>
                  </c:numRef>
                </c:val>
                <c:smooth val="0"/>
                <c:extLst xmlns:c15="http://schemas.microsoft.com/office/drawing/2012/chart">
                  <c:ext xmlns:c16="http://schemas.microsoft.com/office/drawing/2014/chart" uri="{C3380CC4-5D6E-409C-BE32-E72D297353CC}">
                    <c16:uniqueId val="{00000005-F76B-4469-9D72-D8778E222D0A}"/>
                  </c:ext>
                </c:extLst>
              </c15:ser>
            </c15:filteredLineSeries>
          </c:ext>
        </c:extLst>
      </c:lineChart>
      <c:dateAx>
        <c:axId val="88689547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391552"/>
        <c:crosses val="autoZero"/>
        <c:auto val="1"/>
        <c:lblOffset val="100"/>
        <c:baseTimeUnit val="months"/>
      </c:dateAx>
      <c:valAx>
        <c:axId val="84339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89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RECLAMOS ACUEDUCTO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1840635305202238E-2"/>
          <c:y val="0.22806863192380356"/>
          <c:w val="0.90286351706036749"/>
          <c:h val="0.64601381019284021"/>
        </c:manualLayout>
      </c:layout>
      <c:lineChart>
        <c:grouping val="standard"/>
        <c:varyColors val="0"/>
        <c:ser>
          <c:idx val="6"/>
          <c:order val="6"/>
          <c:tx>
            <c:strRef>
              <c:f>Acueducto!$E$61</c:f>
              <c:strCache>
                <c:ptCount val="1"/>
                <c:pt idx="0">
                  <c:v>Total</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ext>
              </c:extLst>
              <c:f>Acueducto!$F$43:$Q$43</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Acueducto!$F$61:$R$61</c15:sqref>
                  </c15:fullRef>
                </c:ext>
              </c:extLst>
              <c:f>Acueducto!$F$61:$Q$61</c:f>
              <c:numCache>
                <c:formatCode>General</c:formatCode>
                <c:ptCount val="12"/>
                <c:pt idx="0">
                  <c:v>28</c:v>
                </c:pt>
                <c:pt idx="1">
                  <c:v>22</c:v>
                </c:pt>
                <c:pt idx="2">
                  <c:v>49</c:v>
                </c:pt>
                <c:pt idx="3">
                  <c:v>66</c:v>
                </c:pt>
                <c:pt idx="4">
                  <c:v>52</c:v>
                </c:pt>
                <c:pt idx="5">
                  <c:v>45</c:v>
                </c:pt>
                <c:pt idx="6">
                  <c:v>77</c:v>
                </c:pt>
                <c:pt idx="7">
                  <c:v>50</c:v>
                </c:pt>
                <c:pt idx="8">
                  <c:v>0</c:v>
                </c:pt>
                <c:pt idx="9">
                  <c:v>0</c:v>
                </c:pt>
              </c:numCache>
            </c:numRef>
          </c:val>
          <c:smooth val="0"/>
          <c:extLst>
            <c:ext xmlns:c16="http://schemas.microsoft.com/office/drawing/2014/chart" uri="{C3380CC4-5D6E-409C-BE32-E72D297353CC}">
              <c16:uniqueId val="{00000000-C00A-4F10-9B7F-FFEDECB854C9}"/>
            </c:ext>
          </c:extLst>
        </c:ser>
        <c:dLbls>
          <c:dLblPos val="t"/>
          <c:showLegendKey val="0"/>
          <c:showVal val="1"/>
          <c:showCatName val="0"/>
          <c:showSerName val="0"/>
          <c:showPercent val="0"/>
          <c:showBubbleSize val="0"/>
        </c:dLbls>
        <c:smooth val="0"/>
        <c:axId val="799660512"/>
        <c:axId val="696429487"/>
        <c:extLst>
          <c:ext xmlns:c15="http://schemas.microsoft.com/office/drawing/2012/chart" uri="{02D57815-91ED-43cb-92C2-25804820EDAC}">
            <c15:filteredLineSeries>
              <c15:ser>
                <c:idx val="0"/>
                <c:order val="0"/>
                <c:tx>
                  <c:strRef>
                    <c:extLst>
                      <c:ext uri="{02D57815-91ED-43cb-92C2-25804820EDAC}">
                        <c15:formulaRef>
                          <c15:sqref>Acueducto!$E$46</c15:sqref>
                        </c15:formulaRef>
                      </c:ext>
                    </c:extLst>
                    <c:strCache>
                      <c:ptCount val="1"/>
                      <c:pt idx="0">
                        <c:v>Cobro de otros bienes o servicios en la factura, no autorizados por el usuario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Acueducto!$F$46:$R$46</c15:sqref>
                        </c15:fullRef>
                        <c15:formulaRef>
                          <c15:sqref>Acueducto!$F$46:$Q$46</c15:sqref>
                        </c15:formulaRef>
                      </c:ext>
                    </c:extLst>
                    <c:numCache>
                      <c:formatCode>General</c:formatCode>
                      <c:ptCount val="12"/>
                      <c:pt idx="0">
                        <c:v>3</c:v>
                      </c:pt>
                      <c:pt idx="1">
                        <c:v>0</c:v>
                      </c:pt>
                      <c:pt idx="2">
                        <c:v>0</c:v>
                      </c:pt>
                      <c:pt idx="3">
                        <c:v>2</c:v>
                      </c:pt>
                      <c:pt idx="4">
                        <c:v>0</c:v>
                      </c:pt>
                      <c:pt idx="5">
                        <c:v>1</c:v>
                      </c:pt>
                      <c:pt idx="6">
                        <c:v>0</c:v>
                      </c:pt>
                      <c:pt idx="7">
                        <c:v>2</c:v>
                      </c:pt>
                    </c:numCache>
                  </c:numRef>
                </c:val>
                <c:smooth val="0"/>
                <c:extLst>
                  <c:ext xmlns:c16="http://schemas.microsoft.com/office/drawing/2014/chart" uri="{C3380CC4-5D6E-409C-BE32-E72D297353CC}">
                    <c16:uniqueId val="{00000001-C00A-4F10-9B7F-FFEDECB854C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Acueducto!$E$50</c15:sqref>
                        </c15:formulaRef>
                      </c:ext>
                    </c:extLst>
                    <c:strCache>
                      <c:ptCount val="1"/>
                      <c:pt idx="0">
                        <c:v>Cobros por conexión, reconexión, reinstalación.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Acueducto!$F$50:$R$50</c15:sqref>
                        </c15:fullRef>
                        <c15:formulaRef>
                          <c15:sqref>Acueducto!$F$50:$Q$50</c15:sqref>
                        </c15:formulaRef>
                      </c:ext>
                    </c:extLst>
                    <c:numCache>
                      <c:formatCode>General</c:formatCode>
                      <c:ptCount val="12"/>
                      <c:pt idx="0">
                        <c:v>0</c:v>
                      </c:pt>
                      <c:pt idx="1">
                        <c:v>2</c:v>
                      </c:pt>
                      <c:pt idx="2">
                        <c:v>3</c:v>
                      </c:pt>
                      <c:pt idx="3">
                        <c:v>1</c:v>
                      </c:pt>
                      <c:pt idx="4">
                        <c:v>2</c:v>
                      </c:pt>
                      <c:pt idx="5">
                        <c:v>3</c:v>
                      </c:pt>
                      <c:pt idx="6">
                        <c:v>5</c:v>
                      </c:pt>
                      <c:pt idx="7">
                        <c:v>1</c:v>
                      </c:pt>
                    </c:numCache>
                  </c:numRef>
                </c:val>
                <c:smooth val="0"/>
                <c:extLst xmlns:c15="http://schemas.microsoft.com/office/drawing/2012/chart">
                  <c:ext xmlns:c16="http://schemas.microsoft.com/office/drawing/2014/chart" uri="{C3380CC4-5D6E-409C-BE32-E72D297353CC}">
                    <c16:uniqueId val="{00000002-C00A-4F10-9B7F-FFEDECB854C9}"/>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Acueducto!$E$52</c15:sqref>
                        </c15:formulaRef>
                      </c:ext>
                    </c:extLst>
                    <c:strCache>
                      <c:ptCount val="1"/>
                      <c:pt idx="0">
                        <c:v>Cobros por promedio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Acueducto!$F$52:$R$52</c15:sqref>
                        </c15:fullRef>
                        <c15:formulaRef>
                          <c15:sqref>Acueducto!$F$52:$Q$52</c15:sqref>
                        </c15:formulaRef>
                      </c:ext>
                    </c:extLst>
                    <c:numCache>
                      <c:formatCode>General</c:formatCode>
                      <c:ptCount val="12"/>
                      <c:pt idx="0">
                        <c:v>4</c:v>
                      </c:pt>
                      <c:pt idx="1">
                        <c:v>0</c:v>
                      </c:pt>
                      <c:pt idx="2">
                        <c:v>4</c:v>
                      </c:pt>
                      <c:pt idx="3">
                        <c:v>4</c:v>
                      </c:pt>
                      <c:pt idx="4">
                        <c:v>4</c:v>
                      </c:pt>
                      <c:pt idx="5">
                        <c:v>4</c:v>
                      </c:pt>
                      <c:pt idx="6">
                        <c:v>1</c:v>
                      </c:pt>
                      <c:pt idx="7">
                        <c:v>1</c:v>
                      </c:pt>
                    </c:numCache>
                  </c:numRef>
                </c:val>
                <c:smooth val="0"/>
                <c:extLst xmlns:c15="http://schemas.microsoft.com/office/drawing/2012/chart">
                  <c:ext xmlns:c16="http://schemas.microsoft.com/office/drawing/2014/chart" uri="{C3380CC4-5D6E-409C-BE32-E72D297353CC}">
                    <c16:uniqueId val="{00000003-C00A-4F10-9B7F-FFEDECB854C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Acueducto!$E$55</c15:sqref>
                        </c15:formulaRef>
                      </c:ext>
                    </c:extLst>
                    <c:strCache>
                      <c:ptCount val="1"/>
                      <c:pt idx="0">
                        <c:v>Inconformidad con la medición del consumo o producción facturado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Acueducto!$F$55:$R$55</c15:sqref>
                        </c15:fullRef>
                        <c15:formulaRef>
                          <c15:sqref>Acueducto!$F$55:$Q$55</c15:sqref>
                        </c15:formulaRef>
                      </c:ext>
                    </c:extLst>
                    <c:numCache>
                      <c:formatCode>General</c:formatCode>
                      <c:ptCount val="12"/>
                      <c:pt idx="0">
                        <c:v>1</c:v>
                      </c:pt>
                      <c:pt idx="1">
                        <c:v>3</c:v>
                      </c:pt>
                      <c:pt idx="2">
                        <c:v>6</c:v>
                      </c:pt>
                      <c:pt idx="3">
                        <c:v>21</c:v>
                      </c:pt>
                      <c:pt idx="4">
                        <c:v>6</c:v>
                      </c:pt>
                      <c:pt idx="5">
                        <c:v>9</c:v>
                      </c:pt>
                      <c:pt idx="6">
                        <c:v>8</c:v>
                      </c:pt>
                      <c:pt idx="7">
                        <c:v>7</c:v>
                      </c:pt>
                    </c:numCache>
                  </c:numRef>
                </c:val>
                <c:smooth val="0"/>
                <c:extLst xmlns:c15="http://schemas.microsoft.com/office/drawing/2012/chart">
                  <c:ext xmlns:c16="http://schemas.microsoft.com/office/drawing/2014/chart" uri="{C3380CC4-5D6E-409C-BE32-E72D297353CC}">
                    <c16:uniqueId val="{00000004-C00A-4F10-9B7F-FFEDECB854C9}"/>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Acueducto!$E$56</c15:sqref>
                        </c15:formulaRef>
                      </c:ext>
                    </c:extLst>
                    <c:strCache>
                      <c:ptCount val="1"/>
                      <c:pt idx="0">
                        <c:v>Inconformidad por desviaciòn significativa de consumo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Acueducto!$F$56:$R$56</c15:sqref>
                        </c15:fullRef>
                        <c15:formulaRef>
                          <c15:sqref>Acueducto!$F$56:$Q$56</c15:sqref>
                        </c15:formulaRef>
                      </c:ext>
                    </c:extLst>
                    <c:numCache>
                      <c:formatCode>General</c:formatCode>
                      <c:ptCount val="12"/>
                      <c:pt idx="0">
                        <c:v>15</c:v>
                      </c:pt>
                      <c:pt idx="1">
                        <c:v>14</c:v>
                      </c:pt>
                      <c:pt idx="2">
                        <c:v>0</c:v>
                      </c:pt>
                      <c:pt idx="3">
                        <c:v>0</c:v>
                      </c:pt>
                      <c:pt idx="4">
                        <c:v>30</c:v>
                      </c:pt>
                      <c:pt idx="5">
                        <c:v>15</c:v>
                      </c:pt>
                      <c:pt idx="6">
                        <c:v>41</c:v>
                      </c:pt>
                      <c:pt idx="7">
                        <c:v>25</c:v>
                      </c:pt>
                    </c:numCache>
                  </c:numRef>
                </c:val>
                <c:smooth val="0"/>
                <c:extLst xmlns:c15="http://schemas.microsoft.com/office/drawing/2012/chart">
                  <c:ext xmlns:c16="http://schemas.microsoft.com/office/drawing/2014/chart" uri="{C3380CC4-5D6E-409C-BE32-E72D297353CC}">
                    <c16:uniqueId val="{00000005-C00A-4F10-9B7F-FFEDECB854C9}"/>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Acueducto!$E$59</c15:sqref>
                        </c15:formulaRef>
                      </c:ext>
                    </c:extLst>
                    <c:strCache>
                      <c:ptCount val="1"/>
                      <c:pt idx="0">
                        <c:v>Suscriptor que efectúa el pago pero este no es aplicado por la empresa en la facturación</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Acueducto!$F$43:$R$43</c15:sqref>
                        </c15:fullRef>
                        <c15:formulaRef>
                          <c15:sqref>Acueducto!$F$43:$Q$43</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Acueducto!$F$59:$R$59</c15:sqref>
                        </c15:fullRef>
                        <c15:formulaRef>
                          <c15:sqref>Acueducto!$F$59:$Q$59</c15:sqref>
                        </c15:formulaRef>
                      </c:ext>
                    </c:extLst>
                    <c:numCache>
                      <c:formatCode>General</c:formatCode>
                      <c:ptCount val="12"/>
                      <c:pt idx="0">
                        <c:v>4</c:v>
                      </c:pt>
                      <c:pt idx="1">
                        <c:v>3</c:v>
                      </c:pt>
                      <c:pt idx="2">
                        <c:v>8</c:v>
                      </c:pt>
                      <c:pt idx="3">
                        <c:v>3</c:v>
                      </c:pt>
                      <c:pt idx="4">
                        <c:v>4</c:v>
                      </c:pt>
                      <c:pt idx="5">
                        <c:v>7</c:v>
                      </c:pt>
                      <c:pt idx="6">
                        <c:v>10</c:v>
                      </c:pt>
                      <c:pt idx="7">
                        <c:v>3</c:v>
                      </c:pt>
                    </c:numCache>
                  </c:numRef>
                </c:val>
                <c:smooth val="0"/>
                <c:extLst xmlns:c15="http://schemas.microsoft.com/office/drawing/2012/chart">
                  <c:ext xmlns:c16="http://schemas.microsoft.com/office/drawing/2014/chart" uri="{C3380CC4-5D6E-409C-BE32-E72D297353CC}">
                    <c16:uniqueId val="{00000006-C00A-4F10-9B7F-FFEDECB854C9}"/>
                  </c:ext>
                </c:extLst>
              </c15:ser>
            </c15:filteredLineSeries>
          </c:ext>
        </c:extLst>
      </c:lineChart>
      <c:dateAx>
        <c:axId val="7996605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6429487"/>
        <c:crosses val="autoZero"/>
        <c:auto val="1"/>
        <c:lblOffset val="100"/>
        <c:baseTimeUnit val="months"/>
      </c:dateAx>
      <c:valAx>
        <c:axId val="69642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966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PETICIONES ACUEDUCTO</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59928702941983E-2"/>
          <c:y val="0.15306495529126388"/>
          <c:w val="0.90286351706036749"/>
          <c:h val="0.72088764946048411"/>
        </c:manualLayout>
      </c:layout>
      <c:lineChart>
        <c:grouping val="standard"/>
        <c:varyColors val="0"/>
        <c:ser>
          <c:idx val="6"/>
          <c:order val="6"/>
          <c:tx>
            <c:strRef>
              <c:f>Acueducto!$E$13</c:f>
              <c:strCache>
                <c:ptCount val="1"/>
                <c:pt idx="0">
                  <c:v>Total</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Acueducto!$F$6:$Q$6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Acueducto!$F$13:$Q$13</c:f>
              <c:numCache>
                <c:formatCode>General</c:formatCode>
                <c:ptCount val="12"/>
                <c:pt idx="0">
                  <c:v>83</c:v>
                </c:pt>
                <c:pt idx="1">
                  <c:v>81</c:v>
                </c:pt>
                <c:pt idx="2">
                  <c:v>67</c:v>
                </c:pt>
                <c:pt idx="3">
                  <c:v>112</c:v>
                </c:pt>
                <c:pt idx="4">
                  <c:v>72</c:v>
                </c:pt>
                <c:pt idx="5">
                  <c:v>78</c:v>
                </c:pt>
                <c:pt idx="6">
                  <c:v>88</c:v>
                </c:pt>
                <c:pt idx="7">
                  <c:v>55</c:v>
                </c:pt>
              </c:numCache>
              <c:extLst/>
            </c:numRef>
          </c:val>
          <c:smooth val="0"/>
          <c:extLst>
            <c:ext xmlns:c16="http://schemas.microsoft.com/office/drawing/2014/chart" uri="{C3380CC4-5D6E-409C-BE32-E72D297353CC}">
              <c16:uniqueId val="{00000000-3379-4C90-A926-001178B66090}"/>
            </c:ext>
          </c:extLst>
        </c:ser>
        <c:dLbls>
          <c:dLblPos val="t"/>
          <c:showLegendKey val="0"/>
          <c:showVal val="1"/>
          <c:showCatName val="0"/>
          <c:showSerName val="0"/>
          <c:showPercent val="0"/>
          <c:showBubbleSize val="0"/>
        </c:dLbls>
        <c:smooth val="0"/>
        <c:axId val="799669632"/>
        <c:axId val="827842672"/>
        <c:extLst>
          <c:ext xmlns:c15="http://schemas.microsoft.com/office/drawing/2012/chart" uri="{02D57815-91ED-43cb-92C2-25804820EDAC}">
            <c15:filteredLineSeries>
              <c15:ser>
                <c:idx val="0"/>
                <c:order val="0"/>
                <c:tx>
                  <c:strRef>
                    <c:extLst>
                      <c:ext uri="{02D57815-91ED-43cb-92C2-25804820EDAC}">
                        <c15:formulaRef>
                          <c15:sqref>Acueducto!$E$7</c15:sqref>
                        </c15:formulaRef>
                      </c:ext>
                    </c:extLst>
                    <c:strCache>
                      <c:ptCount val="1"/>
                      <c:pt idx="0">
                        <c:v>Cambio de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Acueducto!$F$7:$Q$7</c15:sqref>
                        </c15:formulaRef>
                      </c:ext>
                    </c:extLst>
                    <c:numCache>
                      <c:formatCode>General</c:formatCode>
                      <c:ptCount val="12"/>
                      <c:pt idx="0">
                        <c:v>1</c:v>
                      </c:pt>
                      <c:pt idx="1">
                        <c:v>1</c:v>
                      </c:pt>
                      <c:pt idx="2">
                        <c:v>2</c:v>
                      </c:pt>
                      <c:pt idx="3">
                        <c:v>3</c:v>
                      </c:pt>
                      <c:pt idx="4">
                        <c:v>2</c:v>
                      </c:pt>
                      <c:pt idx="5">
                        <c:v>2</c:v>
                      </c:pt>
                      <c:pt idx="6">
                        <c:v>2</c:v>
                      </c:pt>
                      <c:pt idx="7">
                        <c:v>0</c:v>
                      </c:pt>
                    </c:numCache>
                  </c:numRef>
                </c:val>
                <c:smooth val="0"/>
                <c:extLst>
                  <c:ext xmlns:c16="http://schemas.microsoft.com/office/drawing/2014/chart" uri="{C3380CC4-5D6E-409C-BE32-E72D297353CC}">
                    <c16:uniqueId val="{00000001-3379-4C90-A926-001178B6609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Acueducto!$E$8</c15:sqref>
                        </c15:formulaRef>
                      </c:ext>
                    </c:extLst>
                    <c:strCache>
                      <c:ptCount val="1"/>
                      <c:pt idx="0">
                        <c:v>Datos Generales Incorrectos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Acueducto!$F$8:$Q$8</c15:sqref>
                        </c15:formulaRef>
                      </c:ext>
                    </c:extLst>
                    <c:numCache>
                      <c:formatCode>General</c:formatCode>
                      <c:ptCount val="12"/>
                      <c:pt idx="0">
                        <c:v>19</c:v>
                      </c:pt>
                      <c:pt idx="1">
                        <c:v>31</c:v>
                      </c:pt>
                      <c:pt idx="2">
                        <c:v>19</c:v>
                      </c:pt>
                      <c:pt idx="3">
                        <c:v>24</c:v>
                      </c:pt>
                      <c:pt idx="4">
                        <c:v>14</c:v>
                      </c:pt>
                      <c:pt idx="5">
                        <c:v>13</c:v>
                      </c:pt>
                      <c:pt idx="6">
                        <c:v>27</c:v>
                      </c:pt>
                      <c:pt idx="7">
                        <c:v>6</c:v>
                      </c:pt>
                    </c:numCache>
                  </c:numRef>
                </c:val>
                <c:smooth val="0"/>
                <c:extLst xmlns:c15="http://schemas.microsoft.com/office/drawing/2012/chart">
                  <c:ext xmlns:c16="http://schemas.microsoft.com/office/drawing/2014/chart" uri="{C3380CC4-5D6E-409C-BE32-E72D297353CC}">
                    <c16:uniqueId val="{00000002-3379-4C90-A926-001178B6609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Acueducto!$E$9</c15:sqref>
                        </c15:formulaRef>
                      </c:ext>
                    </c:extLst>
                    <c:strCache>
                      <c:ptCount val="1"/>
                      <c:pt idx="0">
                        <c:v>Reubicar Medidor</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Acueducto!$F$9:$Q$9</c15:sqref>
                        </c15:formulaRef>
                      </c:ext>
                    </c:extLst>
                    <c:numCache>
                      <c:formatCode>General</c:formatCode>
                      <c:ptCount val="12"/>
                      <c:pt idx="0">
                        <c:v>0</c:v>
                      </c:pt>
                      <c:pt idx="1">
                        <c:v>1</c:v>
                      </c:pt>
                      <c:pt idx="2">
                        <c:v>2</c:v>
                      </c:pt>
                      <c:pt idx="3">
                        <c:v>1</c:v>
                      </c:pt>
                      <c:pt idx="4">
                        <c:v>4</c:v>
                      </c:pt>
                      <c:pt idx="5">
                        <c:v>3</c:v>
                      </c:pt>
                      <c:pt idx="6">
                        <c:v>1</c:v>
                      </c:pt>
                      <c:pt idx="7">
                        <c:v>0</c:v>
                      </c:pt>
                    </c:numCache>
                  </c:numRef>
                </c:val>
                <c:smooth val="0"/>
                <c:extLst xmlns:c15="http://schemas.microsoft.com/office/drawing/2012/chart">
                  <c:ext xmlns:c16="http://schemas.microsoft.com/office/drawing/2014/chart" uri="{C3380CC4-5D6E-409C-BE32-E72D297353CC}">
                    <c16:uniqueId val="{00000003-3379-4C90-A926-001178B6609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Acueducto!$E$10</c15:sqref>
                        </c15:formulaRef>
                      </c:ext>
                    </c:extLst>
                    <c:strCache>
                      <c:ptCount val="1"/>
                      <c:pt idx="0">
                        <c:v>Revisión con Geofono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Acueducto!$F$10:$Q$10</c15:sqref>
                        </c15:formulaRef>
                      </c:ext>
                    </c:extLst>
                    <c:numCache>
                      <c:formatCode>General</c:formatCode>
                      <c:ptCount val="12"/>
                      <c:pt idx="0">
                        <c:v>1</c:v>
                      </c:pt>
                      <c:pt idx="1">
                        <c:v>5</c:v>
                      </c:pt>
                      <c:pt idx="2">
                        <c:v>1</c:v>
                      </c:pt>
                      <c:pt idx="3">
                        <c:v>2</c:v>
                      </c:pt>
                      <c:pt idx="4">
                        <c:v>4</c:v>
                      </c:pt>
                      <c:pt idx="5">
                        <c:v>5</c:v>
                      </c:pt>
                      <c:pt idx="6">
                        <c:v>2</c:v>
                      </c:pt>
                      <c:pt idx="7">
                        <c:v>6</c:v>
                      </c:pt>
                    </c:numCache>
                  </c:numRef>
                </c:val>
                <c:smooth val="0"/>
                <c:extLst xmlns:c15="http://schemas.microsoft.com/office/drawing/2012/chart">
                  <c:ext xmlns:c16="http://schemas.microsoft.com/office/drawing/2014/chart" uri="{C3380CC4-5D6E-409C-BE32-E72D297353CC}">
                    <c16:uniqueId val="{00000004-3379-4C90-A926-001178B66090}"/>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Acueducto!$E$11</c15:sqref>
                        </c15:formulaRef>
                      </c:ext>
                    </c:extLst>
                    <c:strCache>
                      <c:ptCount val="1"/>
                      <c:pt idx="0">
                        <c:v>Solicitud General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Acueducto!$F$11:$Q$11</c15:sqref>
                        </c15:formulaRef>
                      </c:ext>
                    </c:extLst>
                    <c:numCache>
                      <c:formatCode>General</c:formatCode>
                      <c:ptCount val="12"/>
                      <c:pt idx="0">
                        <c:v>31</c:v>
                      </c:pt>
                      <c:pt idx="1">
                        <c:v>21</c:v>
                      </c:pt>
                      <c:pt idx="2">
                        <c:v>24</c:v>
                      </c:pt>
                      <c:pt idx="3">
                        <c:v>20</c:v>
                      </c:pt>
                      <c:pt idx="4">
                        <c:v>21</c:v>
                      </c:pt>
                      <c:pt idx="5">
                        <c:v>34</c:v>
                      </c:pt>
                      <c:pt idx="6">
                        <c:v>35</c:v>
                      </c:pt>
                      <c:pt idx="7">
                        <c:v>29</c:v>
                      </c:pt>
                    </c:numCache>
                  </c:numRef>
                </c:val>
                <c:smooth val="0"/>
                <c:extLst xmlns:c15="http://schemas.microsoft.com/office/drawing/2012/chart">
                  <c:ext xmlns:c16="http://schemas.microsoft.com/office/drawing/2014/chart" uri="{C3380CC4-5D6E-409C-BE32-E72D297353CC}">
                    <c16:uniqueId val="{00000005-3379-4C90-A926-001178B6609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Acueducto!$E$12</c15:sqref>
                        </c15:formulaRef>
                      </c:ext>
                    </c:extLst>
                    <c:strCache>
                      <c:ptCount val="1"/>
                      <c:pt idx="0">
                        <c:v>Vinculación del Servicio</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Acueducto!$F$6:$Q$6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Acueducto!$F$12:$Q$12</c15:sqref>
                        </c15:formulaRef>
                      </c:ext>
                    </c:extLst>
                    <c:numCache>
                      <c:formatCode>General</c:formatCode>
                      <c:ptCount val="12"/>
                      <c:pt idx="0">
                        <c:v>31</c:v>
                      </c:pt>
                      <c:pt idx="1">
                        <c:v>22</c:v>
                      </c:pt>
                      <c:pt idx="2">
                        <c:v>19</c:v>
                      </c:pt>
                      <c:pt idx="3">
                        <c:v>62</c:v>
                      </c:pt>
                      <c:pt idx="4">
                        <c:v>27</c:v>
                      </c:pt>
                      <c:pt idx="5">
                        <c:v>21</c:v>
                      </c:pt>
                      <c:pt idx="6">
                        <c:v>21</c:v>
                      </c:pt>
                      <c:pt idx="7">
                        <c:v>14</c:v>
                      </c:pt>
                    </c:numCache>
                  </c:numRef>
                </c:val>
                <c:smooth val="0"/>
                <c:extLst xmlns:c15="http://schemas.microsoft.com/office/drawing/2012/chart">
                  <c:ext xmlns:c16="http://schemas.microsoft.com/office/drawing/2014/chart" uri="{C3380CC4-5D6E-409C-BE32-E72D297353CC}">
                    <c16:uniqueId val="{00000006-3379-4C90-A926-001178B66090}"/>
                  </c:ext>
                </c:extLst>
              </c15:ser>
            </c15:filteredLineSeries>
          </c:ext>
        </c:extLst>
      </c:lineChart>
      <c:dateAx>
        <c:axId val="7996696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27842672"/>
        <c:crosses val="autoZero"/>
        <c:auto val="1"/>
        <c:lblOffset val="100"/>
        <c:baseTimeUnit val="months"/>
      </c:dateAx>
      <c:valAx>
        <c:axId val="82784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966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s-CO"/>
              <a:t>PQR'S</a:t>
            </a:r>
            <a:r>
              <a:rPr lang="es-CO" baseline="0"/>
              <a:t> ACUEDUCTO</a:t>
            </a:r>
            <a:endParaRPr lang="es-CO"/>
          </a:p>
          <a:p>
            <a:pPr algn="ctr">
              <a:defRPr/>
            </a:pPr>
            <a:r>
              <a:rPr lang="es-CO"/>
              <a:t>ACUMULADO 2026</a:t>
            </a:r>
          </a:p>
        </c:rich>
      </c:tx>
      <c:layout>
        <c:manualLayout>
          <c:xMode val="edge"/>
          <c:yMode val="edge"/>
          <c:x val="0.37393928789204378"/>
          <c:y val="2.31481481481481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3522246082876006"/>
          <c:y val="0.22726851851851851"/>
          <c:w val="0.93888888888888888"/>
          <c:h val="0.6714577865266842"/>
        </c:manualLayout>
      </c:layout>
      <c:doughnutChart>
        <c:varyColors val="1"/>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5-437F-B739-CC7AA9BAC9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5-437F-B739-CC7AA9BAC9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5-437F-B739-CC7AA9BAC95D}"/>
              </c:ext>
            </c:extLst>
          </c:dPt>
          <c:dLbls>
            <c:dLbl>
              <c:idx val="0"/>
              <c:layout>
                <c:manualLayout>
                  <c:x val="0.10505045500849948"/>
                  <c:y val="-5.83734641865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5-437F-B739-CC7AA9BAC95D}"/>
                </c:ext>
              </c:extLst>
            </c:dLbl>
            <c:dLbl>
              <c:idx val="1"/>
              <c:layout>
                <c:manualLayout>
                  <c:x val="-0.12929292929292935"/>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55-437F-B739-CC7AA9BAC95D}"/>
                </c:ext>
              </c:extLst>
            </c:dLbl>
            <c:dLbl>
              <c:idx val="2"/>
              <c:layout>
                <c:manualLayout>
                  <c:x val="-0.12390572390572395"/>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55-437F-B739-CC7AA9BAC9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s>
          <c:cat>
            <c:strRef>
              <c:f>Acueducto!$E$71:$E$73</c:f>
              <c:strCache>
                <c:ptCount val="3"/>
                <c:pt idx="0">
                  <c:v>PETICIONES</c:v>
                </c:pt>
                <c:pt idx="1">
                  <c:v>QUEJAS</c:v>
                </c:pt>
                <c:pt idx="2">
                  <c:v>RECLAMOS</c:v>
                </c:pt>
              </c:strCache>
            </c:strRef>
          </c:cat>
          <c:val>
            <c:numRef>
              <c:f>Acueducto!$G$71:$G$73</c:f>
              <c:numCache>
                <c:formatCode>0%</c:formatCode>
                <c:ptCount val="3"/>
                <c:pt idx="0">
                  <c:v>0.36912362159024958</c:v>
                </c:pt>
                <c:pt idx="1">
                  <c:v>0.40510737086477072</c:v>
                </c:pt>
                <c:pt idx="2">
                  <c:v>0.22576900754497969</c:v>
                </c:pt>
              </c:numCache>
            </c:numRef>
          </c:val>
          <c:extLst xmlns:c15="http://schemas.microsoft.com/office/drawing/2012/chart">
            <c:ext xmlns:c16="http://schemas.microsoft.com/office/drawing/2014/chart" uri="{C3380CC4-5D6E-409C-BE32-E72D297353CC}">
              <c16:uniqueId val="{00000006-D555-437F-B739-CC7AA9BAC95D}"/>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555-437F-B739-CC7AA9BAC9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555-437F-B739-CC7AA9BAC9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555-437F-B739-CC7AA9BAC95D}"/>
                    </c:ext>
                  </c:extLst>
                </c:dPt>
                <c:dLbls>
                  <c:delete val="1"/>
                </c:dLbls>
                <c:cat>
                  <c:strRef>
                    <c:extLst>
                      <c:ext uri="{02D57815-91ED-43cb-92C2-25804820EDAC}">
                        <c15:formulaRef>
                          <c15:sqref>Acueducto!$E$71:$E$73</c15:sqref>
                        </c15:formulaRef>
                      </c:ext>
                    </c:extLst>
                    <c:strCache>
                      <c:ptCount val="3"/>
                      <c:pt idx="0">
                        <c:v>PETICIONES</c:v>
                      </c:pt>
                      <c:pt idx="1">
                        <c:v>QUEJAS</c:v>
                      </c:pt>
                      <c:pt idx="2">
                        <c:v>RECLAMOS</c:v>
                      </c:pt>
                    </c:strCache>
                  </c:strRef>
                </c:cat>
                <c:val>
                  <c:numRef>
                    <c:extLst>
                      <c:ext uri="{02D57815-91ED-43cb-92C2-25804820EDAC}">
                        <c15:formulaRef>
                          <c15:sqref>Acueducto!$F$71:$F$73</c15:sqref>
                        </c15:formulaRef>
                      </c:ext>
                    </c:extLst>
                    <c:numCache>
                      <c:formatCode>General</c:formatCode>
                      <c:ptCount val="3"/>
                      <c:pt idx="0">
                        <c:v>636</c:v>
                      </c:pt>
                      <c:pt idx="1">
                        <c:v>698</c:v>
                      </c:pt>
                      <c:pt idx="2">
                        <c:v>389</c:v>
                      </c:pt>
                    </c:numCache>
                  </c:numRef>
                </c:val>
                <c:extLst>
                  <c:ext xmlns:c16="http://schemas.microsoft.com/office/drawing/2014/chart" uri="{C3380CC4-5D6E-409C-BE32-E72D297353CC}">
                    <c16:uniqueId val="{0000000D-D555-437F-B739-CC7AA9BAC95D}"/>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 ALCANTARILLADO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5"/>
          <c:order val="5"/>
          <c:tx>
            <c:strRef>
              <c:f>Alcantarillado!$D$12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Alcantarillado!$E$6:$J$6</c:f>
              <c:numCache>
                <c:formatCode>mmm\-yy</c:formatCode>
                <c:ptCount val="6"/>
                <c:pt idx="0">
                  <c:v>46023</c:v>
                </c:pt>
                <c:pt idx="1">
                  <c:v>46054</c:v>
                </c:pt>
                <c:pt idx="2">
                  <c:v>46082</c:v>
                </c:pt>
                <c:pt idx="3">
                  <c:v>46113</c:v>
                </c:pt>
                <c:pt idx="4">
                  <c:v>46143</c:v>
                </c:pt>
                <c:pt idx="5">
                  <c:v>46174</c:v>
                </c:pt>
              </c:numCache>
            </c:numRef>
          </c:cat>
          <c:val>
            <c:numRef>
              <c:f>Alcantarillado!$E$12:$J$12</c:f>
              <c:numCache>
                <c:formatCode>General</c:formatCode>
                <c:ptCount val="6"/>
                <c:pt idx="0">
                  <c:v>84</c:v>
                </c:pt>
                <c:pt idx="1">
                  <c:v>73</c:v>
                </c:pt>
                <c:pt idx="2">
                  <c:v>67</c:v>
                </c:pt>
                <c:pt idx="3">
                  <c:v>109</c:v>
                </c:pt>
                <c:pt idx="4">
                  <c:v>63</c:v>
                </c:pt>
                <c:pt idx="5">
                  <c:v>77</c:v>
                </c:pt>
              </c:numCache>
            </c:numRef>
          </c:val>
          <c:smooth val="0"/>
          <c:extLst xmlns:c15="http://schemas.microsoft.com/office/drawing/2012/chart">
            <c:ext xmlns:c16="http://schemas.microsoft.com/office/drawing/2014/chart" uri="{C3380CC4-5D6E-409C-BE32-E72D297353CC}">
              <c16:uniqueId val="{00000000-588A-4D5A-868A-3B7FA4986B28}"/>
            </c:ext>
          </c:extLst>
        </c:ser>
        <c:dLbls>
          <c:dLblPos val="t"/>
          <c:showLegendKey val="0"/>
          <c:showVal val="1"/>
          <c:showCatName val="0"/>
          <c:showSerName val="0"/>
          <c:showPercent val="0"/>
          <c:showBubbleSize val="0"/>
        </c:dLbls>
        <c:smooth val="0"/>
        <c:axId val="886896912"/>
        <c:axId val="843376672"/>
        <c:extLst>
          <c:ext xmlns:c15="http://schemas.microsoft.com/office/drawing/2012/chart" uri="{02D57815-91ED-43cb-92C2-25804820EDAC}">
            <c15:filteredLineSeries>
              <c15:ser>
                <c:idx val="0"/>
                <c:order val="0"/>
                <c:tx>
                  <c:strRef>
                    <c:extLst>
                      <c:ext uri="{02D57815-91ED-43cb-92C2-25804820EDAC}">
                        <c15:formulaRef>
                          <c15:sqref>Alcantarillado!$D$7</c15:sqref>
                        </c15:formulaRef>
                      </c:ext>
                    </c:extLst>
                    <c:strCache>
                      <c:ptCount val="1"/>
                      <c:pt idx="0">
                        <c:v>Cambio de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Alcantarillado!$E$6:$J$6</c15:sqref>
                        </c15:formulaRef>
                      </c:ext>
                    </c:extLst>
                    <c:numCache>
                      <c:formatCode>mmm\-yy</c:formatCode>
                      <c:ptCount val="6"/>
                      <c:pt idx="0">
                        <c:v>46023</c:v>
                      </c:pt>
                      <c:pt idx="1">
                        <c:v>46054</c:v>
                      </c:pt>
                      <c:pt idx="2">
                        <c:v>46082</c:v>
                      </c:pt>
                      <c:pt idx="3">
                        <c:v>46113</c:v>
                      </c:pt>
                      <c:pt idx="4">
                        <c:v>46143</c:v>
                      </c:pt>
                      <c:pt idx="5">
                        <c:v>46174</c:v>
                      </c:pt>
                    </c:numCache>
                  </c:numRef>
                </c:cat>
                <c:val>
                  <c:numRef>
                    <c:extLst>
                      <c:ext uri="{02D57815-91ED-43cb-92C2-25804820EDAC}">
                        <c15:formulaRef>
                          <c15:sqref>Alcantarillado!$E$7:$J$7</c15:sqref>
                        </c15:formulaRef>
                      </c:ext>
                    </c:extLst>
                    <c:numCache>
                      <c:formatCode>General</c:formatCode>
                      <c:ptCount val="6"/>
                      <c:pt idx="0">
                        <c:v>1</c:v>
                      </c:pt>
                      <c:pt idx="1">
                        <c:v>1</c:v>
                      </c:pt>
                      <c:pt idx="2">
                        <c:v>2</c:v>
                      </c:pt>
                      <c:pt idx="3">
                        <c:v>3</c:v>
                      </c:pt>
                      <c:pt idx="4">
                        <c:v>2</c:v>
                      </c:pt>
                      <c:pt idx="5">
                        <c:v>2</c:v>
                      </c:pt>
                    </c:numCache>
                  </c:numRef>
                </c:val>
                <c:smooth val="0"/>
                <c:extLst>
                  <c:ext xmlns:c16="http://schemas.microsoft.com/office/drawing/2014/chart" uri="{C3380CC4-5D6E-409C-BE32-E72D297353CC}">
                    <c16:uniqueId val="{00000001-588A-4D5A-868A-3B7FA4986B28}"/>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Alcantarillado!$D$8</c15:sqref>
                        </c15:formulaRef>
                      </c:ext>
                    </c:extLst>
                    <c:strCache>
                      <c:ptCount val="1"/>
                      <c:pt idx="0">
                        <c:v>Datos Generales Incorrectos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Alcantarillado!$E$6:$J$6</c15:sqref>
                        </c15:formulaRef>
                      </c:ext>
                    </c:extLst>
                    <c:numCache>
                      <c:formatCode>mmm\-yy</c:formatCode>
                      <c:ptCount val="6"/>
                      <c:pt idx="0">
                        <c:v>46023</c:v>
                      </c:pt>
                      <c:pt idx="1">
                        <c:v>46054</c:v>
                      </c:pt>
                      <c:pt idx="2">
                        <c:v>46082</c:v>
                      </c:pt>
                      <c:pt idx="3">
                        <c:v>46113</c:v>
                      </c:pt>
                      <c:pt idx="4">
                        <c:v>46143</c:v>
                      </c:pt>
                      <c:pt idx="5">
                        <c:v>46174</c:v>
                      </c:pt>
                    </c:numCache>
                  </c:numRef>
                </c:cat>
                <c:val>
                  <c:numRef>
                    <c:extLst xmlns:c15="http://schemas.microsoft.com/office/drawing/2012/chart">
                      <c:ext xmlns:c15="http://schemas.microsoft.com/office/drawing/2012/chart" uri="{02D57815-91ED-43cb-92C2-25804820EDAC}">
                        <c15:formulaRef>
                          <c15:sqref>Alcantarillado!$E$8:$J$8</c15:sqref>
                        </c15:formulaRef>
                      </c:ext>
                    </c:extLst>
                    <c:numCache>
                      <c:formatCode>General</c:formatCode>
                      <c:ptCount val="6"/>
                      <c:pt idx="0">
                        <c:v>21</c:v>
                      </c:pt>
                      <c:pt idx="1">
                        <c:v>34</c:v>
                      </c:pt>
                      <c:pt idx="2">
                        <c:v>21</c:v>
                      </c:pt>
                      <c:pt idx="3">
                        <c:v>26</c:v>
                      </c:pt>
                      <c:pt idx="4">
                        <c:v>14</c:v>
                      </c:pt>
                      <c:pt idx="5">
                        <c:v>14</c:v>
                      </c:pt>
                    </c:numCache>
                  </c:numRef>
                </c:val>
                <c:smooth val="0"/>
                <c:extLst xmlns:c15="http://schemas.microsoft.com/office/drawing/2012/chart">
                  <c:ext xmlns:c16="http://schemas.microsoft.com/office/drawing/2014/chart" uri="{C3380CC4-5D6E-409C-BE32-E72D297353CC}">
                    <c16:uniqueId val="{00000002-588A-4D5A-868A-3B7FA4986B2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Alcantarillado!$D$9</c15:sqref>
                        </c15:formulaRef>
                      </c:ext>
                    </c:extLst>
                    <c:strCache>
                      <c:ptCount val="1"/>
                      <c:pt idx="0">
                        <c:v>Revisión con Geofono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Alcantarillado!$E$6:$J$6</c15:sqref>
                        </c15:formulaRef>
                      </c:ext>
                    </c:extLst>
                    <c:numCache>
                      <c:formatCode>mmm\-yy</c:formatCode>
                      <c:ptCount val="6"/>
                      <c:pt idx="0">
                        <c:v>46023</c:v>
                      </c:pt>
                      <c:pt idx="1">
                        <c:v>46054</c:v>
                      </c:pt>
                      <c:pt idx="2">
                        <c:v>46082</c:v>
                      </c:pt>
                      <c:pt idx="3">
                        <c:v>46113</c:v>
                      </c:pt>
                      <c:pt idx="4">
                        <c:v>46143</c:v>
                      </c:pt>
                      <c:pt idx="5">
                        <c:v>46174</c:v>
                      </c:pt>
                    </c:numCache>
                  </c:numRef>
                </c:cat>
                <c:val>
                  <c:numRef>
                    <c:extLst xmlns:c15="http://schemas.microsoft.com/office/drawing/2012/chart">
                      <c:ext xmlns:c15="http://schemas.microsoft.com/office/drawing/2012/chart" uri="{02D57815-91ED-43cb-92C2-25804820EDAC}">
                        <c15:formulaRef>
                          <c15:sqref>Alcantarillado!$E$9:$J$9</c15:sqref>
                        </c15:formulaRef>
                      </c:ext>
                    </c:extLst>
                    <c:numCache>
                      <c:formatCode>General</c:formatCode>
                      <c:ptCount val="6"/>
                      <c:pt idx="0">
                        <c:v>1</c:v>
                      </c:pt>
                      <c:pt idx="1">
                        <c:v>5</c:v>
                      </c:pt>
                      <c:pt idx="2">
                        <c:v>1</c:v>
                      </c:pt>
                      <c:pt idx="3">
                        <c:v>1</c:v>
                      </c:pt>
                      <c:pt idx="4">
                        <c:v>3</c:v>
                      </c:pt>
                      <c:pt idx="5">
                        <c:v>5</c:v>
                      </c:pt>
                    </c:numCache>
                  </c:numRef>
                </c:val>
                <c:smooth val="0"/>
                <c:extLst xmlns:c15="http://schemas.microsoft.com/office/drawing/2012/chart">
                  <c:ext xmlns:c16="http://schemas.microsoft.com/office/drawing/2014/chart" uri="{C3380CC4-5D6E-409C-BE32-E72D297353CC}">
                    <c16:uniqueId val="{00000003-588A-4D5A-868A-3B7FA4986B2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Alcantarillado!$D$10</c15:sqref>
                        </c15:formulaRef>
                      </c:ext>
                    </c:extLst>
                    <c:strCache>
                      <c:ptCount val="1"/>
                      <c:pt idx="0">
                        <c:v>Solicitud General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Alcantarillado!$E$6:$J$6</c15:sqref>
                        </c15:formulaRef>
                      </c:ext>
                    </c:extLst>
                    <c:numCache>
                      <c:formatCode>mmm\-yy</c:formatCode>
                      <c:ptCount val="6"/>
                      <c:pt idx="0">
                        <c:v>46023</c:v>
                      </c:pt>
                      <c:pt idx="1">
                        <c:v>46054</c:v>
                      </c:pt>
                      <c:pt idx="2">
                        <c:v>46082</c:v>
                      </c:pt>
                      <c:pt idx="3">
                        <c:v>46113</c:v>
                      </c:pt>
                      <c:pt idx="4">
                        <c:v>46143</c:v>
                      </c:pt>
                      <c:pt idx="5">
                        <c:v>46174</c:v>
                      </c:pt>
                    </c:numCache>
                  </c:numRef>
                </c:cat>
                <c:val>
                  <c:numRef>
                    <c:extLst xmlns:c15="http://schemas.microsoft.com/office/drawing/2012/chart">
                      <c:ext xmlns:c15="http://schemas.microsoft.com/office/drawing/2012/chart" uri="{02D57815-91ED-43cb-92C2-25804820EDAC}">
                        <c15:formulaRef>
                          <c15:sqref>Alcantarillado!$E$10:$J$10</c15:sqref>
                        </c15:formulaRef>
                      </c:ext>
                    </c:extLst>
                    <c:numCache>
                      <c:formatCode>General</c:formatCode>
                      <c:ptCount val="6"/>
                      <c:pt idx="0">
                        <c:v>28</c:v>
                      </c:pt>
                      <c:pt idx="1">
                        <c:v>18</c:v>
                      </c:pt>
                      <c:pt idx="2">
                        <c:v>25</c:v>
                      </c:pt>
                      <c:pt idx="3">
                        <c:v>21</c:v>
                      </c:pt>
                      <c:pt idx="4">
                        <c:v>18</c:v>
                      </c:pt>
                      <c:pt idx="5">
                        <c:v>35</c:v>
                      </c:pt>
                    </c:numCache>
                  </c:numRef>
                </c:val>
                <c:smooth val="0"/>
                <c:extLst xmlns:c15="http://schemas.microsoft.com/office/drawing/2012/chart">
                  <c:ext xmlns:c16="http://schemas.microsoft.com/office/drawing/2014/chart" uri="{C3380CC4-5D6E-409C-BE32-E72D297353CC}">
                    <c16:uniqueId val="{00000004-588A-4D5A-868A-3B7FA4986B2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Alcantarillado!$D$11</c15:sqref>
                        </c15:formulaRef>
                      </c:ext>
                    </c:extLst>
                    <c:strCache>
                      <c:ptCount val="1"/>
                      <c:pt idx="0">
                        <c:v>Vinculación del Servicio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Alcantarillado!$E$6:$J$6</c15:sqref>
                        </c15:formulaRef>
                      </c:ext>
                    </c:extLst>
                    <c:numCache>
                      <c:formatCode>mmm\-yy</c:formatCode>
                      <c:ptCount val="6"/>
                      <c:pt idx="0">
                        <c:v>46023</c:v>
                      </c:pt>
                      <c:pt idx="1">
                        <c:v>46054</c:v>
                      </c:pt>
                      <c:pt idx="2">
                        <c:v>46082</c:v>
                      </c:pt>
                      <c:pt idx="3">
                        <c:v>46113</c:v>
                      </c:pt>
                      <c:pt idx="4">
                        <c:v>46143</c:v>
                      </c:pt>
                      <c:pt idx="5">
                        <c:v>46174</c:v>
                      </c:pt>
                    </c:numCache>
                  </c:numRef>
                </c:cat>
                <c:val>
                  <c:numRef>
                    <c:extLst xmlns:c15="http://schemas.microsoft.com/office/drawing/2012/chart">
                      <c:ext xmlns:c15="http://schemas.microsoft.com/office/drawing/2012/chart" uri="{02D57815-91ED-43cb-92C2-25804820EDAC}">
                        <c15:formulaRef>
                          <c15:sqref>Alcantarillado!$E$11:$J$11</c15:sqref>
                        </c15:formulaRef>
                      </c:ext>
                    </c:extLst>
                    <c:numCache>
                      <c:formatCode>General</c:formatCode>
                      <c:ptCount val="6"/>
                      <c:pt idx="0">
                        <c:v>33</c:v>
                      </c:pt>
                      <c:pt idx="1">
                        <c:v>15</c:v>
                      </c:pt>
                      <c:pt idx="2">
                        <c:v>18</c:v>
                      </c:pt>
                      <c:pt idx="3">
                        <c:v>58</c:v>
                      </c:pt>
                      <c:pt idx="4">
                        <c:v>26</c:v>
                      </c:pt>
                      <c:pt idx="5">
                        <c:v>21</c:v>
                      </c:pt>
                    </c:numCache>
                  </c:numRef>
                </c:val>
                <c:smooth val="0"/>
                <c:extLst xmlns:c15="http://schemas.microsoft.com/office/drawing/2012/chart">
                  <c:ext xmlns:c16="http://schemas.microsoft.com/office/drawing/2014/chart" uri="{C3380CC4-5D6E-409C-BE32-E72D297353CC}">
                    <c16:uniqueId val="{00000005-588A-4D5A-868A-3B7FA4986B28}"/>
                  </c:ext>
                </c:extLst>
              </c15:ser>
            </c15:filteredLineSeries>
          </c:ext>
        </c:extLst>
      </c:lineChart>
      <c:dateAx>
        <c:axId val="8868969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376672"/>
        <c:crosses val="autoZero"/>
        <c:auto val="1"/>
        <c:lblOffset val="100"/>
        <c:baseTimeUnit val="months"/>
      </c:dateAx>
      <c:valAx>
        <c:axId val="84337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8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QUEJAS ALCANTARILLADO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1986511041629148E-2"/>
          <c:y val="0.19699641108319632"/>
          <c:w val="0.90306546401034593"/>
          <c:h val="0.66153962446976111"/>
        </c:manualLayout>
      </c:layout>
      <c:lineChart>
        <c:grouping val="standard"/>
        <c:varyColors val="0"/>
        <c:ser>
          <c:idx val="2"/>
          <c:order val="2"/>
          <c:tx>
            <c:strRef>
              <c:f>Alcantarillado!$D$31</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Alcantarillado!$E$25:$Q$25</c15:sqref>
                  </c15:fullRef>
                </c:ext>
              </c:extLst>
              <c:f>Alcantarillado!$E$25:$P$25</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Alcantarillado!$E$31:$Q$31</c15:sqref>
                  </c15:fullRef>
                </c:ext>
              </c:extLst>
              <c:f>Alcantarillado!$E$31:$P$31</c:f>
              <c:numCache>
                <c:formatCode>General</c:formatCode>
                <c:ptCount val="12"/>
                <c:pt idx="0">
                  <c:v>34</c:v>
                </c:pt>
                <c:pt idx="1">
                  <c:v>49</c:v>
                </c:pt>
                <c:pt idx="2">
                  <c:v>46</c:v>
                </c:pt>
                <c:pt idx="3">
                  <c:v>74</c:v>
                </c:pt>
                <c:pt idx="4">
                  <c:v>47</c:v>
                </c:pt>
                <c:pt idx="5">
                  <c:v>36</c:v>
                </c:pt>
                <c:pt idx="6">
                  <c:v>78</c:v>
                </c:pt>
                <c:pt idx="7">
                  <c:v>55</c:v>
                </c:pt>
                <c:pt idx="8">
                  <c:v>0</c:v>
                </c:pt>
                <c:pt idx="9">
                  <c:v>0</c:v>
                </c:pt>
                <c:pt idx="10">
                  <c:v>0</c:v>
                </c:pt>
                <c:pt idx="11">
                  <c:v>0</c:v>
                </c:pt>
              </c:numCache>
            </c:numRef>
          </c:val>
          <c:smooth val="0"/>
          <c:extLst>
            <c:ext xmlns:c16="http://schemas.microsoft.com/office/drawing/2014/chart" uri="{C3380CC4-5D6E-409C-BE32-E72D297353CC}">
              <c16:uniqueId val="{00000000-56CE-4D30-90FC-220E63D597C8}"/>
            </c:ext>
          </c:extLst>
        </c:ser>
        <c:dLbls>
          <c:dLblPos val="t"/>
          <c:showLegendKey val="0"/>
          <c:showVal val="1"/>
          <c:showCatName val="0"/>
          <c:showSerName val="0"/>
          <c:showPercent val="0"/>
          <c:showBubbleSize val="0"/>
        </c:dLbls>
        <c:smooth val="0"/>
        <c:axId val="886912272"/>
        <c:axId val="843398000"/>
        <c:extLst>
          <c:ext xmlns:c15="http://schemas.microsoft.com/office/drawing/2012/chart" uri="{02D57815-91ED-43cb-92C2-25804820EDAC}">
            <c15:filteredLineSeries>
              <c15:ser>
                <c:idx val="0"/>
                <c:order val="0"/>
                <c:tx>
                  <c:strRef>
                    <c:extLst>
                      <c:ext uri="{02D57815-91ED-43cb-92C2-25804820EDAC}">
                        <c15:formulaRef>
                          <c15:sqref>Alcantarillado!$D$26</c15:sqref>
                        </c15:formulaRef>
                      </c:ext>
                    </c:extLst>
                    <c:strCache>
                      <c:ptCount val="1"/>
                      <c:pt idx="0">
                        <c:v>Estado de la Infraestructura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Alcantarillado!$E$25:$Q$25</c15:sqref>
                        </c15:fullRef>
                        <c15:formulaRef>
                          <c15:sqref>Alcantarillado!$E$25:$P$25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Alcantarillado!$E$26:$Q$26</c15:sqref>
                        </c15:fullRef>
                        <c15:formulaRef>
                          <c15:sqref>Alcantarillado!$E$26:$P$26</c15:sqref>
                        </c15:formulaRef>
                      </c:ext>
                    </c:extLst>
                    <c:numCache>
                      <c:formatCode>General</c:formatCode>
                      <c:ptCount val="12"/>
                      <c:pt idx="0">
                        <c:v>33</c:v>
                      </c:pt>
                      <c:pt idx="1">
                        <c:v>47</c:v>
                      </c:pt>
                      <c:pt idx="2">
                        <c:v>43</c:v>
                      </c:pt>
                      <c:pt idx="3">
                        <c:v>72</c:v>
                      </c:pt>
                      <c:pt idx="4">
                        <c:v>43</c:v>
                      </c:pt>
                      <c:pt idx="5">
                        <c:v>36</c:v>
                      </c:pt>
                      <c:pt idx="6">
                        <c:v>75</c:v>
                      </c:pt>
                      <c:pt idx="7">
                        <c:v>51</c:v>
                      </c:pt>
                    </c:numCache>
                  </c:numRef>
                </c:val>
                <c:smooth val="0"/>
                <c:extLst>
                  <c:ext xmlns:c16="http://schemas.microsoft.com/office/drawing/2014/chart" uri="{C3380CC4-5D6E-409C-BE32-E72D297353CC}">
                    <c16:uniqueId val="{00000001-56CE-4D30-90FC-220E63D597C8}"/>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Alcantarillado!$D$30</c15:sqref>
                        </c15:formulaRef>
                      </c:ext>
                    </c:extLst>
                    <c:strCache>
                      <c:ptCount val="1"/>
                      <c:pt idx="0">
                        <c:v>Terminación del contrato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Alcantarillado!$E$25:$Q$25</c15:sqref>
                        </c15:fullRef>
                        <c15:formulaRef>
                          <c15:sqref>Alcantarillado!$E$25:$P$25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Alcantarillado!$E$30:$Q$30</c15:sqref>
                        </c15:fullRef>
                        <c15:formulaRef>
                          <c15:sqref>Alcantarillado!$E$30:$P$30</c15:sqref>
                        </c15:formulaRef>
                      </c:ext>
                    </c:extLst>
                    <c:numCache>
                      <c:formatCode>General</c:formatCode>
                      <c:ptCount val="12"/>
                      <c:pt idx="0">
                        <c:v>1</c:v>
                      </c:pt>
                      <c:pt idx="1">
                        <c:v>2</c:v>
                      </c:pt>
                      <c:pt idx="2">
                        <c:v>3</c:v>
                      </c:pt>
                      <c:pt idx="3">
                        <c:v>2</c:v>
                      </c:pt>
                      <c:pt idx="4">
                        <c:v>3</c:v>
                      </c:pt>
                      <c:pt idx="5">
                        <c:v>0</c:v>
                      </c:pt>
                      <c:pt idx="6">
                        <c:v>0</c:v>
                      </c:pt>
                      <c:pt idx="7">
                        <c:v>4</c:v>
                      </c:pt>
                    </c:numCache>
                  </c:numRef>
                </c:val>
                <c:smooth val="0"/>
                <c:extLst xmlns:c15="http://schemas.microsoft.com/office/drawing/2012/chart">
                  <c:ext xmlns:c16="http://schemas.microsoft.com/office/drawing/2014/chart" uri="{C3380CC4-5D6E-409C-BE32-E72D297353CC}">
                    <c16:uniqueId val="{00000002-56CE-4D30-90FC-220E63D597C8}"/>
                  </c:ext>
                </c:extLst>
              </c15:ser>
            </c15:filteredLineSeries>
          </c:ext>
        </c:extLst>
      </c:lineChart>
      <c:dateAx>
        <c:axId val="88691227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398000"/>
        <c:crosses val="autoZero"/>
        <c:auto val="1"/>
        <c:lblOffset val="100"/>
        <c:baseTimeUnit val="months"/>
      </c:dateAx>
      <c:valAx>
        <c:axId val="84339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91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RECLAMOS ALCANTARILLADO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9745464809812488E-2"/>
          <c:y val="0.15190604389773765"/>
          <c:w val="0.87069940559222514"/>
          <c:h val="0.72088764946048411"/>
        </c:manualLayout>
      </c:layout>
      <c:lineChart>
        <c:grouping val="standard"/>
        <c:varyColors val="0"/>
        <c:ser>
          <c:idx val="2"/>
          <c:order val="2"/>
          <c:tx>
            <c:strRef>
              <c:f>Alcantarillado!#REF!</c:f>
              <c:strCache>
                <c:ptCount val="1"/>
                <c:pt idx="0">
                  <c:v>#REF!</c:v>
                </c:pt>
              </c:strCache>
              <c:extLst xmlns:c15="http://schemas.microsoft.com/office/drawing/2012/chart"/>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Alcantarillado!$E$43:$P$43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Alcantarillado!#REF!</c:f>
              <c:numCache>
                <c:formatCode>General</c:formatCode>
                <c:ptCount val="1"/>
                <c:pt idx="0">
                  <c:v>1</c:v>
                </c:pt>
              </c:numCache>
              <c:extLst/>
            </c:numRef>
          </c:val>
          <c:smooth val="0"/>
          <c:extLst xmlns:c15="http://schemas.microsoft.com/office/drawing/2012/chart">
            <c:ext xmlns:c16="http://schemas.microsoft.com/office/drawing/2014/chart" uri="{C3380CC4-5D6E-409C-BE32-E72D297353CC}">
              <c16:uniqueId val="{00000003-0C77-45FF-A6A2-407D444BEC54}"/>
            </c:ext>
          </c:extLst>
        </c:ser>
        <c:ser>
          <c:idx val="7"/>
          <c:order val="7"/>
          <c:tx>
            <c:strRef>
              <c:f>Alcantarillado!$D$59</c:f>
              <c:strCache>
                <c:ptCount val="1"/>
                <c:pt idx="0">
                  <c:v>Total</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Alcantarillado!$E$43:$P$43</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Alcantarillado!$E$59:$P$59</c:f>
              <c:numCache>
                <c:formatCode>General</c:formatCode>
                <c:ptCount val="12"/>
                <c:pt idx="0">
                  <c:v>29</c:v>
                </c:pt>
                <c:pt idx="1">
                  <c:v>25</c:v>
                </c:pt>
                <c:pt idx="2">
                  <c:v>46</c:v>
                </c:pt>
                <c:pt idx="3">
                  <c:v>68</c:v>
                </c:pt>
                <c:pt idx="4">
                  <c:v>51</c:v>
                </c:pt>
                <c:pt idx="5">
                  <c:v>44</c:v>
                </c:pt>
                <c:pt idx="6">
                  <c:v>73</c:v>
                </c:pt>
                <c:pt idx="7">
                  <c:v>47</c:v>
                </c:pt>
                <c:pt idx="8">
                  <c:v>0</c:v>
                </c:pt>
                <c:pt idx="9">
                  <c:v>0</c:v>
                </c:pt>
                <c:pt idx="10">
                  <c:v>0</c:v>
                </c:pt>
                <c:pt idx="11">
                  <c:v>0</c:v>
                </c:pt>
              </c:numCache>
              <c:extLst/>
            </c:numRef>
          </c:val>
          <c:smooth val="0"/>
          <c:extLst>
            <c:ext xmlns:c16="http://schemas.microsoft.com/office/drawing/2014/chart" uri="{C3380CC4-5D6E-409C-BE32-E72D297353CC}">
              <c16:uniqueId val="{00000000-0C77-45FF-A6A2-407D444BEC54}"/>
            </c:ext>
          </c:extLst>
        </c:ser>
        <c:dLbls>
          <c:dLblPos val="t"/>
          <c:showLegendKey val="0"/>
          <c:showVal val="1"/>
          <c:showCatName val="0"/>
          <c:showSerName val="0"/>
          <c:showPercent val="0"/>
          <c:showBubbleSize val="0"/>
        </c:dLbls>
        <c:smooth val="0"/>
        <c:axId val="886911792"/>
        <c:axId val="827852592"/>
        <c:extLst>
          <c:ext xmlns:c15="http://schemas.microsoft.com/office/drawing/2012/chart" uri="{02D57815-91ED-43cb-92C2-25804820EDAC}">
            <c15:filteredLineSeries>
              <c15:ser>
                <c:idx val="0"/>
                <c:order val="0"/>
                <c:tx>
                  <c:strRef>
                    <c:extLst>
                      <c:ext uri="{02D57815-91ED-43cb-92C2-25804820EDAC}">
                        <c15:formulaRef>
                          <c15:sqref>Alcantarillado!$D$47</c15:sqref>
                        </c15:formulaRef>
                      </c:ext>
                    </c:extLst>
                    <c:strCache>
                      <c:ptCount val="1"/>
                      <c:pt idx="0">
                        <c:v>Cobros Inoportunos</c:v>
                      </c:pt>
                    </c:strCache>
                  </c:strRef>
                </c:tx>
                <c:spPr>
                  <a:ln w="28575" cap="rnd">
                    <a:solidFill>
                      <a:schemeClr val="accent1"/>
                    </a:solidFill>
                    <a:round/>
                  </a:ln>
                  <a:effectLst/>
                </c:spPr>
                <c:marker>
                  <c:symbol val="none"/>
                </c:marker>
                <c:dLbls>
                  <c:delete val="1"/>
                </c:dLbls>
                <c:cat>
                  <c:numRef>
                    <c:extLst>
                      <c:ex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Alcantarillado!$E$47:$P$47</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0C77-45FF-A6A2-407D444BEC5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Alcantarillado!$D$51</c15:sqref>
                        </c15:formulaRef>
                      </c:ext>
                    </c:extLst>
                    <c:strCache>
                      <c:ptCount val="1"/>
                      <c:pt idx="0">
                        <c:v>Cobros por promedio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Alcantarillado!$E$51:$P$51</c15:sqref>
                        </c15:formulaRef>
                      </c:ext>
                    </c:extLst>
                    <c:numCache>
                      <c:formatCode>General</c:formatCode>
                      <c:ptCount val="12"/>
                      <c:pt idx="0">
                        <c:v>4</c:v>
                      </c:pt>
                      <c:pt idx="1">
                        <c:v>0</c:v>
                      </c:pt>
                      <c:pt idx="2">
                        <c:v>4</c:v>
                      </c:pt>
                      <c:pt idx="3">
                        <c:v>4</c:v>
                      </c:pt>
                      <c:pt idx="4">
                        <c:v>0</c:v>
                      </c:pt>
                      <c:pt idx="5">
                        <c:v>4</c:v>
                      </c:pt>
                      <c:pt idx="6">
                        <c:v>1</c:v>
                      </c:pt>
                      <c:pt idx="7">
                        <c:v>1</c:v>
                      </c:pt>
                    </c:numCache>
                  </c:numRef>
                </c:val>
                <c:smooth val="0"/>
                <c:extLst xmlns:c15="http://schemas.microsoft.com/office/drawing/2012/chart">
                  <c:ext xmlns:c16="http://schemas.microsoft.com/office/drawing/2014/chart" uri="{C3380CC4-5D6E-409C-BE32-E72D297353CC}">
                    <c16:uniqueId val="{00000002-0C77-45FF-A6A2-407D444BEC5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Alcantarillado!$D$54</c15:sqref>
                        </c15:formulaRef>
                      </c:ext>
                    </c:extLst>
                    <c:strCache>
                      <c:ptCount val="1"/>
                      <c:pt idx="0">
                        <c:v>Inconformidad con la medición del consumo o producción facturado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Alcantarillado!$E$54:$P$54</c15:sqref>
                        </c15:formulaRef>
                      </c:ext>
                    </c:extLst>
                    <c:numCache>
                      <c:formatCode>General</c:formatCode>
                      <c:ptCount val="12"/>
                      <c:pt idx="0">
                        <c:v>1</c:v>
                      </c:pt>
                      <c:pt idx="1">
                        <c:v>3</c:v>
                      </c:pt>
                      <c:pt idx="2">
                        <c:v>6</c:v>
                      </c:pt>
                      <c:pt idx="3">
                        <c:v>21</c:v>
                      </c:pt>
                      <c:pt idx="4">
                        <c:v>6</c:v>
                      </c:pt>
                      <c:pt idx="5">
                        <c:v>9</c:v>
                      </c:pt>
                      <c:pt idx="6">
                        <c:v>7</c:v>
                      </c:pt>
                      <c:pt idx="7">
                        <c:v>7</c:v>
                      </c:pt>
                    </c:numCache>
                  </c:numRef>
                </c:val>
                <c:smooth val="0"/>
                <c:extLst xmlns:c15="http://schemas.microsoft.com/office/drawing/2012/chart">
                  <c:ext xmlns:c16="http://schemas.microsoft.com/office/drawing/2014/chart" uri="{C3380CC4-5D6E-409C-BE32-E72D297353CC}">
                    <c16:uniqueId val="{00000004-0C77-45FF-A6A2-407D444BEC5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Alcantarillado!$D$55</c15:sqref>
                        </c15:formulaRef>
                      </c:ext>
                    </c:extLst>
                    <c:strCache>
                      <c:ptCount val="1"/>
                      <c:pt idx="0">
                        <c:v>Inconformidad por desviaciòn significativa de consumo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Alcantarillado!$E$55:$P$55</c15:sqref>
                        </c15:formulaRef>
                      </c:ext>
                    </c:extLst>
                    <c:numCache>
                      <c:formatCode>General</c:formatCode>
                      <c:ptCount val="12"/>
                      <c:pt idx="0">
                        <c:v>17</c:v>
                      </c:pt>
                      <c:pt idx="1">
                        <c:v>18</c:v>
                      </c:pt>
                      <c:pt idx="2">
                        <c:v>21</c:v>
                      </c:pt>
                      <c:pt idx="3">
                        <c:v>28</c:v>
                      </c:pt>
                      <c:pt idx="4">
                        <c:v>30</c:v>
                      </c:pt>
                      <c:pt idx="5">
                        <c:v>16</c:v>
                      </c:pt>
                      <c:pt idx="6">
                        <c:v>41</c:v>
                      </c:pt>
                      <c:pt idx="7">
                        <c:v>26</c:v>
                      </c:pt>
                    </c:numCache>
                  </c:numRef>
                </c:val>
                <c:smooth val="0"/>
                <c:extLst xmlns:c15="http://schemas.microsoft.com/office/drawing/2012/chart">
                  <c:ext xmlns:c16="http://schemas.microsoft.com/office/drawing/2014/chart" uri="{C3380CC4-5D6E-409C-BE32-E72D297353CC}">
                    <c16:uniqueId val="{00000005-0C77-45FF-A6A2-407D444BEC5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Alcantarillado!$D$56</c15:sqref>
                        </c15:formulaRef>
                      </c:ext>
                    </c:extLst>
                    <c:strCache>
                      <c:ptCount val="1"/>
                      <c:pt idx="0">
                        <c:v>Subsidios y contribucciones</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Alcantarillado!$E$56:$P$56</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6-0C77-45FF-A6A2-407D444BEC5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Alcantarillado!$D$57</c15:sqref>
                        </c15:formulaRef>
                      </c:ext>
                    </c:extLst>
                    <c:strCache>
                      <c:ptCount val="1"/>
                      <c:pt idx="0">
                        <c:v>Suscriptor que efectúa el pago pero este no es aplicado por la empresa en la facturación</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Alcantarillado!$E$43:$P$43</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Alcantarillado!$E$57:$P$57</c15:sqref>
                        </c15:formulaRef>
                      </c:ext>
                    </c:extLst>
                    <c:numCache>
                      <c:formatCode>General</c:formatCode>
                      <c:ptCount val="12"/>
                      <c:pt idx="0">
                        <c:v>4</c:v>
                      </c:pt>
                      <c:pt idx="1">
                        <c:v>4</c:v>
                      </c:pt>
                      <c:pt idx="2">
                        <c:v>8</c:v>
                      </c:pt>
                      <c:pt idx="3">
                        <c:v>3</c:v>
                      </c:pt>
                      <c:pt idx="4">
                        <c:v>5</c:v>
                      </c:pt>
                      <c:pt idx="5">
                        <c:v>7</c:v>
                      </c:pt>
                      <c:pt idx="6">
                        <c:v>9</c:v>
                      </c:pt>
                      <c:pt idx="7">
                        <c:v>3</c:v>
                      </c:pt>
                    </c:numCache>
                  </c:numRef>
                </c:val>
                <c:smooth val="0"/>
                <c:extLst xmlns:c15="http://schemas.microsoft.com/office/drawing/2012/chart">
                  <c:ext xmlns:c16="http://schemas.microsoft.com/office/drawing/2014/chart" uri="{C3380CC4-5D6E-409C-BE32-E72D297353CC}">
                    <c16:uniqueId val="{00000007-0C77-45FF-A6A2-407D444BEC54}"/>
                  </c:ext>
                </c:extLst>
              </c15:ser>
            </c15:filteredLineSeries>
          </c:ext>
        </c:extLst>
      </c:lineChart>
      <c:dateAx>
        <c:axId val="88691179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27852592"/>
        <c:crosses val="autoZero"/>
        <c:auto val="1"/>
        <c:lblOffset val="100"/>
        <c:baseTimeUnit val="months"/>
      </c:dateAx>
      <c:valAx>
        <c:axId val="8278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91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 ALCANTARILLADO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5.6127760746139066E-2"/>
          <c:y val="0.21616592999251499"/>
          <c:w val="0.91807083031593517"/>
          <c:h val="0.66705100577684329"/>
        </c:manualLayout>
      </c:layout>
      <c:lineChart>
        <c:grouping val="standard"/>
        <c:varyColors val="0"/>
        <c:ser>
          <c:idx val="5"/>
          <c:order val="5"/>
          <c:tx>
            <c:strRef>
              <c:f>Alcantarillado!$D$12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Alcantarillado!$E$6:$P$6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Alcantarillado!$E$12:$P$12</c:f>
              <c:numCache>
                <c:formatCode>General</c:formatCode>
                <c:ptCount val="12"/>
                <c:pt idx="0">
                  <c:v>84</c:v>
                </c:pt>
                <c:pt idx="1">
                  <c:v>73</c:v>
                </c:pt>
                <c:pt idx="2">
                  <c:v>67</c:v>
                </c:pt>
                <c:pt idx="3">
                  <c:v>109</c:v>
                </c:pt>
                <c:pt idx="4">
                  <c:v>63</c:v>
                </c:pt>
                <c:pt idx="5">
                  <c:v>77</c:v>
                </c:pt>
                <c:pt idx="6">
                  <c:v>85</c:v>
                </c:pt>
                <c:pt idx="7">
                  <c:v>56</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0-42DD-417C-936D-41A737582125}"/>
            </c:ext>
          </c:extLst>
        </c:ser>
        <c:dLbls>
          <c:dLblPos val="t"/>
          <c:showLegendKey val="0"/>
          <c:showVal val="1"/>
          <c:showCatName val="0"/>
          <c:showSerName val="0"/>
          <c:showPercent val="0"/>
          <c:showBubbleSize val="0"/>
        </c:dLbls>
        <c:smooth val="0"/>
        <c:axId val="886896912"/>
        <c:axId val="843376672"/>
        <c:extLst>
          <c:ext xmlns:c15="http://schemas.microsoft.com/office/drawing/2012/chart" uri="{02D57815-91ED-43cb-92C2-25804820EDAC}">
            <c15:filteredLineSeries>
              <c15:ser>
                <c:idx val="0"/>
                <c:order val="0"/>
                <c:tx>
                  <c:strRef>
                    <c:extLst>
                      <c:ext uri="{02D57815-91ED-43cb-92C2-25804820EDAC}">
                        <c15:formulaRef>
                          <c15:sqref>Alcantarillado!$D$7</c15:sqref>
                        </c15:formulaRef>
                      </c:ext>
                    </c:extLst>
                    <c:strCache>
                      <c:ptCount val="1"/>
                      <c:pt idx="0">
                        <c:v>Cambio de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Alcantarillado!$E$6:$P$6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Alcantarillado!$E$7:$P$7</c15:sqref>
                        </c15:formulaRef>
                      </c:ext>
                    </c:extLst>
                    <c:numCache>
                      <c:formatCode>General</c:formatCode>
                      <c:ptCount val="12"/>
                      <c:pt idx="0">
                        <c:v>1</c:v>
                      </c:pt>
                      <c:pt idx="1">
                        <c:v>1</c:v>
                      </c:pt>
                      <c:pt idx="2">
                        <c:v>2</c:v>
                      </c:pt>
                      <c:pt idx="3">
                        <c:v>3</c:v>
                      </c:pt>
                      <c:pt idx="4">
                        <c:v>2</c:v>
                      </c:pt>
                      <c:pt idx="5">
                        <c:v>2</c:v>
                      </c:pt>
                      <c:pt idx="6">
                        <c:v>2</c:v>
                      </c:pt>
                      <c:pt idx="7">
                        <c:v>0</c:v>
                      </c:pt>
                    </c:numCache>
                  </c:numRef>
                </c:val>
                <c:smooth val="0"/>
                <c:extLst>
                  <c:ext xmlns:c16="http://schemas.microsoft.com/office/drawing/2014/chart" uri="{C3380CC4-5D6E-409C-BE32-E72D297353CC}">
                    <c16:uniqueId val="{00000001-42DD-417C-936D-41A737582125}"/>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Alcantarillado!$D$8</c15:sqref>
                        </c15:formulaRef>
                      </c:ext>
                    </c:extLst>
                    <c:strCache>
                      <c:ptCount val="1"/>
                      <c:pt idx="0">
                        <c:v>Datos Generales Incorrectos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Alcantarillado!$E$6:$P$6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Alcantarillado!$E$8:$P$8</c15:sqref>
                        </c15:formulaRef>
                      </c:ext>
                    </c:extLst>
                    <c:numCache>
                      <c:formatCode>General</c:formatCode>
                      <c:ptCount val="12"/>
                      <c:pt idx="0">
                        <c:v>21</c:v>
                      </c:pt>
                      <c:pt idx="1">
                        <c:v>34</c:v>
                      </c:pt>
                      <c:pt idx="2">
                        <c:v>21</c:v>
                      </c:pt>
                      <c:pt idx="3">
                        <c:v>26</c:v>
                      </c:pt>
                      <c:pt idx="4">
                        <c:v>14</c:v>
                      </c:pt>
                      <c:pt idx="5">
                        <c:v>14</c:v>
                      </c:pt>
                      <c:pt idx="6">
                        <c:v>28</c:v>
                      </c:pt>
                      <c:pt idx="7">
                        <c:v>7</c:v>
                      </c:pt>
                    </c:numCache>
                  </c:numRef>
                </c:val>
                <c:smooth val="0"/>
                <c:extLst xmlns:c15="http://schemas.microsoft.com/office/drawing/2012/chart">
                  <c:ext xmlns:c16="http://schemas.microsoft.com/office/drawing/2014/chart" uri="{C3380CC4-5D6E-409C-BE32-E72D297353CC}">
                    <c16:uniqueId val="{00000002-42DD-417C-936D-41A737582125}"/>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Alcantarillado!$D$9</c15:sqref>
                        </c15:formulaRef>
                      </c:ext>
                    </c:extLst>
                    <c:strCache>
                      <c:ptCount val="1"/>
                      <c:pt idx="0">
                        <c:v>Revisión con Geofono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Alcantarillado!$E$6:$P$6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Alcantarillado!$E$9:$P$9</c15:sqref>
                        </c15:formulaRef>
                      </c:ext>
                    </c:extLst>
                    <c:numCache>
                      <c:formatCode>General</c:formatCode>
                      <c:ptCount val="12"/>
                      <c:pt idx="0">
                        <c:v>1</c:v>
                      </c:pt>
                      <c:pt idx="1">
                        <c:v>5</c:v>
                      </c:pt>
                      <c:pt idx="2">
                        <c:v>1</c:v>
                      </c:pt>
                      <c:pt idx="3">
                        <c:v>1</c:v>
                      </c:pt>
                      <c:pt idx="4">
                        <c:v>3</c:v>
                      </c:pt>
                      <c:pt idx="5">
                        <c:v>5</c:v>
                      </c:pt>
                      <c:pt idx="6">
                        <c:v>2</c:v>
                      </c:pt>
                      <c:pt idx="7">
                        <c:v>6</c:v>
                      </c:pt>
                    </c:numCache>
                  </c:numRef>
                </c:val>
                <c:smooth val="0"/>
                <c:extLst xmlns:c15="http://schemas.microsoft.com/office/drawing/2012/chart">
                  <c:ext xmlns:c16="http://schemas.microsoft.com/office/drawing/2014/chart" uri="{C3380CC4-5D6E-409C-BE32-E72D297353CC}">
                    <c16:uniqueId val="{00000003-42DD-417C-936D-41A737582125}"/>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Alcantarillado!$D$10</c15:sqref>
                        </c15:formulaRef>
                      </c:ext>
                    </c:extLst>
                    <c:strCache>
                      <c:ptCount val="1"/>
                      <c:pt idx="0">
                        <c:v>Solicitud General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Alcantarillado!$E$6:$P$6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Alcantarillado!$E$10:$P$10</c15:sqref>
                        </c15:formulaRef>
                      </c:ext>
                    </c:extLst>
                    <c:numCache>
                      <c:formatCode>General</c:formatCode>
                      <c:ptCount val="12"/>
                      <c:pt idx="0">
                        <c:v>28</c:v>
                      </c:pt>
                      <c:pt idx="1">
                        <c:v>18</c:v>
                      </c:pt>
                      <c:pt idx="2">
                        <c:v>25</c:v>
                      </c:pt>
                      <c:pt idx="3">
                        <c:v>21</c:v>
                      </c:pt>
                      <c:pt idx="4">
                        <c:v>18</c:v>
                      </c:pt>
                      <c:pt idx="5">
                        <c:v>35</c:v>
                      </c:pt>
                      <c:pt idx="6">
                        <c:v>34</c:v>
                      </c:pt>
                      <c:pt idx="7">
                        <c:v>30</c:v>
                      </c:pt>
                    </c:numCache>
                  </c:numRef>
                </c:val>
                <c:smooth val="0"/>
                <c:extLst xmlns:c15="http://schemas.microsoft.com/office/drawing/2012/chart">
                  <c:ext xmlns:c16="http://schemas.microsoft.com/office/drawing/2014/chart" uri="{C3380CC4-5D6E-409C-BE32-E72D297353CC}">
                    <c16:uniqueId val="{00000004-42DD-417C-936D-41A737582125}"/>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Alcantarillado!$D$11</c15:sqref>
                        </c15:formulaRef>
                      </c:ext>
                    </c:extLst>
                    <c:strCache>
                      <c:ptCount val="1"/>
                      <c:pt idx="0">
                        <c:v>Vinculación del Servicio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Alcantarillado!$E$6:$P$6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xmlns:c15="http://schemas.microsoft.com/office/drawing/2012/chart">
                      <c:ext xmlns:c15="http://schemas.microsoft.com/office/drawing/2012/chart" uri="{02D57815-91ED-43cb-92C2-25804820EDAC}">
                        <c15:formulaRef>
                          <c15:sqref>Alcantarillado!$E$11:$P$11</c15:sqref>
                        </c15:formulaRef>
                      </c:ext>
                    </c:extLst>
                    <c:numCache>
                      <c:formatCode>General</c:formatCode>
                      <c:ptCount val="12"/>
                      <c:pt idx="0">
                        <c:v>33</c:v>
                      </c:pt>
                      <c:pt idx="1">
                        <c:v>15</c:v>
                      </c:pt>
                      <c:pt idx="2">
                        <c:v>18</c:v>
                      </c:pt>
                      <c:pt idx="3">
                        <c:v>58</c:v>
                      </c:pt>
                      <c:pt idx="4">
                        <c:v>26</c:v>
                      </c:pt>
                      <c:pt idx="5">
                        <c:v>21</c:v>
                      </c:pt>
                      <c:pt idx="6">
                        <c:v>19</c:v>
                      </c:pt>
                      <c:pt idx="7">
                        <c:v>13</c:v>
                      </c:pt>
                    </c:numCache>
                  </c:numRef>
                </c:val>
                <c:smooth val="0"/>
                <c:extLst xmlns:c15="http://schemas.microsoft.com/office/drawing/2012/chart">
                  <c:ext xmlns:c16="http://schemas.microsoft.com/office/drawing/2014/chart" uri="{C3380CC4-5D6E-409C-BE32-E72D297353CC}">
                    <c16:uniqueId val="{00000005-42DD-417C-936D-41A737582125}"/>
                  </c:ext>
                </c:extLst>
              </c15:ser>
            </c15:filteredLineSeries>
          </c:ext>
        </c:extLst>
      </c:lineChart>
      <c:dateAx>
        <c:axId val="8868969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376672"/>
        <c:crosses val="autoZero"/>
        <c:auto val="1"/>
        <c:lblOffset val="100"/>
        <c:baseTimeUnit val="months"/>
      </c:dateAx>
      <c:valAx>
        <c:axId val="84337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89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s-CO"/>
              <a:t>PQR'S</a:t>
            </a:r>
            <a:r>
              <a:rPr lang="es-CO" baseline="0"/>
              <a:t> ALCANTARILLADO</a:t>
            </a:r>
            <a:endParaRPr lang="es-CO"/>
          </a:p>
          <a:p>
            <a:pPr algn="ctr">
              <a:defRPr/>
            </a:pPr>
            <a:r>
              <a:rPr lang="es-CO"/>
              <a:t>ACUMULADO</a:t>
            </a:r>
            <a:r>
              <a:rPr lang="es-CO" baseline="0"/>
              <a:t> </a:t>
            </a:r>
            <a:r>
              <a:rPr lang="es-CO"/>
              <a:t>2026</a:t>
            </a:r>
          </a:p>
        </c:rich>
      </c:tx>
      <c:layout>
        <c:manualLayout>
          <c:xMode val="edge"/>
          <c:yMode val="edge"/>
          <c:x val="0.37393928789204378"/>
          <c:y val="2.31481481481481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3522246082876006"/>
          <c:y val="0.22726851851851851"/>
          <c:w val="0.93888888888888888"/>
          <c:h val="0.6714577865266842"/>
        </c:manualLayout>
      </c:layout>
      <c:doughnutChart>
        <c:varyColors val="1"/>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B8-40FE-8202-97C28B832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B8-40FE-8202-97C28B8328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B8-40FE-8202-97C28B832879}"/>
              </c:ext>
            </c:extLst>
          </c:dPt>
          <c:dLbls>
            <c:dLbl>
              <c:idx val="0"/>
              <c:layout>
                <c:manualLayout>
                  <c:x val="8.6195286195286103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B8-40FE-8202-97C28B832879}"/>
                </c:ext>
              </c:extLst>
            </c:dLbl>
            <c:dLbl>
              <c:idx val="1"/>
              <c:layout>
                <c:manualLayout>
                  <c:x val="-7.272727272727272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B8-40FE-8202-97C28B832879}"/>
                </c:ext>
              </c:extLst>
            </c:dLbl>
            <c:dLbl>
              <c:idx val="2"/>
              <c:layout>
                <c:manualLayout>
                  <c:x val="-7.2727272727272724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B8-40FE-8202-97C28B8328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Alcantarillado!$D$69:$D$71</c:f>
              <c:strCache>
                <c:ptCount val="3"/>
                <c:pt idx="0">
                  <c:v>PETICIONES</c:v>
                </c:pt>
                <c:pt idx="1">
                  <c:v>QUEJAS</c:v>
                </c:pt>
                <c:pt idx="2">
                  <c:v>RECLAMOS</c:v>
                </c:pt>
              </c:strCache>
            </c:strRef>
          </c:cat>
          <c:val>
            <c:numRef>
              <c:f>Alcantarillado!$F$69:$F$71</c:f>
              <c:numCache>
                <c:formatCode>0%</c:formatCode>
                <c:ptCount val="3"/>
                <c:pt idx="0">
                  <c:v>0.43361581920903952</c:v>
                </c:pt>
                <c:pt idx="1">
                  <c:v>0.29590395480225989</c:v>
                </c:pt>
                <c:pt idx="2">
                  <c:v>0.27048022598870058</c:v>
                </c:pt>
              </c:numCache>
            </c:numRef>
          </c:val>
          <c:extLst xmlns:c15="http://schemas.microsoft.com/office/drawing/2012/chart">
            <c:ext xmlns:c16="http://schemas.microsoft.com/office/drawing/2014/chart" uri="{C3380CC4-5D6E-409C-BE32-E72D297353CC}">
              <c16:uniqueId val="{00000006-27B8-40FE-8202-97C28B832879}"/>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8-27B8-40FE-8202-97C28B832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27B8-40FE-8202-97C28B8328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27B8-40FE-8202-97C28B832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Alcantarillado!$D$69:$D$71</c15:sqref>
                        </c15:formulaRef>
                      </c:ext>
                    </c:extLst>
                    <c:strCache>
                      <c:ptCount val="3"/>
                      <c:pt idx="0">
                        <c:v>PETICIONES</c:v>
                      </c:pt>
                      <c:pt idx="1">
                        <c:v>QUEJAS</c:v>
                      </c:pt>
                      <c:pt idx="2">
                        <c:v>RECLAMOS</c:v>
                      </c:pt>
                    </c:strCache>
                  </c:strRef>
                </c:cat>
                <c:val>
                  <c:numRef>
                    <c:extLst>
                      <c:ext uri="{02D57815-91ED-43cb-92C2-25804820EDAC}">
                        <c15:formulaRef>
                          <c15:sqref>Alcantarillado!$E$69:$E$71</c15:sqref>
                        </c15:formulaRef>
                      </c:ext>
                    </c:extLst>
                    <c:numCache>
                      <c:formatCode>General</c:formatCode>
                      <c:ptCount val="3"/>
                      <c:pt idx="0">
                        <c:v>614</c:v>
                      </c:pt>
                      <c:pt idx="1">
                        <c:v>419</c:v>
                      </c:pt>
                      <c:pt idx="2">
                        <c:v>383</c:v>
                      </c:pt>
                    </c:numCache>
                  </c:numRef>
                </c:val>
                <c:extLst>
                  <c:ext xmlns:c16="http://schemas.microsoft.com/office/drawing/2014/chart" uri="{C3380CC4-5D6E-409C-BE32-E72D297353CC}">
                    <c16:uniqueId val="{0000000D-27B8-40FE-8202-97C28B832879}"/>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 ASEO</a:t>
            </a:r>
          </a:p>
        </c:rich>
      </c:tx>
      <c:layout>
        <c:manualLayout>
          <c:xMode val="edge"/>
          <c:yMode val="edge"/>
          <c:x val="0.4591666666666666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5"/>
          <c:order val="5"/>
          <c:tx>
            <c:strRef>
              <c:f>Aseo!$E$12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Aseo!$F$6:$R$6</c15:sqref>
                  </c15:fullRef>
                </c:ext>
              </c:extLst>
              <c:f>Aseo!$F$6:$Q$6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Aseo!$F$12:$R$12</c15:sqref>
                  </c15:fullRef>
                </c:ext>
              </c:extLst>
              <c:f>Aseo!$F$12:$Q$12</c:f>
              <c:numCache>
                <c:formatCode>General</c:formatCode>
                <c:ptCount val="12"/>
                <c:pt idx="0">
                  <c:v>165</c:v>
                </c:pt>
                <c:pt idx="1">
                  <c:v>210</c:v>
                </c:pt>
                <c:pt idx="2">
                  <c:v>154</c:v>
                </c:pt>
                <c:pt idx="3">
                  <c:v>216</c:v>
                </c:pt>
                <c:pt idx="4">
                  <c:v>152</c:v>
                </c:pt>
                <c:pt idx="5">
                  <c:v>152</c:v>
                </c:pt>
                <c:pt idx="6">
                  <c:v>213</c:v>
                </c:pt>
                <c:pt idx="7">
                  <c:v>141</c:v>
                </c:pt>
                <c:pt idx="8">
                  <c:v>0</c:v>
                </c:pt>
                <c:pt idx="9">
                  <c:v>0</c:v>
                </c:pt>
                <c:pt idx="10">
                  <c:v>0</c:v>
                </c:pt>
                <c:pt idx="11">
                  <c:v>0</c:v>
                </c:pt>
              </c:numCache>
            </c:numRef>
          </c:val>
          <c:smooth val="0"/>
          <c:extLst>
            <c:ext xmlns:c16="http://schemas.microsoft.com/office/drawing/2014/chart" uri="{C3380CC4-5D6E-409C-BE32-E72D297353CC}">
              <c16:uniqueId val="{00000000-DE1B-48A0-BB58-E2F3263C9FA3}"/>
            </c:ext>
          </c:extLst>
        </c:ser>
        <c:dLbls>
          <c:dLblPos val="t"/>
          <c:showLegendKey val="0"/>
          <c:showVal val="1"/>
          <c:showCatName val="0"/>
          <c:showSerName val="0"/>
          <c:showPercent val="0"/>
          <c:showBubbleSize val="0"/>
        </c:dLbls>
        <c:smooth val="0"/>
        <c:axId val="940934880"/>
        <c:axId val="843375680"/>
        <c:extLst>
          <c:ext xmlns:c15="http://schemas.microsoft.com/office/drawing/2012/chart" uri="{02D57815-91ED-43cb-92C2-25804820EDAC}">
            <c15:filteredLineSeries>
              <c15:ser>
                <c:idx val="0"/>
                <c:order val="0"/>
                <c:tx>
                  <c:strRef>
                    <c:extLst>
                      <c:ext uri="{02D57815-91ED-43cb-92C2-25804820EDAC}">
                        <c15:formulaRef>
                          <c15:sqref>Aseo!$E$7</c15:sqref>
                        </c15:formulaRef>
                      </c:ext>
                    </c:extLst>
                    <c:strCache>
                      <c:ptCount val="1"/>
                      <c:pt idx="0">
                        <c:v>Cambio de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Aseo!$F$6:$R$6</c15:sqref>
                        </c15:fullRef>
                        <c15:formulaRef>
                          <c15:sqref>Aseo!$F$6:$Q$6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Aseo!$F$7:$R$7</c15:sqref>
                        </c15:fullRef>
                        <c15:formulaRef>
                          <c15:sqref>Aseo!$F$7:$Q$7</c15:sqref>
                        </c15:formulaRef>
                      </c:ext>
                    </c:extLst>
                    <c:numCache>
                      <c:formatCode>General</c:formatCode>
                      <c:ptCount val="12"/>
                      <c:pt idx="0">
                        <c:v>1</c:v>
                      </c:pt>
                      <c:pt idx="1">
                        <c:v>1</c:v>
                      </c:pt>
                      <c:pt idx="2">
                        <c:v>2</c:v>
                      </c:pt>
                      <c:pt idx="3">
                        <c:v>3</c:v>
                      </c:pt>
                      <c:pt idx="4">
                        <c:v>2</c:v>
                      </c:pt>
                      <c:pt idx="5">
                        <c:v>2</c:v>
                      </c:pt>
                      <c:pt idx="6">
                        <c:v>2</c:v>
                      </c:pt>
                      <c:pt idx="7">
                        <c:v>0</c:v>
                      </c:pt>
                    </c:numCache>
                  </c:numRef>
                </c:val>
                <c:smooth val="0"/>
                <c:extLst>
                  <c:ext xmlns:c16="http://schemas.microsoft.com/office/drawing/2014/chart" uri="{C3380CC4-5D6E-409C-BE32-E72D297353CC}">
                    <c16:uniqueId val="{00000001-DE1B-48A0-BB58-E2F3263C9FA3}"/>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Aseo!$E$8</c15:sqref>
                        </c15:formulaRef>
                      </c:ext>
                    </c:extLst>
                    <c:strCache>
                      <c:ptCount val="1"/>
                      <c:pt idx="0">
                        <c:v>Datos Generales Incorrectos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Aseo!$F$6:$R$6</c15:sqref>
                        </c15:fullRef>
                        <c15:formulaRef>
                          <c15:sqref>Aseo!$F$6:$Q$6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Aseo!$F$8:$R$8</c15:sqref>
                        </c15:fullRef>
                        <c15:formulaRef>
                          <c15:sqref>Aseo!$F$8:$Q$8</c15:sqref>
                        </c15:formulaRef>
                      </c:ext>
                    </c:extLst>
                    <c:numCache>
                      <c:formatCode>General</c:formatCode>
                      <c:ptCount val="12"/>
                      <c:pt idx="0">
                        <c:v>22</c:v>
                      </c:pt>
                      <c:pt idx="1">
                        <c:v>31</c:v>
                      </c:pt>
                      <c:pt idx="2">
                        <c:v>22</c:v>
                      </c:pt>
                      <c:pt idx="3">
                        <c:v>26</c:v>
                      </c:pt>
                      <c:pt idx="4">
                        <c:v>14</c:v>
                      </c:pt>
                      <c:pt idx="5">
                        <c:v>13</c:v>
                      </c:pt>
                      <c:pt idx="6">
                        <c:v>28</c:v>
                      </c:pt>
                      <c:pt idx="7">
                        <c:v>6</c:v>
                      </c:pt>
                    </c:numCache>
                  </c:numRef>
                </c:val>
                <c:smooth val="0"/>
                <c:extLst xmlns:c15="http://schemas.microsoft.com/office/drawing/2012/chart">
                  <c:ext xmlns:c16="http://schemas.microsoft.com/office/drawing/2014/chart" uri="{C3380CC4-5D6E-409C-BE32-E72D297353CC}">
                    <c16:uniqueId val="{00000002-DE1B-48A0-BB58-E2F3263C9FA3}"/>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Aseo!$E$9</c15:sqref>
                        </c15:formulaRef>
                      </c:ext>
                    </c:extLst>
                    <c:strCache>
                      <c:ptCount val="1"/>
                      <c:pt idx="0">
                        <c:v>Descuento por predio desocupado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Aseo!$F$6:$R$6</c15:sqref>
                        </c15:fullRef>
                        <c15:formulaRef>
                          <c15:sqref>Aseo!$F$6:$Q$6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Aseo!$F$9:$R$9</c15:sqref>
                        </c15:fullRef>
                        <c15:formulaRef>
                          <c15:sqref>Aseo!$F$9:$Q$9</c15:sqref>
                        </c15:formulaRef>
                      </c:ext>
                    </c:extLst>
                    <c:numCache>
                      <c:formatCode>General</c:formatCode>
                      <c:ptCount val="12"/>
                      <c:pt idx="0">
                        <c:v>55</c:v>
                      </c:pt>
                      <c:pt idx="1">
                        <c:v>72</c:v>
                      </c:pt>
                      <c:pt idx="2">
                        <c:v>48</c:v>
                      </c:pt>
                      <c:pt idx="3">
                        <c:v>52</c:v>
                      </c:pt>
                      <c:pt idx="4">
                        <c:v>53</c:v>
                      </c:pt>
                      <c:pt idx="5">
                        <c:v>57</c:v>
                      </c:pt>
                      <c:pt idx="6">
                        <c:v>71</c:v>
                      </c:pt>
                      <c:pt idx="7">
                        <c:v>71</c:v>
                      </c:pt>
                    </c:numCache>
                  </c:numRef>
                </c:val>
                <c:smooth val="0"/>
                <c:extLst xmlns:c15="http://schemas.microsoft.com/office/drawing/2012/chart">
                  <c:ext xmlns:c16="http://schemas.microsoft.com/office/drawing/2014/chart" uri="{C3380CC4-5D6E-409C-BE32-E72D297353CC}">
                    <c16:uniqueId val="{00000003-DE1B-48A0-BB58-E2F3263C9FA3}"/>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Aseo!$E$10</c15:sqref>
                        </c15:formulaRef>
                      </c:ext>
                    </c:extLst>
                    <c:strCache>
                      <c:ptCount val="1"/>
                      <c:pt idx="0">
                        <c:v>Solicitud General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Aseo!$F$6:$R$6</c15:sqref>
                        </c15:fullRef>
                        <c15:formulaRef>
                          <c15:sqref>Aseo!$F$6:$Q$6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Aseo!$F$10:$R$10</c15:sqref>
                        </c15:fullRef>
                        <c15:formulaRef>
                          <c15:sqref>Aseo!$F$10:$Q$10</c15:sqref>
                        </c15:formulaRef>
                      </c:ext>
                    </c:extLst>
                    <c:numCache>
                      <c:formatCode>General</c:formatCode>
                      <c:ptCount val="12"/>
                      <c:pt idx="0">
                        <c:v>57</c:v>
                      </c:pt>
                      <c:pt idx="1">
                        <c:v>83</c:v>
                      </c:pt>
                      <c:pt idx="2">
                        <c:v>63</c:v>
                      </c:pt>
                      <c:pt idx="3">
                        <c:v>72</c:v>
                      </c:pt>
                      <c:pt idx="4">
                        <c:v>55</c:v>
                      </c:pt>
                      <c:pt idx="5">
                        <c:v>60</c:v>
                      </c:pt>
                      <c:pt idx="6">
                        <c:v>94</c:v>
                      </c:pt>
                      <c:pt idx="7">
                        <c:v>50</c:v>
                      </c:pt>
                    </c:numCache>
                  </c:numRef>
                </c:val>
                <c:smooth val="0"/>
                <c:extLst xmlns:c15="http://schemas.microsoft.com/office/drawing/2012/chart">
                  <c:ext xmlns:c16="http://schemas.microsoft.com/office/drawing/2014/chart" uri="{C3380CC4-5D6E-409C-BE32-E72D297353CC}">
                    <c16:uniqueId val="{00000004-DE1B-48A0-BB58-E2F3263C9FA3}"/>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Aseo!$E$11</c15:sqref>
                        </c15:formulaRef>
                      </c:ext>
                    </c:extLst>
                    <c:strCache>
                      <c:ptCount val="1"/>
                      <c:pt idx="0">
                        <c:v>Vinculación del Servicio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Aseo!$F$6:$R$6</c15:sqref>
                        </c15:fullRef>
                        <c15:formulaRef>
                          <c15:sqref>Aseo!$F$6:$Q$6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Aseo!$F$11:$R$11</c15:sqref>
                        </c15:fullRef>
                        <c15:formulaRef>
                          <c15:sqref>Aseo!$F$11:$Q$11</c15:sqref>
                        </c15:formulaRef>
                      </c:ext>
                    </c:extLst>
                    <c:numCache>
                      <c:formatCode>General</c:formatCode>
                      <c:ptCount val="12"/>
                      <c:pt idx="0">
                        <c:v>30</c:v>
                      </c:pt>
                      <c:pt idx="1">
                        <c:v>23</c:v>
                      </c:pt>
                      <c:pt idx="2">
                        <c:v>19</c:v>
                      </c:pt>
                      <c:pt idx="3">
                        <c:v>63</c:v>
                      </c:pt>
                      <c:pt idx="4">
                        <c:v>28</c:v>
                      </c:pt>
                      <c:pt idx="5">
                        <c:v>20</c:v>
                      </c:pt>
                      <c:pt idx="6">
                        <c:v>18</c:v>
                      </c:pt>
                      <c:pt idx="7">
                        <c:v>14</c:v>
                      </c:pt>
                    </c:numCache>
                  </c:numRef>
                </c:val>
                <c:smooth val="0"/>
                <c:extLst xmlns:c15="http://schemas.microsoft.com/office/drawing/2012/chart">
                  <c:ext xmlns:c16="http://schemas.microsoft.com/office/drawing/2014/chart" uri="{C3380CC4-5D6E-409C-BE32-E72D297353CC}">
                    <c16:uniqueId val="{00000005-DE1B-48A0-BB58-E2F3263C9FA3}"/>
                  </c:ext>
                </c:extLst>
              </c15:ser>
            </c15:filteredLineSeries>
          </c:ext>
        </c:extLst>
      </c:lineChart>
      <c:dateAx>
        <c:axId val="94093488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375680"/>
        <c:crosses val="autoZero"/>
        <c:auto val="1"/>
        <c:lblOffset val="100"/>
        <c:baseTimeUnit val="months"/>
      </c:dateAx>
      <c:valAx>
        <c:axId val="84337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409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QUEJAS ASEO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4"/>
          <c:order val="4"/>
          <c:tx>
            <c:strRef>
              <c:f>Aseo!$E$28</c:f>
              <c:strCache>
                <c:ptCount val="1"/>
                <c:pt idx="0">
                  <c:v>Total</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Aseo!$F$20:$R$20</c15:sqref>
                  </c15:fullRef>
                </c:ext>
              </c:extLst>
              <c:f>Aseo!$F$20:$Q$20</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Aseo!$F$28:$R$28</c15:sqref>
                  </c15:fullRef>
                </c:ext>
              </c:extLst>
              <c:f>Aseo!$F$28:$Q$28</c:f>
              <c:numCache>
                <c:formatCode>General</c:formatCode>
                <c:ptCount val="12"/>
                <c:pt idx="0">
                  <c:v>13</c:v>
                </c:pt>
                <c:pt idx="1">
                  <c:v>14</c:v>
                </c:pt>
                <c:pt idx="2">
                  <c:v>17</c:v>
                </c:pt>
                <c:pt idx="3">
                  <c:v>8</c:v>
                </c:pt>
                <c:pt idx="4">
                  <c:v>8</c:v>
                </c:pt>
                <c:pt idx="5">
                  <c:v>3</c:v>
                </c:pt>
                <c:pt idx="6">
                  <c:v>21</c:v>
                </c:pt>
                <c:pt idx="7">
                  <c:v>17</c:v>
                </c:pt>
                <c:pt idx="8">
                  <c:v>0</c:v>
                </c:pt>
                <c:pt idx="9">
                  <c:v>0</c:v>
                </c:pt>
                <c:pt idx="10">
                  <c:v>0</c:v>
                </c:pt>
                <c:pt idx="11">
                  <c:v>0</c:v>
                </c:pt>
              </c:numCache>
            </c:numRef>
          </c:val>
          <c:smooth val="0"/>
          <c:extLst>
            <c:ext xmlns:c16="http://schemas.microsoft.com/office/drawing/2014/chart" uri="{C3380CC4-5D6E-409C-BE32-E72D297353CC}">
              <c16:uniqueId val="{00000000-2487-4D17-8F01-88E74A2FCED4}"/>
            </c:ext>
          </c:extLst>
        </c:ser>
        <c:dLbls>
          <c:dLblPos val="t"/>
          <c:showLegendKey val="0"/>
          <c:showVal val="1"/>
          <c:showCatName val="0"/>
          <c:showSerName val="0"/>
          <c:showPercent val="0"/>
          <c:showBubbleSize val="0"/>
        </c:dLbls>
        <c:smooth val="0"/>
        <c:axId val="886910832"/>
        <c:axId val="928625408"/>
        <c:extLst>
          <c:ext xmlns:c15="http://schemas.microsoft.com/office/drawing/2012/chart" uri="{02D57815-91ED-43cb-92C2-25804820EDAC}">
            <c15:filteredLineSeries>
              <c15:ser>
                <c:idx val="0"/>
                <c:order val="0"/>
                <c:tx>
                  <c:strRef>
                    <c:extLst>
                      <c:ext uri="{02D57815-91ED-43cb-92C2-25804820EDAC}">
                        <c15:formulaRef>
                          <c15:sqref>Aseo!$E$21</c15:sqref>
                        </c15:formulaRef>
                      </c:ext>
                    </c:extLst>
                    <c:strCache>
                      <c:ptCount val="1"/>
                      <c:pt idx="0">
                        <c:v>Afectación Ambiental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Aseo!$F$20:$R$20</c15:sqref>
                        </c15:fullRef>
                        <c15:formulaRef>
                          <c15:sqref>Aseo!$F$20:$Q$20</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Aseo!$F$21:$R$21</c15:sqref>
                        </c15:fullRef>
                        <c15:formulaRef>
                          <c15:sqref>Aseo!$F$21:$Q$21</c15:sqref>
                        </c15:formulaRef>
                      </c:ext>
                    </c:extLst>
                    <c:numCache>
                      <c:formatCode>General</c:formatCode>
                      <c:ptCount val="12"/>
                      <c:pt idx="0">
                        <c:v>0</c:v>
                      </c:pt>
                      <c:pt idx="1">
                        <c:v>0</c:v>
                      </c:pt>
                      <c:pt idx="2">
                        <c:v>0</c:v>
                      </c:pt>
                      <c:pt idx="3">
                        <c:v>0</c:v>
                      </c:pt>
                      <c:pt idx="4">
                        <c:v>0</c:v>
                      </c:pt>
                      <c:pt idx="5">
                        <c:v>0</c:v>
                      </c:pt>
                      <c:pt idx="6">
                        <c:v>1</c:v>
                      </c:pt>
                      <c:pt idx="7">
                        <c:v>0</c:v>
                      </c:pt>
                    </c:numCache>
                  </c:numRef>
                </c:val>
                <c:smooth val="0"/>
                <c:extLst>
                  <c:ext xmlns:c16="http://schemas.microsoft.com/office/drawing/2014/chart" uri="{C3380CC4-5D6E-409C-BE32-E72D297353CC}">
                    <c16:uniqueId val="{00000001-2487-4D17-8F01-88E74A2FCED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Aseo!$E$22</c15:sqref>
                        </c15:formulaRef>
                      </c:ext>
                    </c:extLst>
                    <c:strCache>
                      <c:ptCount val="1"/>
                      <c:pt idx="0">
                        <c:v>Frecuencias adicionales de barrido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Aseo!$F$20:$R$20</c15:sqref>
                        </c15:fullRef>
                        <c15:formulaRef>
                          <c15:sqref>Aseo!$F$20:$Q$20</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Aseo!$F$22:$R$22</c15:sqref>
                        </c15:fullRef>
                        <c15:formulaRef>
                          <c15:sqref>Aseo!$F$22:$Q$22</c15:sqref>
                        </c15:formulaRef>
                      </c:ext>
                    </c:extLst>
                    <c:numCache>
                      <c:formatCode>General</c:formatCode>
                      <c:ptCount val="12"/>
                      <c:pt idx="0">
                        <c:v>3</c:v>
                      </c:pt>
                      <c:pt idx="1">
                        <c:v>2</c:v>
                      </c:pt>
                      <c:pt idx="2">
                        <c:v>4</c:v>
                      </c:pt>
                      <c:pt idx="3">
                        <c:v>1</c:v>
                      </c:pt>
                      <c:pt idx="4">
                        <c:v>3</c:v>
                      </c:pt>
                      <c:pt idx="5">
                        <c:v>1</c:v>
                      </c:pt>
                      <c:pt idx="6">
                        <c:v>3</c:v>
                      </c:pt>
                      <c:pt idx="7">
                        <c:v>3</c:v>
                      </c:pt>
                    </c:numCache>
                  </c:numRef>
                </c:val>
                <c:smooth val="0"/>
                <c:extLst xmlns:c15="http://schemas.microsoft.com/office/drawing/2012/chart">
                  <c:ext xmlns:c16="http://schemas.microsoft.com/office/drawing/2014/chart" uri="{C3380CC4-5D6E-409C-BE32-E72D297353CC}">
                    <c16:uniqueId val="{00000002-2487-4D17-8F01-88E74A2FCED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Aseo!$E$23</c15:sqref>
                        </c15:formulaRef>
                      </c:ext>
                    </c:extLst>
                    <c:strCache>
                      <c:ptCount val="1"/>
                      <c:pt idx="0">
                        <c:v>Frecuencias adicionales de recolección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Aseo!$F$20:$R$20</c15:sqref>
                        </c15:fullRef>
                        <c15:formulaRef>
                          <c15:sqref>Aseo!$F$20:$Q$20</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Aseo!$F$23:$R$23</c15:sqref>
                        </c15:fullRef>
                        <c15:formulaRef>
                          <c15:sqref>Aseo!$F$23:$Q$23</c15:sqref>
                        </c15:formulaRef>
                      </c:ext>
                    </c:extLst>
                    <c:numCache>
                      <c:formatCode>General</c:formatCode>
                      <c:ptCount val="12"/>
                      <c:pt idx="0">
                        <c:v>7</c:v>
                      </c:pt>
                      <c:pt idx="1">
                        <c:v>10</c:v>
                      </c:pt>
                      <c:pt idx="2">
                        <c:v>9</c:v>
                      </c:pt>
                      <c:pt idx="3">
                        <c:v>5</c:v>
                      </c:pt>
                      <c:pt idx="4">
                        <c:v>3</c:v>
                      </c:pt>
                      <c:pt idx="5">
                        <c:v>2</c:v>
                      </c:pt>
                      <c:pt idx="6">
                        <c:v>16</c:v>
                      </c:pt>
                      <c:pt idx="7">
                        <c:v>9</c:v>
                      </c:pt>
                    </c:numCache>
                  </c:numRef>
                </c:val>
                <c:smooth val="0"/>
                <c:extLst xmlns:c15="http://schemas.microsoft.com/office/drawing/2012/chart">
                  <c:ext xmlns:c16="http://schemas.microsoft.com/office/drawing/2014/chart" uri="{C3380CC4-5D6E-409C-BE32-E72D297353CC}">
                    <c16:uniqueId val="{00000003-2487-4D17-8F01-88E74A2FCED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Aseo!$E$27</c15:sqref>
                        </c15:formulaRef>
                      </c:ext>
                    </c:extLst>
                    <c:strCache>
                      <c:ptCount val="1"/>
                      <c:pt idx="0">
                        <c:v>Terminación del contrato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Aseo!$F$20:$R$20</c15:sqref>
                        </c15:fullRef>
                        <c15:formulaRef>
                          <c15:sqref>Aseo!$F$20:$Q$20</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Aseo!$F$27:$R$27</c15:sqref>
                        </c15:fullRef>
                        <c15:formulaRef>
                          <c15:sqref>Aseo!$F$27:$Q$27</c15:sqref>
                        </c15:formulaRef>
                      </c:ext>
                    </c:extLst>
                    <c:numCache>
                      <c:formatCode>General</c:formatCode>
                      <c:ptCount val="12"/>
                      <c:pt idx="0">
                        <c:v>1</c:v>
                      </c:pt>
                      <c:pt idx="1">
                        <c:v>2</c:v>
                      </c:pt>
                      <c:pt idx="2">
                        <c:v>4</c:v>
                      </c:pt>
                      <c:pt idx="3">
                        <c:v>2</c:v>
                      </c:pt>
                      <c:pt idx="4">
                        <c:v>2</c:v>
                      </c:pt>
                      <c:pt idx="5">
                        <c:v>0</c:v>
                      </c:pt>
                      <c:pt idx="6">
                        <c:v>0</c:v>
                      </c:pt>
                      <c:pt idx="7">
                        <c:v>4</c:v>
                      </c:pt>
                    </c:numCache>
                  </c:numRef>
                </c:val>
                <c:smooth val="0"/>
                <c:extLst xmlns:c15="http://schemas.microsoft.com/office/drawing/2012/chart">
                  <c:ext xmlns:c16="http://schemas.microsoft.com/office/drawing/2014/chart" uri="{C3380CC4-5D6E-409C-BE32-E72D297353CC}">
                    <c16:uniqueId val="{00000004-2487-4D17-8F01-88E74A2FCED4}"/>
                  </c:ext>
                </c:extLst>
              </c15:ser>
            </c15:filteredLineSeries>
          </c:ext>
        </c:extLst>
      </c:lineChart>
      <c:dateAx>
        <c:axId val="8869108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5408"/>
        <c:crosses val="autoZero"/>
        <c:auto val="1"/>
        <c:lblOffset val="100"/>
        <c:baseTimeUnit val="months"/>
      </c:dateAx>
      <c:valAx>
        <c:axId val="92862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9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RECLAMOS ASEO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3464106460376672E-2"/>
          <c:y val="0.20393126780527079"/>
          <c:w val="0.88314408067412631"/>
          <c:h val="0.66851818740304947"/>
        </c:manualLayout>
      </c:layout>
      <c:lineChart>
        <c:grouping val="standard"/>
        <c:varyColors val="0"/>
        <c:ser>
          <c:idx val="5"/>
          <c:order val="5"/>
          <c:tx>
            <c:strRef>
              <c:f>Aseo!$E$47</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Aseo!$F$34:$R$34</c15:sqref>
                  </c15:fullRef>
                </c:ext>
              </c:extLst>
              <c:f>Aseo!$F$34:$Q$34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Aseo!$F$47:$R$47</c15:sqref>
                  </c15:fullRef>
                </c:ext>
              </c:extLst>
              <c:f>Aseo!$F$47:$Q$47</c:f>
              <c:numCache>
                <c:formatCode>General</c:formatCode>
                <c:ptCount val="12"/>
                <c:pt idx="0">
                  <c:v>10</c:v>
                </c:pt>
                <c:pt idx="1">
                  <c:v>6</c:v>
                </c:pt>
                <c:pt idx="2">
                  <c:v>18</c:v>
                </c:pt>
                <c:pt idx="3">
                  <c:v>18</c:v>
                </c:pt>
                <c:pt idx="4">
                  <c:v>12</c:v>
                </c:pt>
                <c:pt idx="5">
                  <c:v>14</c:v>
                </c:pt>
                <c:pt idx="6">
                  <c:v>23</c:v>
                </c:pt>
                <c:pt idx="7">
                  <c:v>12</c:v>
                </c:pt>
                <c:pt idx="8">
                  <c:v>0</c:v>
                </c:pt>
                <c:pt idx="9">
                  <c:v>0</c:v>
                </c:pt>
                <c:pt idx="10">
                  <c:v>0</c:v>
                </c:pt>
                <c:pt idx="11">
                  <c:v>0</c:v>
                </c:pt>
              </c:numCache>
            </c:numRef>
          </c:val>
          <c:smooth val="0"/>
          <c:extLst>
            <c:ext xmlns:c16="http://schemas.microsoft.com/office/drawing/2014/chart" uri="{C3380CC4-5D6E-409C-BE32-E72D297353CC}">
              <c16:uniqueId val="{00000000-EFB9-4046-96B7-C12E0844BAEA}"/>
            </c:ext>
          </c:extLst>
        </c:ser>
        <c:dLbls>
          <c:dLblPos val="t"/>
          <c:showLegendKey val="0"/>
          <c:showVal val="1"/>
          <c:showCatName val="0"/>
          <c:showSerName val="0"/>
          <c:showPercent val="0"/>
          <c:showBubbleSize val="0"/>
        </c:dLbls>
        <c:smooth val="0"/>
        <c:axId val="886910832"/>
        <c:axId val="928625408"/>
        <c:extLst>
          <c:ext xmlns:c15="http://schemas.microsoft.com/office/drawing/2012/chart" uri="{02D57815-91ED-43cb-92C2-25804820EDAC}">
            <c15:filteredLineSeries>
              <c15:ser>
                <c:idx val="0"/>
                <c:order val="0"/>
                <c:tx>
                  <c:strRef>
                    <c:extLst>
                      <c:ext uri="{02D57815-91ED-43cb-92C2-25804820EDAC}">
                        <c15:formulaRef>
                          <c15:sqref>Aseo!$E$39</c15:sqref>
                        </c15:formulaRef>
                      </c:ext>
                    </c:extLst>
                    <c:strCache>
                      <c:ptCount val="1"/>
                      <c:pt idx="0">
                        <c:v>Descuento por predio desocupado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Aseo!$F$34:$R$34</c15:sqref>
                        </c15:fullRef>
                        <c15:formulaRef>
                          <c15:sqref>Aseo!$F$34:$Q$34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Aseo!$F$39:$R$39</c15:sqref>
                        </c15:fullRef>
                        <c15:formulaRef>
                          <c15:sqref>Aseo!$F$39:$Q$39</c15:sqref>
                        </c15:formulaRef>
                      </c:ext>
                    </c:extLst>
                    <c:numCache>
                      <c:formatCode>General</c:formatCode>
                      <c:ptCount val="12"/>
                      <c:pt idx="0">
                        <c:v>3</c:v>
                      </c:pt>
                      <c:pt idx="1">
                        <c:v>2</c:v>
                      </c:pt>
                      <c:pt idx="2">
                        <c:v>3</c:v>
                      </c:pt>
                      <c:pt idx="3">
                        <c:v>4</c:v>
                      </c:pt>
                      <c:pt idx="4">
                        <c:v>2</c:v>
                      </c:pt>
                      <c:pt idx="5">
                        <c:v>1</c:v>
                      </c:pt>
                      <c:pt idx="6">
                        <c:v>2</c:v>
                      </c:pt>
                      <c:pt idx="7">
                        <c:v>0</c:v>
                      </c:pt>
                    </c:numCache>
                  </c:numRef>
                </c:val>
                <c:smooth val="0"/>
                <c:extLst>
                  <c:ext xmlns:c16="http://schemas.microsoft.com/office/drawing/2014/chart" uri="{C3380CC4-5D6E-409C-BE32-E72D297353CC}">
                    <c16:uniqueId val="{00000001-EFB9-4046-96B7-C12E0844BAEA}"/>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Aseo!$E$43</c15:sqref>
                        </c15:formulaRef>
                      </c:ext>
                    </c:extLst>
                    <c:strCache>
                      <c:ptCount val="1"/>
                      <c:pt idx="0">
                        <c:v>Inconformidad por desviación significativa</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Aseo!$F$34:$R$34</c15:sqref>
                        </c15:fullRef>
                        <c15:formulaRef>
                          <c15:sqref>Aseo!$F$34:$Q$34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Aseo!$F$43:$R$43</c15:sqref>
                        </c15:fullRef>
                        <c15:formulaRef>
                          <c15:sqref>Aseo!$F$43:$Q$43</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2-EFB9-4046-96B7-C12E0844BAEA}"/>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Aseo!$E$44</c15:sqref>
                        </c15:formulaRef>
                      </c:ext>
                    </c:extLst>
                    <c:strCache>
                      <c:ptCount val="1"/>
                      <c:pt idx="0">
                        <c:v>Subsidios y contribucciones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Aseo!$F$34:$R$34</c15:sqref>
                        </c15:fullRef>
                        <c15:formulaRef>
                          <c15:sqref>Aseo!$F$34:$Q$34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Aseo!$F$44:$R$44</c15:sqref>
                        </c15:fullRef>
                        <c15:formulaRef>
                          <c15:sqref>Aseo!$F$44:$Q$44</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3-EFB9-4046-96B7-C12E0844BAEA}"/>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Aseo!$E$45</c15:sqref>
                        </c15:formulaRef>
                      </c:ext>
                    </c:extLst>
                    <c:strCache>
                      <c:ptCount val="1"/>
                      <c:pt idx="0">
                        <c:v>Suscriptor que efectúa el pago pero este no es aplicado por la empresa en la facturación</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Aseo!$F$34:$R$34</c15:sqref>
                        </c15:fullRef>
                        <c15:formulaRef>
                          <c15:sqref>Aseo!$F$34:$Q$34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Aseo!$F$45:$R$45</c15:sqref>
                        </c15:fullRef>
                        <c15:formulaRef>
                          <c15:sqref>Aseo!$F$45:$Q$45</c15:sqref>
                        </c15:formulaRef>
                      </c:ext>
                    </c:extLst>
                    <c:numCache>
                      <c:formatCode>General</c:formatCode>
                      <c:ptCount val="12"/>
                      <c:pt idx="0">
                        <c:v>4</c:v>
                      </c:pt>
                      <c:pt idx="1">
                        <c:v>3</c:v>
                      </c:pt>
                      <c:pt idx="2">
                        <c:v>8</c:v>
                      </c:pt>
                      <c:pt idx="3">
                        <c:v>3</c:v>
                      </c:pt>
                      <c:pt idx="4">
                        <c:v>4</c:v>
                      </c:pt>
                      <c:pt idx="5">
                        <c:v>7</c:v>
                      </c:pt>
                      <c:pt idx="6">
                        <c:v>9</c:v>
                      </c:pt>
                      <c:pt idx="7">
                        <c:v>3</c:v>
                      </c:pt>
                    </c:numCache>
                  </c:numRef>
                </c:val>
                <c:smooth val="0"/>
                <c:extLst xmlns:c15="http://schemas.microsoft.com/office/drawing/2012/chart">
                  <c:ext xmlns:c16="http://schemas.microsoft.com/office/drawing/2014/chart" uri="{C3380CC4-5D6E-409C-BE32-E72D297353CC}">
                    <c16:uniqueId val="{00000004-EFB9-4046-96B7-C12E0844BAEA}"/>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Aseo!$E$46</c15:sqref>
                        </c15:formulaRef>
                      </c:ext>
                    </c:extLst>
                    <c:strCache>
                      <c:ptCount val="1"/>
                      <c:pt idx="0">
                        <c:v>Tarifa Incorrecta</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Aseo!$F$34:$R$34</c15:sqref>
                        </c15:fullRef>
                        <c15:formulaRef>
                          <c15:sqref>Aseo!$F$34:$Q$34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Aseo!$F$46:$R$46</c15:sqref>
                        </c15:fullRef>
                        <c15:formulaRef>
                          <c15:sqref>Aseo!$F$46:$Q$46</c15:sqref>
                        </c15:formulaRef>
                      </c:ext>
                    </c:extLst>
                    <c:numCache>
                      <c:formatCode>General</c:formatCode>
                      <c:ptCount val="12"/>
                      <c:pt idx="0">
                        <c:v>2</c:v>
                      </c:pt>
                      <c:pt idx="1">
                        <c:v>0</c:v>
                      </c:pt>
                      <c:pt idx="2">
                        <c:v>2</c:v>
                      </c:pt>
                      <c:pt idx="3">
                        <c:v>1</c:v>
                      </c:pt>
                      <c:pt idx="4">
                        <c:v>0</c:v>
                      </c:pt>
                      <c:pt idx="5">
                        <c:v>1</c:v>
                      </c:pt>
                      <c:pt idx="6">
                        <c:v>0</c:v>
                      </c:pt>
                      <c:pt idx="7">
                        <c:v>1</c:v>
                      </c:pt>
                    </c:numCache>
                  </c:numRef>
                </c:val>
                <c:smooth val="0"/>
                <c:extLst xmlns:c15="http://schemas.microsoft.com/office/drawing/2012/chart">
                  <c:ext xmlns:c16="http://schemas.microsoft.com/office/drawing/2014/chart" uri="{C3380CC4-5D6E-409C-BE32-E72D297353CC}">
                    <c16:uniqueId val="{00000005-EFB9-4046-96B7-C12E0844BAEA}"/>
                  </c:ext>
                </c:extLst>
              </c15:ser>
            </c15:filteredLineSeries>
          </c:ext>
        </c:extLst>
      </c:lineChart>
      <c:dateAx>
        <c:axId val="8869108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5408"/>
        <c:crosses val="autoZero"/>
        <c:auto val="1"/>
        <c:lblOffset val="100"/>
        <c:baseTimeUnit val="months"/>
      </c:dateAx>
      <c:valAx>
        <c:axId val="92862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8691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ASEO</a:t>
            </a:r>
          </a:p>
          <a:p>
            <a:pPr>
              <a:defRPr/>
            </a:pPr>
            <a:r>
              <a:rPr lang="es-CO"/>
              <a:t>ACUMULADO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2911832895888016"/>
          <c:y val="0.22726851851851851"/>
          <c:w val="0.93888888888888888"/>
          <c:h val="0.6714577865266842"/>
        </c:manualLayout>
      </c:layout>
      <c:doughnutChart>
        <c:varyColors val="1"/>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A83-46FA-91A6-63D0AC575F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9A83-46FA-91A6-63D0AC575F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83-46FA-91A6-63D0AC575FD6}"/>
              </c:ext>
            </c:extLst>
          </c:dPt>
          <c:dLbls>
            <c:dLbl>
              <c:idx val="0"/>
              <c:layout>
                <c:manualLayout>
                  <c:x val="0.15833333333333324"/>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83-46FA-91A6-63D0AC575FD6}"/>
                </c:ext>
              </c:extLst>
            </c:dLbl>
            <c:dLbl>
              <c:idx val="1"/>
              <c:layout>
                <c:manualLayout>
                  <c:x val="-0.2055555555555556"/>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83-46FA-91A6-63D0AC575FD6}"/>
                </c:ext>
              </c:extLst>
            </c:dLbl>
            <c:dLbl>
              <c:idx val="2"/>
              <c:layout>
                <c:manualLayout>
                  <c:x val="0.21111111111111111"/>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A83-46FA-91A6-63D0AC575F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Aseo!$E$55:$E$57</c15:sqref>
                  </c15:fullRef>
                </c:ext>
              </c:extLst>
              <c:f>Aseo!$E$55:$E$57</c:f>
              <c:strCache>
                <c:ptCount val="3"/>
                <c:pt idx="0">
                  <c:v>PETICION</c:v>
                </c:pt>
                <c:pt idx="1">
                  <c:v>QUEJA</c:v>
                </c:pt>
                <c:pt idx="2">
                  <c:v>RECLAMO</c:v>
                </c:pt>
              </c:strCache>
            </c:strRef>
          </c:cat>
          <c:val>
            <c:numRef>
              <c:extLst>
                <c:ext xmlns:c15="http://schemas.microsoft.com/office/drawing/2012/chart" uri="{02D57815-91ED-43cb-92C2-25804820EDAC}">
                  <c15:fullRef>
                    <c15:sqref>Aseo!$G$55:$G$58</c15:sqref>
                  </c15:fullRef>
                </c:ext>
              </c:extLst>
              <c:f>Aseo!$G$55:$G$57</c:f>
              <c:numCache>
                <c:formatCode>0%</c:formatCode>
                <c:ptCount val="3"/>
                <c:pt idx="0">
                  <c:v>0.86765615337043911</c:v>
                </c:pt>
                <c:pt idx="1">
                  <c:v>6.2461348175633889E-2</c:v>
                </c:pt>
                <c:pt idx="2">
                  <c:v>6.9882498453927022E-2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2-9A83-46FA-91A6-63D0AC575FD6}"/>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7-EE71-4C4C-9388-1A717C33B8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E71-4C4C-9388-1A717C33B8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E71-4C4C-9388-1A717C33B8F4}"/>
                    </c:ext>
                  </c:extLst>
                </c:dPt>
                <c:cat>
                  <c:strRef>
                    <c:extLst>
                      <c:ext uri="{02D57815-91ED-43cb-92C2-25804820EDAC}">
                        <c15:fullRef>
                          <c15:sqref>Aseo!$E$55:$E$57</c15:sqref>
                        </c15:fullRef>
                        <c15:formulaRef>
                          <c15:sqref>Aseo!$E$55:$E$57</c15:sqref>
                        </c15:formulaRef>
                      </c:ext>
                    </c:extLst>
                    <c:strCache>
                      <c:ptCount val="3"/>
                      <c:pt idx="0">
                        <c:v>PETICION</c:v>
                      </c:pt>
                      <c:pt idx="1">
                        <c:v>QUEJA</c:v>
                      </c:pt>
                      <c:pt idx="2">
                        <c:v>RECLAMO</c:v>
                      </c:pt>
                    </c:strCache>
                  </c:strRef>
                </c:cat>
                <c:val>
                  <c:numRef>
                    <c:extLst>
                      <c:ext uri="{02D57815-91ED-43cb-92C2-25804820EDAC}">
                        <c15:fullRef>
                          <c15:sqref>Aseo!$E$55:$E$58</c15:sqref>
                        </c15:fullRef>
                        <c15:formulaRef>
                          <c15:sqref>Aseo!$E$55:$E$57</c15:sqref>
                        </c15:formulaRef>
                      </c:ext>
                    </c:extLst>
                    <c:numCache>
                      <c:formatCode>General</c:formatCode>
                      <c:ptCount val="3"/>
                      <c:pt idx="0">
                        <c:v>0</c:v>
                      </c:pt>
                      <c:pt idx="1">
                        <c:v>0</c:v>
                      </c:pt>
                      <c:pt idx="2">
                        <c:v>0</c:v>
                      </c:pt>
                    </c:numCache>
                  </c:numRef>
                </c:val>
                <c:extLst>
                  <c:ext uri="{02D57815-91ED-43cb-92C2-25804820EDAC}">
                    <c15:categoryFilterExceptions/>
                  </c:ext>
                  <c:ext xmlns:c16="http://schemas.microsoft.com/office/drawing/2014/chart" uri="{C3380CC4-5D6E-409C-BE32-E72D297353CC}">
                    <c16:uniqueId val="{00000000-9A83-46FA-91A6-63D0AC575FD6}"/>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D-EE71-4C4C-9388-1A717C33B8F4}"/>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F-EE71-4C4C-9388-1A717C33B8F4}"/>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1-EE71-4C4C-9388-1A717C33B8F4}"/>
                    </c:ext>
                  </c:extLst>
                </c:dPt>
                <c:cat>
                  <c:strRef>
                    <c:extLst>
                      <c:ext xmlns:c15="http://schemas.microsoft.com/office/drawing/2012/chart" uri="{02D57815-91ED-43cb-92C2-25804820EDAC}">
                        <c15:fullRef>
                          <c15:sqref>Aseo!$E$55:$E$57</c15:sqref>
                        </c15:fullRef>
                        <c15:formulaRef>
                          <c15:sqref>Aseo!$E$55:$E$57</c15:sqref>
                        </c15:formulaRef>
                      </c:ext>
                    </c:extLst>
                    <c:strCache>
                      <c:ptCount val="3"/>
                      <c:pt idx="0">
                        <c:v>PETICION</c:v>
                      </c:pt>
                      <c:pt idx="1">
                        <c:v>QUEJA</c:v>
                      </c:pt>
                      <c:pt idx="2">
                        <c:v>RECLAMO</c:v>
                      </c:pt>
                    </c:strCache>
                  </c:strRef>
                </c:cat>
                <c:val>
                  <c:numRef>
                    <c:extLst>
                      <c:ext xmlns:c15="http://schemas.microsoft.com/office/drawing/2012/chart" uri="{02D57815-91ED-43cb-92C2-25804820EDAC}">
                        <c15:fullRef>
                          <c15:sqref>Aseo!$F$55:$F$58</c15:sqref>
                        </c15:fullRef>
                        <c15:formulaRef>
                          <c15:sqref>Aseo!$F$55:$F$57</c15:sqref>
                        </c15:formulaRef>
                      </c:ext>
                    </c:extLst>
                    <c:numCache>
                      <c:formatCode>General</c:formatCode>
                      <c:ptCount val="3"/>
                      <c:pt idx="0">
                        <c:v>1403</c:v>
                      </c:pt>
                      <c:pt idx="1">
                        <c:v>101</c:v>
                      </c:pt>
                      <c:pt idx="2">
                        <c:v>113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9A83-46FA-91A6-63D0AC575FD6}"/>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 ALUMBRADO PÚBLICO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7.2817147856517939E-2"/>
          <c:y val="0.18097222222222226"/>
          <c:w val="0.8966272965879265"/>
          <c:h val="0.72088764946048411"/>
        </c:manualLayout>
      </c:layout>
      <c:lineChart>
        <c:grouping val="standard"/>
        <c:varyColors val="0"/>
        <c:ser>
          <c:idx val="2"/>
          <c:order val="2"/>
          <c:tx>
            <c:strRef>
              <c:f>'Alumbrado Público'!$F$10</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'Alumbrado Público'!$G$7:$S$7</c15:sqref>
                  </c15:fullRef>
                </c:ext>
              </c:extLst>
              <c:f>'Alumbrado Público'!$G$7:$R$7</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'Alumbrado Público'!$G$10:$S$10</c15:sqref>
                  </c15:fullRef>
                </c:ext>
              </c:extLst>
              <c:f>'Alumbrado Público'!$G$10:$R$10</c:f>
              <c:numCache>
                <c:formatCode>General</c:formatCode>
                <c:ptCount val="12"/>
                <c:pt idx="0">
                  <c:v>3</c:v>
                </c:pt>
                <c:pt idx="1">
                  <c:v>3</c:v>
                </c:pt>
                <c:pt idx="2">
                  <c:v>2</c:v>
                </c:pt>
                <c:pt idx="3">
                  <c:v>1</c:v>
                </c:pt>
                <c:pt idx="4">
                  <c:v>1</c:v>
                </c:pt>
                <c:pt idx="5">
                  <c:v>8</c:v>
                </c:pt>
                <c:pt idx="6">
                  <c:v>1</c:v>
                </c:pt>
                <c:pt idx="7">
                  <c:v>1</c:v>
                </c:pt>
                <c:pt idx="8">
                  <c:v>0</c:v>
                </c:pt>
                <c:pt idx="9">
                  <c:v>0</c:v>
                </c:pt>
                <c:pt idx="10">
                  <c:v>0</c:v>
                </c:pt>
                <c:pt idx="11">
                  <c:v>0</c:v>
                </c:pt>
              </c:numCache>
            </c:numRef>
          </c:val>
          <c:smooth val="0"/>
          <c:extLst>
            <c:ext xmlns:c16="http://schemas.microsoft.com/office/drawing/2014/chart" uri="{C3380CC4-5D6E-409C-BE32-E72D297353CC}">
              <c16:uniqueId val="{00000000-B6A7-4C61-9A3C-2273B99A5C67}"/>
            </c:ext>
          </c:extLst>
        </c:ser>
        <c:dLbls>
          <c:dLblPos val="t"/>
          <c:showLegendKey val="0"/>
          <c:showVal val="1"/>
          <c:showCatName val="0"/>
          <c:showSerName val="0"/>
          <c:showPercent val="0"/>
          <c:showBubbleSize val="0"/>
        </c:dLbls>
        <c:smooth val="0"/>
        <c:axId val="697399951"/>
        <c:axId val="827836224"/>
        <c:extLst>
          <c:ext xmlns:c15="http://schemas.microsoft.com/office/drawing/2012/chart" uri="{02D57815-91ED-43cb-92C2-25804820EDAC}">
            <c15:filteredLineSeries>
              <c15:ser>
                <c:idx val="0"/>
                <c:order val="0"/>
                <c:tx>
                  <c:strRef>
                    <c:extLst>
                      <c:ext uri="{02D57815-91ED-43cb-92C2-25804820EDAC}">
                        <c15:formulaRef>
                          <c15:sqref>'Alumbrado Público'!$F$8</c15:sqref>
                        </c15:formulaRef>
                      </c:ext>
                    </c:extLst>
                    <c:strCache>
                      <c:ptCount val="1"/>
                      <c:pt idx="0">
                        <c:v>Cambio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'Alumbrado Público'!$G$7:$S$7</c15:sqref>
                        </c15:fullRef>
                        <c15:formulaRef>
                          <c15:sqref>'Alumbrado Público'!$G$7:$R$7</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'Alumbrado Público'!$G$8:$S$8</c15:sqref>
                        </c15:fullRef>
                        <c15:formulaRef>
                          <c15:sqref>'Alumbrado Público'!$G$8:$R$8</c15:sqref>
                        </c15:formulaRef>
                      </c:ext>
                    </c:extLst>
                    <c:numCache>
                      <c:formatCode>General</c:formatCode>
                      <c:ptCount val="12"/>
                      <c:pt idx="0">
                        <c:v>0</c:v>
                      </c:pt>
                      <c:pt idx="1">
                        <c:v>0</c:v>
                      </c:pt>
                      <c:pt idx="2">
                        <c:v>0</c:v>
                      </c:pt>
                      <c:pt idx="3">
                        <c:v>0</c:v>
                      </c:pt>
                      <c:pt idx="4">
                        <c:v>0</c:v>
                      </c:pt>
                      <c:pt idx="5">
                        <c:v>1</c:v>
                      </c:pt>
                      <c:pt idx="6">
                        <c:v>0</c:v>
                      </c:pt>
                      <c:pt idx="7">
                        <c:v>0</c:v>
                      </c:pt>
                    </c:numCache>
                  </c:numRef>
                </c:val>
                <c:smooth val="0"/>
                <c:extLst>
                  <c:ext xmlns:c16="http://schemas.microsoft.com/office/drawing/2014/chart" uri="{C3380CC4-5D6E-409C-BE32-E72D297353CC}">
                    <c16:uniqueId val="{00000001-B6A7-4C61-9A3C-2273B99A5C67}"/>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'Alumbrado Público'!$F$9</c15:sqref>
                        </c15:formulaRef>
                      </c:ext>
                    </c:extLst>
                    <c:strCache>
                      <c:ptCount val="1"/>
                      <c:pt idx="0">
                        <c:v>Solicitud General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'Alumbrado Público'!$G$7:$S$7</c15:sqref>
                        </c15:fullRef>
                        <c15:formulaRef>
                          <c15:sqref>'Alumbrado Público'!$G$7:$R$7</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'Alumbrado Público'!$G$9:$S$9</c15:sqref>
                        </c15:fullRef>
                        <c15:formulaRef>
                          <c15:sqref>'Alumbrado Público'!$G$9:$R$9</c15:sqref>
                        </c15:formulaRef>
                      </c:ext>
                    </c:extLst>
                    <c:numCache>
                      <c:formatCode>General</c:formatCode>
                      <c:ptCount val="12"/>
                      <c:pt idx="0">
                        <c:v>3</c:v>
                      </c:pt>
                      <c:pt idx="1">
                        <c:v>3</c:v>
                      </c:pt>
                      <c:pt idx="2">
                        <c:v>2</c:v>
                      </c:pt>
                      <c:pt idx="3">
                        <c:v>1</c:v>
                      </c:pt>
                      <c:pt idx="4">
                        <c:v>1</c:v>
                      </c:pt>
                      <c:pt idx="5">
                        <c:v>7</c:v>
                      </c:pt>
                      <c:pt idx="6">
                        <c:v>1</c:v>
                      </c:pt>
                      <c:pt idx="7">
                        <c:v>1</c:v>
                      </c:pt>
                    </c:numCache>
                  </c:numRef>
                </c:val>
                <c:smooth val="0"/>
                <c:extLst xmlns:c15="http://schemas.microsoft.com/office/drawing/2012/chart">
                  <c:ext xmlns:c16="http://schemas.microsoft.com/office/drawing/2014/chart" uri="{C3380CC4-5D6E-409C-BE32-E72D297353CC}">
                    <c16:uniqueId val="{00000002-B6A7-4C61-9A3C-2273B99A5C67}"/>
                  </c:ext>
                </c:extLst>
              </c15:ser>
            </c15:filteredLineSeries>
          </c:ext>
        </c:extLst>
      </c:lineChart>
      <c:dateAx>
        <c:axId val="69739995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27836224"/>
        <c:crosses val="autoZero"/>
        <c:auto val="1"/>
        <c:lblOffset val="100"/>
        <c:baseTimeUnit val="months"/>
      </c:dateAx>
      <c:valAx>
        <c:axId val="82783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739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QUEJAS ALUMBRADO PÚBLICO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0151647710702822E-2"/>
          <c:y val="0.20786172392493918"/>
          <c:w val="0.89207057451151939"/>
          <c:h val="0.65276743530043468"/>
        </c:manualLayout>
      </c:layout>
      <c:lineChart>
        <c:grouping val="standard"/>
        <c:varyColors val="0"/>
        <c:ser>
          <c:idx val="0"/>
          <c:order val="0"/>
          <c:tx>
            <c:strRef>
              <c:f>'Alumbrado Público'!$F$22</c:f>
              <c:strCache>
                <c:ptCount val="1"/>
                <c:pt idx="0">
                  <c:v>Estado de la Infraestructura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'Alumbrado Público'!$G$21:$R$21</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'Alumbrado Público'!$G$22:$R$22</c:f>
              <c:numCache>
                <c:formatCode>General</c:formatCode>
                <c:ptCount val="12"/>
                <c:pt idx="0">
                  <c:v>9</c:v>
                </c:pt>
                <c:pt idx="1">
                  <c:v>20</c:v>
                </c:pt>
                <c:pt idx="2">
                  <c:v>12</c:v>
                </c:pt>
                <c:pt idx="3">
                  <c:v>11</c:v>
                </c:pt>
                <c:pt idx="4">
                  <c:v>9</c:v>
                </c:pt>
                <c:pt idx="5">
                  <c:v>15</c:v>
                </c:pt>
                <c:pt idx="6">
                  <c:v>12</c:v>
                </c:pt>
                <c:pt idx="7">
                  <c:v>17</c:v>
                </c:pt>
              </c:numCache>
            </c:numRef>
          </c:val>
          <c:smooth val="0"/>
          <c:extLst>
            <c:ext xmlns:c16="http://schemas.microsoft.com/office/drawing/2014/chart" uri="{C3380CC4-5D6E-409C-BE32-E72D297353CC}">
              <c16:uniqueId val="{00000000-1DB4-4D23-B999-FB29EAB4BE5C}"/>
            </c:ext>
          </c:extLst>
        </c:ser>
        <c:ser>
          <c:idx val="1"/>
          <c:order val="1"/>
          <c:tx>
            <c:strRef>
              <c:f>'Alumbrado Público'!$F$23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'Alumbrado Público'!$G$21:$R$21</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'Alumbrado Público'!$G$23:$R$23</c:f>
              <c:numCache>
                <c:formatCode>General</c:formatCode>
                <c:ptCount val="12"/>
                <c:pt idx="0">
                  <c:v>9</c:v>
                </c:pt>
                <c:pt idx="1">
                  <c:v>20</c:v>
                </c:pt>
                <c:pt idx="2">
                  <c:v>12</c:v>
                </c:pt>
                <c:pt idx="3">
                  <c:v>11</c:v>
                </c:pt>
                <c:pt idx="4">
                  <c:v>9</c:v>
                </c:pt>
                <c:pt idx="5">
                  <c:v>15</c:v>
                </c:pt>
                <c:pt idx="6">
                  <c:v>12</c:v>
                </c:pt>
                <c:pt idx="7">
                  <c:v>17</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1DB4-4D23-B999-FB29EAB4BE5C}"/>
            </c:ext>
          </c:extLst>
        </c:ser>
        <c:dLbls>
          <c:dLblPos val="t"/>
          <c:showLegendKey val="0"/>
          <c:showVal val="1"/>
          <c:showCatName val="0"/>
          <c:showSerName val="0"/>
          <c:showPercent val="0"/>
          <c:showBubbleSize val="0"/>
        </c:dLbls>
        <c:smooth val="0"/>
        <c:axId val="706994367"/>
        <c:axId val="928626896"/>
        <c:extLst/>
      </c:lineChart>
      <c:dateAx>
        <c:axId val="7069943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6896"/>
        <c:crosses val="autoZero"/>
        <c:auto val="1"/>
        <c:lblOffset val="100"/>
        <c:baseTimeUnit val="months"/>
      </c:dateAx>
      <c:valAx>
        <c:axId val="92862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69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RECLAMOS ALUMBRADO PÚBLICO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607757363662875E-2"/>
          <c:y val="0.21362126185580477"/>
          <c:w val="0.90614464858559352"/>
          <c:h val="0.65276743530043468"/>
        </c:manualLayout>
      </c:layout>
      <c:lineChart>
        <c:grouping val="standard"/>
        <c:varyColors val="0"/>
        <c:ser>
          <c:idx val="1"/>
          <c:order val="1"/>
          <c:tx>
            <c:strRef>
              <c:f>'Alumbrado Público'!$F$38</c:f>
              <c:strCache>
                <c:ptCount val="1"/>
                <c:pt idx="0">
                  <c:v>Total</c:v>
                </c:pt>
              </c:strCache>
              <c:extLst xmlns:c15="http://schemas.microsoft.com/office/drawing/2012/chart"/>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'Alumbrado Público'!$G$34:$S$34</c15:sqref>
                  </c15:fullRef>
                </c:ext>
              </c:extLst>
              <c:f>'Alumbrado Público'!$G$34:$R$34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'Alumbrado Público'!$G$38:$S$38</c15:sqref>
                  </c15:fullRef>
                </c:ext>
              </c:extLst>
              <c:f>'Alumbrado Público'!$G$38:$R$38</c:f>
              <c:numCache>
                <c:formatCode>General</c:formatCode>
                <c:ptCount val="12"/>
                <c:pt idx="0">
                  <c:v>5</c:v>
                </c:pt>
                <c:pt idx="1">
                  <c:v>2</c:v>
                </c:pt>
                <c:pt idx="2">
                  <c:v>4</c:v>
                </c:pt>
                <c:pt idx="3">
                  <c:v>6</c:v>
                </c:pt>
                <c:pt idx="4">
                  <c:v>3</c:v>
                </c:pt>
                <c:pt idx="5">
                  <c:v>6</c:v>
                </c:pt>
                <c:pt idx="6">
                  <c:v>3</c:v>
                </c:pt>
                <c:pt idx="7">
                  <c:v>1</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1-ED60-4482-AEDC-344984258AB4}"/>
            </c:ext>
          </c:extLst>
        </c:ser>
        <c:dLbls>
          <c:dLblPos val="t"/>
          <c:showLegendKey val="0"/>
          <c:showVal val="1"/>
          <c:showCatName val="0"/>
          <c:showSerName val="0"/>
          <c:showPercent val="0"/>
          <c:showBubbleSize val="0"/>
        </c:dLbls>
        <c:smooth val="0"/>
        <c:axId val="706994367"/>
        <c:axId val="928626896"/>
        <c:extLst>
          <c:ext xmlns:c15="http://schemas.microsoft.com/office/drawing/2012/chart" uri="{02D57815-91ED-43cb-92C2-25804820EDAC}">
            <c15:filteredLineSeries>
              <c15:ser>
                <c:idx val="0"/>
                <c:order val="0"/>
                <c:tx>
                  <c:strRef>
                    <c:extLst>
                      <c:ext uri="{02D57815-91ED-43cb-92C2-25804820EDAC}">
                        <c15:formulaRef>
                          <c15:sqref>'Alumbrado Público'!$F$37</c15:sqref>
                        </c15:formulaRef>
                      </c:ext>
                    </c:extLst>
                    <c:strCache>
                      <c:ptCount val="1"/>
                      <c:pt idx="0">
                        <c:v>Tarifa Incorrecta</c:v>
                      </c:pt>
                    </c:strCache>
                  </c:strRef>
                </c:tx>
                <c:spPr>
                  <a:ln w="28575" cap="rnd">
                    <a:solidFill>
                      <a:schemeClr val="accent1"/>
                    </a:solidFill>
                    <a:round/>
                  </a:ln>
                  <a:effectLst/>
                </c:spPr>
                <c:marker>
                  <c:symbol val="none"/>
                </c:marker>
                <c:dLbls>
                  <c:dLbl>
                    <c:idx val="6"/>
                    <c:tx>
                      <c:rich>
                        <a:bodyPr/>
                        <a:lstStyle/>
                        <a:p>
                          <a:r>
                            <a:rPr lang="en-US"/>
                            <a:t>2</a:t>
                          </a:r>
                        </a:p>
                      </c:rich>
                    </c:tx>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0-6FA2-4C43-AB3B-65EFB659A5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'Alumbrado Público'!$G$34:$S$34</c15:sqref>
                        </c15:fullRef>
                        <c15:formulaRef>
                          <c15:sqref>'Alumbrado Público'!$G$34:$R$34</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'Alumbrado Público'!$G$37:$S$37</c15:sqref>
                        </c15:fullRef>
                        <c15:formulaRef>
                          <c15:sqref>'Alumbrado Público'!$G$37:$R$37</c15:sqref>
                        </c15:formulaRef>
                      </c:ext>
                    </c:extLst>
                    <c:numCache>
                      <c:formatCode>General</c:formatCode>
                      <c:ptCount val="12"/>
                      <c:pt idx="0">
                        <c:v>5</c:v>
                      </c:pt>
                      <c:pt idx="1">
                        <c:v>2</c:v>
                      </c:pt>
                      <c:pt idx="2">
                        <c:v>4</c:v>
                      </c:pt>
                      <c:pt idx="3">
                        <c:v>6</c:v>
                      </c:pt>
                      <c:pt idx="4">
                        <c:v>3</c:v>
                      </c:pt>
                      <c:pt idx="5">
                        <c:v>6</c:v>
                      </c:pt>
                      <c:pt idx="6">
                        <c:v>3</c:v>
                      </c:pt>
                      <c:pt idx="7">
                        <c:v>1</c:v>
                      </c:pt>
                    </c:numCache>
                  </c:numRef>
                </c:val>
                <c:smooth val="0"/>
                <c:extLst>
                  <c:ext xmlns:c16="http://schemas.microsoft.com/office/drawing/2014/chart" uri="{C3380CC4-5D6E-409C-BE32-E72D297353CC}">
                    <c16:uniqueId val="{00000000-ED60-4482-AEDC-344984258AB4}"/>
                  </c:ext>
                </c:extLst>
              </c15:ser>
            </c15:filteredLineSeries>
          </c:ext>
        </c:extLst>
      </c:lineChart>
      <c:dateAx>
        <c:axId val="7069943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6896"/>
        <c:crosses val="autoZero"/>
        <c:auto val="1"/>
        <c:lblOffset val="100"/>
        <c:baseTimeUnit val="months"/>
      </c:dateAx>
      <c:valAx>
        <c:axId val="92862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699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ALUMBRADO</a:t>
            </a:r>
            <a:r>
              <a:rPr lang="es-CO" baseline="0"/>
              <a:t> PÚBLICO</a:t>
            </a:r>
            <a:endParaRPr lang="es-CO"/>
          </a:p>
          <a:p>
            <a:pPr>
              <a:defRPr/>
            </a:pPr>
            <a:r>
              <a:rPr lang="es-CO"/>
              <a:t>ACUMULADO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2911832895888016"/>
          <c:y val="0.22726851851851851"/>
          <c:w val="0.93888888888888888"/>
          <c:h val="0.6714577865266842"/>
        </c:manualLayout>
      </c:layout>
      <c:doughnutChart>
        <c:varyColors val="1"/>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F-F3A2-4C5F-9492-291E97794A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F3A2-4C5F-9492-291E97794A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F3A2-4C5F-9492-291E97794AC5}"/>
              </c:ext>
            </c:extLst>
          </c:dPt>
          <c:dLbls>
            <c:dLbl>
              <c:idx val="0"/>
              <c:layout>
                <c:manualLayout>
                  <c:x val="8.6195286195286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A2-4C5F-9492-291E97794AC5}"/>
                </c:ext>
              </c:extLst>
            </c:dLbl>
            <c:dLbl>
              <c:idx val="1"/>
              <c:layout>
                <c:manualLayout>
                  <c:x val="0.14814814814814814"/>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A2-4C5F-9492-291E97794AC5}"/>
                </c:ext>
              </c:extLst>
            </c:dLbl>
            <c:dLbl>
              <c:idx val="2"/>
              <c:layout>
                <c:manualLayout>
                  <c:x val="-8.3501683501683507E-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3A2-4C5F-9492-291E97794A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'Alumbrado Público'!$F$50:$F$52</c:f>
              <c:strCache>
                <c:ptCount val="3"/>
                <c:pt idx="0">
                  <c:v>PETICION</c:v>
                </c:pt>
                <c:pt idx="1">
                  <c:v>QUEJA</c:v>
                </c:pt>
                <c:pt idx="2">
                  <c:v>RECLAMO</c:v>
                </c:pt>
              </c:strCache>
            </c:strRef>
          </c:cat>
          <c:val>
            <c:numRef>
              <c:f>'Alumbrado Público'!$H$50:$H$52</c:f>
              <c:numCache>
                <c:formatCode>0%</c:formatCode>
                <c:ptCount val="3"/>
                <c:pt idx="0">
                  <c:v>0.12903225806451613</c:v>
                </c:pt>
                <c:pt idx="1">
                  <c:v>0.67741935483870963</c:v>
                </c:pt>
                <c:pt idx="2">
                  <c:v>0.19354838709677419</c:v>
                </c:pt>
              </c:numCache>
            </c:numRef>
          </c:val>
          <c:extLst xmlns:c15="http://schemas.microsoft.com/office/drawing/2012/chart">
            <c:ext xmlns:c16="http://schemas.microsoft.com/office/drawing/2014/chart" uri="{C3380CC4-5D6E-409C-BE32-E72D297353CC}">
              <c16:uniqueId val="{00000014-F3A2-4C5F-9492-291E97794AC5}"/>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3A2-4C5F-9492-291E97794A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3A2-4C5F-9492-291E97794A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3A2-4C5F-9492-291E97794A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'Alumbrado Público'!$F$50:$F$52</c15:sqref>
                        </c15:formulaRef>
                      </c:ext>
                    </c:extLst>
                    <c:strCache>
                      <c:ptCount val="3"/>
                      <c:pt idx="0">
                        <c:v>PETICION</c:v>
                      </c:pt>
                      <c:pt idx="1">
                        <c:v>QUEJA</c:v>
                      </c:pt>
                      <c:pt idx="2">
                        <c:v>RECLAMO</c:v>
                      </c:pt>
                    </c:strCache>
                  </c:strRef>
                </c:cat>
                <c:val>
                  <c:numRef>
                    <c:extLst>
                      <c:ext uri="{02D57815-91ED-43cb-92C2-25804820EDAC}">
                        <c15:formulaRef>
                          <c15:sqref>'Alumbrado Público'!$G$50:$G$52</c15:sqref>
                        </c15:formulaRef>
                      </c:ext>
                    </c:extLst>
                    <c:numCache>
                      <c:formatCode>General</c:formatCode>
                      <c:ptCount val="3"/>
                      <c:pt idx="0">
                        <c:v>20</c:v>
                      </c:pt>
                      <c:pt idx="1">
                        <c:v>105</c:v>
                      </c:pt>
                      <c:pt idx="2">
                        <c:v>30</c:v>
                      </c:pt>
                    </c:numCache>
                  </c:numRef>
                </c:val>
                <c:extLst>
                  <c:ext xmlns:c16="http://schemas.microsoft.com/office/drawing/2014/chart" uri="{C3380CC4-5D6E-409C-BE32-E72D297353CC}">
                    <c16:uniqueId val="{0000000D-F3A2-4C5F-9492-291E97794AC5}"/>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 SERVICIOS INMOBILIARIOS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5.9469816272965881E-2"/>
          <c:y val="0.14814814814814814"/>
          <c:w val="0.9155301837270341"/>
          <c:h val="0.72188247302420527"/>
        </c:manualLayout>
      </c:layout>
      <c:lineChart>
        <c:grouping val="standard"/>
        <c:varyColors val="0"/>
        <c:ser>
          <c:idx val="2"/>
          <c:order val="2"/>
          <c:tx>
            <c:strRef>
              <c:f>'Servicios Inmobiliarios'!$E$11</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'Servicios Inmobiliarios'!$F$7:$R$7</c15:sqref>
                  </c15:fullRef>
                </c:ext>
              </c:extLst>
              <c:f>'Servicios Inmobiliarios'!$F$7:$Q$7</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'Servicios Inmobiliarios'!$F$11:$R$11</c15:sqref>
                  </c15:fullRef>
                </c:ext>
              </c:extLst>
              <c:f>'Servicios Inmobiliarios'!$F$11:$Q$11</c:f>
              <c:numCache>
                <c:formatCode>General</c:formatCode>
                <c:ptCount val="12"/>
                <c:pt idx="0">
                  <c:v>11</c:v>
                </c:pt>
                <c:pt idx="1">
                  <c:v>6</c:v>
                </c:pt>
                <c:pt idx="2">
                  <c:v>4</c:v>
                </c:pt>
                <c:pt idx="3">
                  <c:v>6</c:v>
                </c:pt>
                <c:pt idx="4">
                  <c:v>6</c:v>
                </c:pt>
                <c:pt idx="5">
                  <c:v>5</c:v>
                </c:pt>
                <c:pt idx="6">
                  <c:v>4</c:v>
                </c:pt>
                <c:pt idx="7">
                  <c:v>6</c:v>
                </c:pt>
                <c:pt idx="8">
                  <c:v>0</c:v>
                </c:pt>
                <c:pt idx="9">
                  <c:v>0</c:v>
                </c:pt>
                <c:pt idx="10">
                  <c:v>0</c:v>
                </c:pt>
                <c:pt idx="11">
                  <c:v>0</c:v>
                </c:pt>
              </c:numCache>
            </c:numRef>
          </c:val>
          <c:smooth val="0"/>
          <c:extLst>
            <c:ext xmlns:c16="http://schemas.microsoft.com/office/drawing/2014/chart" uri="{C3380CC4-5D6E-409C-BE32-E72D297353CC}">
              <c16:uniqueId val="{00000000-3542-4830-AC11-EC46B4B6D161}"/>
            </c:ext>
          </c:extLst>
        </c:ser>
        <c:dLbls>
          <c:dLblPos val="t"/>
          <c:showLegendKey val="0"/>
          <c:showVal val="1"/>
          <c:showCatName val="0"/>
          <c:showSerName val="0"/>
          <c:showPercent val="0"/>
          <c:showBubbleSize val="0"/>
        </c:dLbls>
        <c:smooth val="0"/>
        <c:axId val="457286000"/>
        <c:axId val="843425776"/>
        <c:extLst>
          <c:ext xmlns:c15="http://schemas.microsoft.com/office/drawing/2012/chart" uri="{02D57815-91ED-43cb-92C2-25804820EDAC}">
            <c15:filteredLineSeries>
              <c15:ser>
                <c:idx val="0"/>
                <c:order val="0"/>
                <c:tx>
                  <c:strRef>
                    <c:extLst>
                      <c:ext uri="{02D57815-91ED-43cb-92C2-25804820EDAC}">
                        <c15:formulaRef>
                          <c15:sqref>'Servicios Inmobiliarios'!$E$8</c15:sqref>
                        </c15:formulaRef>
                      </c:ext>
                    </c:extLst>
                    <c:strCache>
                      <c:ptCount val="1"/>
                      <c:pt idx="0">
                        <c:v>Cambio de Datos Básicos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'Servicios Inmobiliarios'!$F$7:$R$7</c15:sqref>
                        </c15:fullRef>
                        <c15:formulaRef>
                          <c15:sqref>'Servicios Inmobiliarios'!$F$7:$Q$7</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'Servicios Inmobiliarios'!$F$8:$R$8</c15:sqref>
                        </c15:fullRef>
                        <c15:formulaRef>
                          <c15:sqref>'Servicios Inmobiliarios'!$F$8:$Q$8</c15:sqref>
                        </c15:formulaRef>
                      </c:ext>
                    </c:extLst>
                    <c:numCache>
                      <c:formatCode>General</c:formatCode>
                      <c:ptCount val="12"/>
                      <c:pt idx="0">
                        <c:v>0</c:v>
                      </c:pt>
                      <c:pt idx="1">
                        <c:v>0</c:v>
                      </c:pt>
                      <c:pt idx="2">
                        <c:v>3</c:v>
                      </c:pt>
                      <c:pt idx="3">
                        <c:v>1</c:v>
                      </c:pt>
                      <c:pt idx="4">
                        <c:v>0</c:v>
                      </c:pt>
                      <c:pt idx="5">
                        <c:v>0</c:v>
                      </c:pt>
                      <c:pt idx="6">
                        <c:v>0</c:v>
                      </c:pt>
                      <c:pt idx="7">
                        <c:v>0</c:v>
                      </c:pt>
                    </c:numCache>
                  </c:numRef>
                </c:val>
                <c:smooth val="0"/>
                <c:extLst>
                  <c:ext xmlns:c16="http://schemas.microsoft.com/office/drawing/2014/chart" uri="{C3380CC4-5D6E-409C-BE32-E72D297353CC}">
                    <c16:uniqueId val="{00000001-3542-4830-AC11-EC46B4B6D161}"/>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'Servicios Inmobiliarios'!$E$10</c15:sqref>
                        </c15:formulaRef>
                      </c:ext>
                    </c:extLst>
                    <c:strCache>
                      <c:ptCount val="1"/>
                      <c:pt idx="0">
                        <c:v>Vinculación del Servicio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'Servicios Inmobiliarios'!$F$7:$R$7</c15:sqref>
                        </c15:fullRef>
                        <c15:formulaRef>
                          <c15:sqref>'Servicios Inmobiliarios'!$F$7:$Q$7</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'Servicios Inmobiliarios'!$F$10:$R$10</c15:sqref>
                        </c15:fullRef>
                        <c15:formulaRef>
                          <c15:sqref>'Servicios Inmobiliarios'!$F$10:$Q$10</c15:sqref>
                        </c15:formulaRef>
                      </c:ext>
                    </c:extLst>
                    <c:numCache>
                      <c:formatCode>General</c:formatCode>
                      <c:ptCount val="12"/>
                      <c:pt idx="0">
                        <c:v>6</c:v>
                      </c:pt>
                      <c:pt idx="1">
                        <c:v>5</c:v>
                      </c:pt>
                      <c:pt idx="2">
                        <c:v>1</c:v>
                      </c:pt>
                      <c:pt idx="3">
                        <c:v>3</c:v>
                      </c:pt>
                      <c:pt idx="4">
                        <c:v>5</c:v>
                      </c:pt>
                      <c:pt idx="5">
                        <c:v>3</c:v>
                      </c:pt>
                      <c:pt idx="6">
                        <c:v>2</c:v>
                      </c:pt>
                      <c:pt idx="7">
                        <c:v>2</c:v>
                      </c:pt>
                    </c:numCache>
                  </c:numRef>
                </c:val>
                <c:smooth val="0"/>
                <c:extLst xmlns:c15="http://schemas.microsoft.com/office/drawing/2012/chart">
                  <c:ext xmlns:c16="http://schemas.microsoft.com/office/drawing/2014/chart" uri="{C3380CC4-5D6E-409C-BE32-E72D297353CC}">
                    <c16:uniqueId val="{00000002-3542-4830-AC11-EC46B4B6D161}"/>
                  </c:ext>
                </c:extLst>
              </c15:ser>
            </c15:filteredLineSeries>
          </c:ext>
        </c:extLst>
      </c:lineChart>
      <c:dateAx>
        <c:axId val="45728600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43425776"/>
        <c:crosses val="autoZero"/>
        <c:auto val="1"/>
        <c:lblOffset val="100"/>
        <c:baseTimeUnit val="months"/>
      </c:dateAx>
      <c:valAx>
        <c:axId val="84342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728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QUEJAS</a:t>
            </a:r>
            <a:r>
              <a:rPr lang="es-CO" baseline="0"/>
              <a:t> SERVICIOS INMOBILIARIOS</a:t>
            </a:r>
            <a:endParaRPr lang="es-CO"/>
          </a:p>
        </c:rich>
      </c:tx>
      <c:overlay val="0"/>
      <c:spPr>
        <a:noFill/>
        <a:ln>
          <a:noFill/>
        </a:ln>
        <a:effectLst/>
      </c:spPr>
    </c:title>
    <c:autoTitleDeleted val="0"/>
    <c:plotArea>
      <c:layout>
        <c:manualLayout>
          <c:layoutTarget val="inner"/>
          <c:xMode val="edge"/>
          <c:yMode val="edge"/>
          <c:x val="8.7800485613455631E-2"/>
          <c:y val="0.16245382780209444"/>
          <c:w val="0.91089672043421754"/>
          <c:h val="0.72247888183808728"/>
        </c:manualLayout>
      </c:layout>
      <c:lineChart>
        <c:grouping val="standard"/>
        <c:varyColors val="0"/>
        <c:ser>
          <c:idx val="1"/>
          <c:order val="1"/>
          <c:tx>
            <c:strRef>
              <c:f>'Servicios Inmobiliarios'!$E$26</c:f>
              <c:strCache>
                <c:ptCount val="1"/>
                <c:pt idx="0">
                  <c:v>Total</c:v>
                </c:pt>
              </c:strCache>
              <c:extLst xmlns:c15="http://schemas.microsoft.com/office/drawing/2012/chart"/>
            </c:strRef>
          </c:tx>
          <c:marker>
            <c:symbol val="none"/>
          </c:marker>
          <c:dLbls>
            <c:spPr>
              <a:noFill/>
              <a:ln>
                <a:noFill/>
              </a:ln>
              <a:effectLst/>
            </c:sp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numRef>
              <c:f>'Servicios Inmobiliarios'!$F$22:$Q$22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extLst xmlns:c15="http://schemas.microsoft.com/office/drawing/2012/chart"/>
            </c:numRef>
          </c:cat>
          <c:val>
            <c:numRef>
              <c:f>'Servicios Inmobiliarios'!$F$26:$Q$26</c:f>
              <c:numCache>
                <c:formatCode>General</c:formatCode>
                <c:ptCount val="12"/>
                <c:pt idx="0">
                  <c:v>2</c:v>
                </c:pt>
                <c:pt idx="1">
                  <c:v>0</c:v>
                </c:pt>
                <c:pt idx="2">
                  <c:v>1</c:v>
                </c:pt>
                <c:pt idx="3">
                  <c:v>0</c:v>
                </c:pt>
                <c:pt idx="4">
                  <c:v>2</c:v>
                </c:pt>
                <c:pt idx="5">
                  <c:v>1</c:v>
                </c:pt>
                <c:pt idx="6">
                  <c:v>0</c:v>
                </c:pt>
                <c:pt idx="7">
                  <c:v>1</c:v>
                </c:pt>
                <c:pt idx="8">
                  <c:v>0</c:v>
                </c:pt>
                <c:pt idx="9">
                  <c:v>0</c:v>
                </c:pt>
                <c:pt idx="10">
                  <c:v>0</c:v>
                </c:pt>
                <c:pt idx="11">
                  <c:v>0</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82B1-4E49-AB86-E28898BBEBA0}"/>
            </c:ext>
          </c:extLst>
        </c:ser>
        <c:dLbls>
          <c:dLblPos val="t"/>
          <c:showLegendKey val="0"/>
          <c:showVal val="1"/>
          <c:showCatName val="0"/>
          <c:showSerName val="0"/>
          <c:showPercent val="0"/>
          <c:showBubbleSize val="0"/>
        </c:dLbls>
        <c:smooth val="0"/>
        <c:axId val="457286960"/>
        <c:axId val="928629872"/>
        <c:extLst>
          <c:ext xmlns:c15="http://schemas.microsoft.com/office/drawing/2012/chart" uri="{02D57815-91ED-43cb-92C2-25804820EDAC}">
            <c15:filteredLineSeries>
              <c15:ser>
                <c:idx val="0"/>
                <c:order val="0"/>
                <c:tx>
                  <c:strRef>
                    <c:extLst>
                      <c:ext uri="{02D57815-91ED-43cb-92C2-25804820EDAC}">
                        <c15:formulaRef>
                          <c15:sqref>'Servicios Inmobiliarios'!$E$25</c15:sqref>
                        </c15:formulaRef>
                      </c:ext>
                    </c:extLst>
                    <c:strCache>
                      <c:ptCount val="1"/>
                      <c:pt idx="0">
                        <c:v>Terminación de Contrato</c:v>
                      </c:pt>
                    </c:strCache>
                  </c:strRef>
                </c:tx>
                <c:marker>
                  <c:symbol val="none"/>
                </c:marker>
                <c:dLbls>
                  <c:spPr>
                    <a:noFill/>
                    <a:ln>
                      <a:noFill/>
                    </a:ln>
                    <a:effectLst/>
                  </c:spPr>
                  <c:dLblPos val="t"/>
                  <c:showLegendKey val="0"/>
                  <c:showVal val="1"/>
                  <c:showCatName val="0"/>
                  <c:showSerName val="0"/>
                  <c:showPercent val="0"/>
                  <c:showBubbleSize val="0"/>
                  <c:showLeaderLines val="0"/>
                  <c:extLst>
                    <c:ext uri="{CE6537A1-D6FC-4f65-9D91-7224C49458BB}">
                      <c15:showLeaderLines val="1"/>
                    </c:ext>
                  </c:extLst>
                </c:dLbls>
                <c:cat>
                  <c:numRef>
                    <c:extLst>
                      <c:ext uri="{02D57815-91ED-43cb-92C2-25804820EDAC}">
                        <c15:formulaRef>
                          <c15:sqref>'Servicios Inmobiliarios'!$F$22:$Q$22</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'Servicios Inmobiliarios'!$F$25:$Q$25</c15:sqref>
                        </c15:formulaRef>
                      </c:ext>
                    </c:extLst>
                    <c:numCache>
                      <c:formatCode>General</c:formatCode>
                      <c:ptCount val="12"/>
                      <c:pt idx="0">
                        <c:v>2</c:v>
                      </c:pt>
                      <c:pt idx="1">
                        <c:v>0</c:v>
                      </c:pt>
                      <c:pt idx="2">
                        <c:v>1</c:v>
                      </c:pt>
                      <c:pt idx="3">
                        <c:v>0</c:v>
                      </c:pt>
                      <c:pt idx="4">
                        <c:v>2</c:v>
                      </c:pt>
                      <c:pt idx="5">
                        <c:v>1</c:v>
                      </c:pt>
                      <c:pt idx="6">
                        <c:v>0</c:v>
                      </c:pt>
                      <c:pt idx="7">
                        <c:v>1</c:v>
                      </c:pt>
                    </c:numCache>
                  </c:numRef>
                </c:val>
                <c:smooth val="0"/>
                <c:extLst>
                  <c:ext xmlns:c16="http://schemas.microsoft.com/office/drawing/2014/chart" uri="{C3380CC4-5D6E-409C-BE32-E72D297353CC}">
                    <c16:uniqueId val="{00000001-82B1-4E49-AB86-E28898BBEBA0}"/>
                  </c:ext>
                </c:extLst>
              </c15:ser>
            </c15:filteredLineSeries>
          </c:ext>
        </c:extLst>
      </c:lineChart>
      <c:dateAx>
        <c:axId val="45728696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9872"/>
        <c:crosses val="autoZero"/>
        <c:auto val="1"/>
        <c:lblOffset val="100"/>
        <c:baseTimeUnit val="months"/>
      </c:dateAx>
      <c:valAx>
        <c:axId val="9286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7286960"/>
        <c:crosses val="autoZero"/>
        <c:crossBetween val="between"/>
      </c:valAx>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RECLAMOS </a:t>
            </a:r>
            <a:r>
              <a:rPr lang="es-CO" baseline="0"/>
              <a:t>SERVICIOS INMOBILIARIOS</a:t>
            </a:r>
            <a:endParaRPr lang="es-CO"/>
          </a:p>
        </c:rich>
      </c:tx>
      <c:overlay val="0"/>
      <c:spPr>
        <a:noFill/>
        <a:ln>
          <a:noFill/>
        </a:ln>
        <a:effectLst/>
      </c:spPr>
    </c:title>
    <c:autoTitleDeleted val="0"/>
    <c:plotArea>
      <c:layout>
        <c:manualLayout>
          <c:layoutTarget val="inner"/>
          <c:xMode val="edge"/>
          <c:yMode val="edge"/>
          <c:x val="8.115048118985127E-2"/>
          <c:y val="0.16245370370370371"/>
          <c:w val="0.8966272965879265"/>
          <c:h val="0.72088764946048411"/>
        </c:manualLayout>
      </c:layout>
      <c:lineChart>
        <c:grouping val="standard"/>
        <c:varyColors val="0"/>
        <c:ser>
          <c:idx val="2"/>
          <c:order val="0"/>
          <c:tx>
            <c:strRef>
              <c:f>'Servicios Inmobiliarios'!$E$37</c:f>
              <c:strCache>
                <c:ptCount val="1"/>
                <c:pt idx="0">
                  <c:v>Tarifa Incorrecta</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'Servicios Inmobiliarios'!$F$36:$Q$36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'Servicios Inmobiliarios'!$F$37:$Q$37</c:f>
              <c:numCache>
                <c:formatCode>General</c:formatCode>
                <c:ptCount val="12"/>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809F-45A4-BE39-0F7EBD4310A9}"/>
            </c:ext>
          </c:extLst>
        </c:ser>
        <c:ser>
          <c:idx val="3"/>
          <c:order val="1"/>
          <c:tx>
            <c:strRef>
              <c:f>'Servicios Inmobiliarios'!$E$38</c:f>
              <c:strCache>
                <c:ptCount val="1"/>
                <c:pt idx="0">
                  <c:v>Total</c:v>
                </c:pt>
              </c:strCache>
            </c:strRef>
          </c:tx>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'Servicios Inmobiliarios'!$F$36:$Q$36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'Servicios Inmobiliarios'!$F$38:$Q$38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09F-45A4-BE39-0F7EBD4310A9}"/>
            </c:ext>
          </c:extLst>
        </c:ser>
        <c:dLbls>
          <c:dLblPos val="t"/>
          <c:showLegendKey val="0"/>
          <c:showVal val="1"/>
          <c:showCatName val="0"/>
          <c:showSerName val="0"/>
          <c:showPercent val="0"/>
          <c:showBubbleSize val="0"/>
        </c:dLbls>
        <c:smooth val="0"/>
        <c:axId val="457286960"/>
        <c:axId val="928629872"/>
        <c:extLst/>
      </c:lineChart>
      <c:dateAx>
        <c:axId val="45728696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28629872"/>
        <c:crosses val="autoZero"/>
        <c:auto val="1"/>
        <c:lblOffset val="100"/>
        <c:baseTimeUnit val="months"/>
      </c:dateAx>
      <c:valAx>
        <c:axId val="92862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7286960"/>
        <c:crosses val="autoZero"/>
        <c:crossBetween val="between"/>
      </c:valAx>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SERVICIOS INMOBILIARIOS</a:t>
            </a:r>
          </a:p>
          <a:p>
            <a:pPr>
              <a:defRPr/>
            </a:pPr>
            <a:r>
              <a:rPr lang="es-CO"/>
              <a:t>ACUMULADO</a:t>
            </a:r>
            <a:r>
              <a:rPr lang="es-CO" baseline="0"/>
              <a:t> </a:t>
            </a:r>
            <a:r>
              <a:rPr lang="es-CO"/>
              <a:t>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2911832895888016"/>
          <c:y val="0.22726851851851851"/>
          <c:w val="0.93888888888888888"/>
          <c:h val="0.6714577865266842"/>
        </c:manualLayout>
      </c:layout>
      <c:doughnutChart>
        <c:varyColors val="1"/>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0F-401F-AFCB-A56F9EB1A0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0F-401F-AFCB-A56F9EB1A0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0F-401F-AFCB-A56F9EB1A00C}"/>
              </c:ext>
            </c:extLst>
          </c:dPt>
          <c:dLbls>
            <c:dLbl>
              <c:idx val="0"/>
              <c:layout>
                <c:manualLayout>
                  <c:x val="9.086106708927635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0F-401F-AFCB-A56F9EB1A00C}"/>
                </c:ext>
              </c:extLst>
            </c:dLbl>
            <c:dLbl>
              <c:idx val="1"/>
              <c:layout>
                <c:manualLayout>
                  <c:x val="-7.1843634442683574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0F-401F-AFCB-A56F9EB1A00C}"/>
                </c:ext>
              </c:extLst>
            </c:dLbl>
            <c:dLbl>
              <c:idx val="2"/>
              <c:layout>
                <c:manualLayout>
                  <c:x val="8.0295826730058112E-2"/>
                  <c:y val="-5.5555555555555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0F-401F-AFCB-A56F9EB1A0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'Servicios Inmobiliarios'!$E$48:$E$50</c:f>
              <c:strCache>
                <c:ptCount val="3"/>
                <c:pt idx="0">
                  <c:v>PETICION</c:v>
                </c:pt>
                <c:pt idx="1">
                  <c:v>QUEJA</c:v>
                </c:pt>
                <c:pt idx="2">
                  <c:v>RECLAMO</c:v>
                </c:pt>
              </c:strCache>
            </c:strRef>
          </c:cat>
          <c:val>
            <c:numRef>
              <c:f>'Servicios Inmobiliarios'!$G$48:$G$50</c:f>
              <c:numCache>
                <c:formatCode>0%</c:formatCode>
                <c:ptCount val="3"/>
                <c:pt idx="0">
                  <c:v>0.87272727272727268</c:v>
                </c:pt>
                <c:pt idx="1">
                  <c:v>0.12727272727272726</c:v>
                </c:pt>
                <c:pt idx="2">
                  <c:v>0</c:v>
                </c:pt>
              </c:numCache>
            </c:numRef>
          </c:val>
          <c:extLst xmlns:c15="http://schemas.microsoft.com/office/drawing/2012/chart">
            <c:ext xmlns:c16="http://schemas.microsoft.com/office/drawing/2014/chart" uri="{C3380CC4-5D6E-409C-BE32-E72D297353CC}">
              <c16:uniqueId val="{00000006-700F-401F-AFCB-A56F9EB1A00C}"/>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00F-401F-AFCB-A56F9EB1A0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700F-401F-AFCB-A56F9EB1A0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700F-401F-AFCB-A56F9EB1A00C}"/>
                    </c:ext>
                  </c:extLst>
                </c:dPt>
                <c:cat>
                  <c:strRef>
                    <c:extLst>
                      <c:ext uri="{02D57815-91ED-43cb-92C2-25804820EDAC}">
                        <c15:formulaRef>
                          <c15:sqref>'Servicios Inmobiliarios'!$E$48:$E$50</c15:sqref>
                        </c15:formulaRef>
                      </c:ext>
                    </c:extLst>
                    <c:strCache>
                      <c:ptCount val="3"/>
                      <c:pt idx="0">
                        <c:v>PETICION</c:v>
                      </c:pt>
                      <c:pt idx="1">
                        <c:v>QUEJA</c:v>
                      </c:pt>
                      <c:pt idx="2">
                        <c:v>RECLAMO</c:v>
                      </c:pt>
                    </c:strCache>
                  </c:strRef>
                </c:cat>
                <c:val>
                  <c:numRef>
                    <c:extLst>
                      <c:ext uri="{02D57815-91ED-43cb-92C2-25804820EDAC}">
                        <c15:formulaRef>
                          <c15:sqref>'Servicios Inmobiliarios'!$F$48:$F$50</c15:sqref>
                        </c15:formulaRef>
                      </c:ext>
                    </c:extLst>
                    <c:numCache>
                      <c:formatCode>General</c:formatCode>
                      <c:ptCount val="3"/>
                      <c:pt idx="0">
                        <c:v>48</c:v>
                      </c:pt>
                      <c:pt idx="1">
                        <c:v>7</c:v>
                      </c:pt>
                      <c:pt idx="2">
                        <c:v>0</c:v>
                      </c:pt>
                    </c:numCache>
                  </c:numRef>
                </c:val>
                <c:extLst>
                  <c:ext xmlns:c16="http://schemas.microsoft.com/office/drawing/2014/chart" uri="{C3380CC4-5D6E-409C-BE32-E72D297353CC}">
                    <c16:uniqueId val="{0000000D-700F-401F-AFCB-A56F9EB1A00C}"/>
                  </c:ext>
                </c:extLst>
              </c15:ser>
            </c15:filteredPieSeries>
          </c:ext>
        </c:extLst>
      </c:doughnutChart>
      <c:spPr>
        <a:noFill/>
        <a:ln>
          <a:noFill/>
        </a:ln>
        <a:effectLst/>
      </c:spPr>
    </c:plotArea>
    <c:legend>
      <c:legendPos val="r"/>
      <c:layout>
        <c:manualLayout>
          <c:xMode val="edge"/>
          <c:yMode val="edge"/>
          <c:x val="0.27386192930574504"/>
          <c:y val="0.92162957891133168"/>
          <c:w val="0.58602232290260092"/>
          <c:h val="7.54848035299935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PETICIONES</a:t>
            </a:r>
            <a:r>
              <a:rPr lang="es-CO" baseline="0"/>
              <a:t> SERVICIOS COMPLEMENTARIOS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'Servicios Complementarios'!$E$12</c:f>
              <c:strCache>
                <c:ptCount val="1"/>
                <c:pt idx="0">
                  <c:v>Solicitud General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'Servicios Complementarios'!$F$11:$R$11</c15:sqref>
                  </c15:fullRef>
                </c:ext>
              </c:extLst>
              <c:f>'Servicios Complementarios'!$F$11:$Q$11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'Servicios Complementarios'!$F$12:$R$12</c15:sqref>
                  </c15:fullRef>
                </c:ext>
              </c:extLst>
              <c:f>'Servicios Complementarios'!$F$12:$Q$12</c:f>
              <c:numCache>
                <c:formatCode>General</c:formatCode>
                <c:ptCount val="12"/>
                <c:pt idx="0">
                  <c:v>4</c:v>
                </c:pt>
                <c:pt idx="1">
                  <c:v>6</c:v>
                </c:pt>
                <c:pt idx="2">
                  <c:v>7</c:v>
                </c:pt>
                <c:pt idx="3">
                  <c:v>6</c:v>
                </c:pt>
                <c:pt idx="4">
                  <c:v>7</c:v>
                </c:pt>
                <c:pt idx="5">
                  <c:v>11</c:v>
                </c:pt>
                <c:pt idx="6">
                  <c:v>16</c:v>
                </c:pt>
                <c:pt idx="7">
                  <c:v>7</c:v>
                </c:pt>
              </c:numCache>
            </c:numRef>
          </c:val>
          <c:smooth val="0"/>
          <c:extLst>
            <c:ext xmlns:c16="http://schemas.microsoft.com/office/drawing/2014/chart" uri="{C3380CC4-5D6E-409C-BE32-E72D297353CC}">
              <c16:uniqueId val="{00000000-4040-458A-AB2C-DE83C43BC832}"/>
            </c:ext>
          </c:extLst>
        </c:ser>
        <c:dLbls>
          <c:dLblPos val="t"/>
          <c:showLegendKey val="0"/>
          <c:showVal val="1"/>
          <c:showCatName val="0"/>
          <c:showSerName val="0"/>
          <c:showPercent val="0"/>
          <c:showBubbleSize val="0"/>
        </c:dLbls>
        <c:smooth val="0"/>
        <c:axId val="136500799"/>
        <c:axId val="27281471"/>
        <c:extLst>
          <c:ext xmlns:c15="http://schemas.microsoft.com/office/drawing/2012/chart" uri="{02D57815-91ED-43cb-92C2-25804820EDAC}">
            <c15:filteredLineSeries>
              <c15:ser>
                <c:idx val="1"/>
                <c:order val="1"/>
                <c:tx>
                  <c:strRef>
                    <c:extLst>
                      <c:ext uri="{02D57815-91ED-43cb-92C2-25804820EDAC}">
                        <c15:formulaRef>
                          <c15:sqref>'Servicios Complementarios'!$E$13</c15:sqref>
                        </c15:formulaRef>
                      </c:ext>
                    </c:extLst>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'Servicios Complementarios'!$F$11:$R$11</c15:sqref>
                        </c15:fullRef>
                        <c15:formulaRef>
                          <c15:sqref>'Servicios Complementarios'!$F$11:$Q$11</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'Servicios Complementarios'!$F$13:$R$13</c15:sqref>
                        </c15:fullRef>
                        <c15:formulaRef>
                          <c15:sqref>'Servicios Complementarios'!$F$13:$Q$13</c15:sqref>
                        </c15:formulaRef>
                      </c:ext>
                    </c:extLst>
                    <c:numCache>
                      <c:formatCode>General</c:formatCode>
                      <c:ptCount val="12"/>
                      <c:pt idx="0">
                        <c:v>4</c:v>
                      </c:pt>
                      <c:pt idx="1">
                        <c:v>6</c:v>
                      </c:pt>
                      <c:pt idx="2">
                        <c:v>7</c:v>
                      </c:pt>
                      <c:pt idx="3">
                        <c:v>6</c:v>
                      </c:pt>
                      <c:pt idx="4">
                        <c:v>7</c:v>
                      </c:pt>
                      <c:pt idx="5">
                        <c:v>11</c:v>
                      </c:pt>
                      <c:pt idx="6">
                        <c:v>16</c:v>
                      </c:pt>
                      <c:pt idx="7">
                        <c:v>7</c:v>
                      </c:pt>
                      <c:pt idx="8">
                        <c:v>0</c:v>
                      </c:pt>
                      <c:pt idx="9">
                        <c:v>0</c:v>
                      </c:pt>
                    </c:numCache>
                  </c:numRef>
                </c:val>
                <c:smooth val="0"/>
                <c:extLst>
                  <c:ext xmlns:c16="http://schemas.microsoft.com/office/drawing/2014/chart" uri="{C3380CC4-5D6E-409C-BE32-E72D297353CC}">
                    <c16:uniqueId val="{00000001-4040-458A-AB2C-DE83C43BC832}"/>
                  </c:ext>
                </c:extLst>
              </c15:ser>
            </c15:filteredLineSeries>
          </c:ext>
        </c:extLst>
      </c:lineChart>
      <c:dateAx>
        <c:axId val="13650079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81471"/>
        <c:crosses val="autoZero"/>
        <c:auto val="1"/>
        <c:lblOffset val="100"/>
        <c:baseTimeUnit val="months"/>
      </c:dateAx>
      <c:valAx>
        <c:axId val="272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65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PETICIONES</a:t>
            </a:r>
            <a:r>
              <a:rPr lang="es-CO" baseline="0"/>
              <a:t> SERVICIOS COMPLEMENTARIOS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TyDRcd!$E$12</c:f>
              <c:strCache>
                <c:ptCount val="1"/>
                <c:pt idx="0">
                  <c:v>Solicitud General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TyDRcd!$F$11:$R$11</c15:sqref>
                  </c15:fullRef>
                </c:ext>
              </c:extLst>
              <c:f>TyDRcd!$F$11:$Q$11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TyDRcd!$F$12:$R$12</c15:sqref>
                  </c15:fullRef>
                </c:ext>
              </c:extLst>
              <c:f>TyDRcd!$F$12:$Q$12</c:f>
              <c:numCache>
                <c:formatCode>General</c:formatCode>
                <c:ptCount val="12"/>
                <c:pt idx="0">
                  <c:v>0</c:v>
                </c:pt>
                <c:pt idx="1">
                  <c:v>0</c:v>
                </c:pt>
                <c:pt idx="2">
                  <c:v>0</c:v>
                </c:pt>
                <c:pt idx="3">
                  <c:v>0</c:v>
                </c:pt>
                <c:pt idx="4">
                  <c:v>0</c:v>
                </c:pt>
                <c:pt idx="5">
                  <c:v>0</c:v>
                </c:pt>
                <c:pt idx="6">
                  <c:v>2</c:v>
                </c:pt>
                <c:pt idx="7">
                  <c:v>7</c:v>
                </c:pt>
              </c:numCache>
            </c:numRef>
          </c:val>
          <c:smooth val="0"/>
          <c:extLst>
            <c:ext xmlns:c16="http://schemas.microsoft.com/office/drawing/2014/chart" uri="{C3380CC4-5D6E-409C-BE32-E72D297353CC}">
              <c16:uniqueId val="{00000000-7C52-4318-ADEC-4D2D7DF26A93}"/>
            </c:ext>
          </c:extLst>
        </c:ser>
        <c:dLbls>
          <c:dLblPos val="t"/>
          <c:showLegendKey val="0"/>
          <c:showVal val="1"/>
          <c:showCatName val="0"/>
          <c:showSerName val="0"/>
          <c:showPercent val="0"/>
          <c:showBubbleSize val="0"/>
        </c:dLbls>
        <c:smooth val="0"/>
        <c:axId val="136500799"/>
        <c:axId val="27281471"/>
        <c:extLst>
          <c:ext xmlns:c15="http://schemas.microsoft.com/office/drawing/2012/chart" uri="{02D57815-91ED-43cb-92C2-25804820EDAC}">
            <c15:filteredLineSeries>
              <c15:ser>
                <c:idx val="1"/>
                <c:order val="1"/>
                <c:tx>
                  <c:strRef>
                    <c:extLst>
                      <c:ext uri="{02D57815-91ED-43cb-92C2-25804820EDAC}">
                        <c15:formulaRef>
                          <c15:sqref>TyDRcd!$E$13</c15:sqref>
                        </c15:formulaRef>
                      </c:ext>
                    </c:extLst>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TyDRcd!$F$11:$R$11</c15:sqref>
                        </c15:fullRef>
                        <c15:formulaRef>
                          <c15:sqref>TyDRcd!$F$11:$Q$11</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TyDRcd!$F$13:$R$13</c15:sqref>
                        </c15:fullRef>
                        <c15:formulaRef>
                          <c15:sqref>TyDRcd!$F$13:$Q$13</c15:sqref>
                        </c15:formulaRef>
                      </c:ext>
                    </c:extLst>
                    <c:numCache>
                      <c:formatCode>General</c:formatCode>
                      <c:ptCount val="12"/>
                      <c:pt idx="0">
                        <c:v>0</c:v>
                      </c:pt>
                      <c:pt idx="1">
                        <c:v>0</c:v>
                      </c:pt>
                      <c:pt idx="2">
                        <c:v>0</c:v>
                      </c:pt>
                      <c:pt idx="3">
                        <c:v>0</c:v>
                      </c:pt>
                      <c:pt idx="4">
                        <c:v>0</c:v>
                      </c:pt>
                      <c:pt idx="5">
                        <c:v>0</c:v>
                      </c:pt>
                      <c:pt idx="6">
                        <c:v>2</c:v>
                      </c:pt>
                      <c:pt idx="7">
                        <c:v>7</c:v>
                      </c:pt>
                      <c:pt idx="8">
                        <c:v>0</c:v>
                      </c:pt>
                      <c:pt idx="9">
                        <c:v>0</c:v>
                      </c:pt>
                      <c:pt idx="10">
                        <c:v>0</c:v>
                      </c:pt>
                    </c:numCache>
                  </c:numRef>
                </c:val>
                <c:smooth val="0"/>
                <c:extLst>
                  <c:ext xmlns:c16="http://schemas.microsoft.com/office/drawing/2014/chart" uri="{C3380CC4-5D6E-409C-BE32-E72D297353CC}">
                    <c16:uniqueId val="{00000001-7C52-4318-ADEC-4D2D7DF26A93}"/>
                  </c:ext>
                </c:extLst>
              </c15:ser>
            </c15:filteredLineSeries>
          </c:ext>
        </c:extLst>
      </c:lineChart>
      <c:dateAx>
        <c:axId val="13650079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281471"/>
        <c:crosses val="autoZero"/>
        <c:auto val="1"/>
        <c:lblOffset val="100"/>
        <c:baseTimeUnit val="months"/>
      </c:dateAx>
      <c:valAx>
        <c:axId val="2728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65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PETICIONES</a:t>
            </a:r>
            <a:r>
              <a:rPr lang="en-US" baseline="0"/>
              <a:t>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580927384076995E-2"/>
          <c:y val="0.17171296296296298"/>
          <c:w val="0.89019685039370078"/>
          <c:h val="0.61498432487605714"/>
        </c:manualLayout>
      </c:layout>
      <c:lineChart>
        <c:grouping val="standard"/>
        <c:varyColors val="0"/>
        <c:ser>
          <c:idx val="7"/>
          <c:order val="7"/>
          <c:tx>
            <c:strRef>
              <c:f>PQR!$D$13</c:f>
              <c:strCache>
                <c:ptCount val="1"/>
                <c:pt idx="0">
                  <c:v>Total</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ext>
              </c:extLst>
              <c:f>PQR!$E$5:$P$5</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PQR!$E$13:$Q$13</c15:sqref>
                  </c15:fullRef>
                </c:ext>
              </c:extLst>
              <c:f>PQR!$E$13:$P$13</c:f>
              <c:numCache>
                <c:formatCode>General</c:formatCode>
                <c:ptCount val="12"/>
                <c:pt idx="0">
                  <c:v>195</c:v>
                </c:pt>
                <c:pt idx="1">
                  <c:v>240</c:v>
                </c:pt>
                <c:pt idx="2">
                  <c:v>180</c:v>
                </c:pt>
                <c:pt idx="3">
                  <c:v>239</c:v>
                </c:pt>
                <c:pt idx="4">
                  <c:v>178</c:v>
                </c:pt>
                <c:pt idx="5">
                  <c:v>194</c:v>
                </c:pt>
                <c:pt idx="6">
                  <c:v>252</c:v>
                </c:pt>
                <c:pt idx="7">
                  <c:v>180</c:v>
                </c:pt>
                <c:pt idx="8">
                  <c:v>0</c:v>
                </c:pt>
                <c:pt idx="9">
                  <c:v>0</c:v>
                </c:pt>
                <c:pt idx="10">
                  <c:v>0</c:v>
                </c:pt>
                <c:pt idx="11">
                  <c:v>0</c:v>
                </c:pt>
              </c:numCache>
            </c:numRef>
          </c:val>
          <c:smooth val="0"/>
          <c:extLst>
            <c:ext xmlns:c16="http://schemas.microsoft.com/office/drawing/2014/chart" uri="{C3380CC4-5D6E-409C-BE32-E72D297353CC}">
              <c16:uniqueId val="{00000000-3016-4F43-B68A-30EF471806BE}"/>
            </c:ext>
          </c:extLst>
        </c:ser>
        <c:dLbls>
          <c:dLblPos val="t"/>
          <c:showLegendKey val="0"/>
          <c:showVal val="1"/>
          <c:showCatName val="0"/>
          <c:showSerName val="0"/>
          <c:showPercent val="0"/>
          <c:showBubbleSize val="0"/>
        </c:dLbls>
        <c:smooth val="0"/>
        <c:axId val="146402943"/>
        <c:axId val="1730590047"/>
        <c:extLst>
          <c:ext xmlns:c15="http://schemas.microsoft.com/office/drawing/2012/chart" uri="{02D57815-91ED-43cb-92C2-25804820EDAC}">
            <c15:filteredLineSeries>
              <c15:ser>
                <c:idx val="0"/>
                <c:order val="0"/>
                <c:tx>
                  <c:strRef>
                    <c:extLst>
                      <c:ext uri="{02D57815-91ED-43cb-92C2-25804820EDAC}">
                        <c15:formulaRef>
                          <c15:sqref>PQR!$D$6</c15:sqref>
                        </c15:formulaRef>
                      </c:ext>
                    </c:extLst>
                    <c:strCache>
                      <c:ptCount val="1"/>
                      <c:pt idx="0">
                        <c:v>Cambio de clase de uso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PQR!$E$6:$Q$6</c15:sqref>
                        </c15:fullRef>
                        <c15:formulaRef>
                          <c15:sqref>PQR!$E$6:$P$6</c15:sqref>
                        </c15:formulaRef>
                      </c:ext>
                    </c:extLst>
                    <c:numCache>
                      <c:formatCode>General</c:formatCode>
                      <c:ptCount val="12"/>
                      <c:pt idx="0">
                        <c:v>1</c:v>
                      </c:pt>
                      <c:pt idx="1">
                        <c:v>1</c:v>
                      </c:pt>
                      <c:pt idx="2">
                        <c:v>2</c:v>
                      </c:pt>
                      <c:pt idx="3">
                        <c:v>3</c:v>
                      </c:pt>
                      <c:pt idx="4">
                        <c:v>2</c:v>
                      </c:pt>
                      <c:pt idx="5">
                        <c:v>3</c:v>
                      </c:pt>
                      <c:pt idx="6">
                        <c:v>2</c:v>
                      </c:pt>
                      <c:pt idx="7">
                        <c:v>0</c:v>
                      </c:pt>
                    </c:numCache>
                  </c:numRef>
                </c:val>
                <c:smooth val="0"/>
                <c:extLst>
                  <c:ext xmlns:c16="http://schemas.microsoft.com/office/drawing/2014/chart" uri="{C3380CC4-5D6E-409C-BE32-E72D297353CC}">
                    <c16:uniqueId val="{00000001-3016-4F43-B68A-30EF471806BE}"/>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PQR!$D$7</c15:sqref>
                        </c15:formulaRef>
                      </c:ext>
                    </c:extLst>
                    <c:strCache>
                      <c:ptCount val="1"/>
                      <c:pt idx="0">
                        <c:v>Datos Generales Incorrectos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PQR!$E$7:$Q$7</c15:sqref>
                        </c15:fullRef>
                        <c15:formulaRef>
                          <c15:sqref>PQR!$E$7:$P$7</c15:sqref>
                        </c15:formulaRef>
                      </c:ext>
                    </c:extLst>
                    <c:numCache>
                      <c:formatCode>General</c:formatCode>
                      <c:ptCount val="12"/>
                      <c:pt idx="0">
                        <c:v>24</c:v>
                      </c:pt>
                      <c:pt idx="1">
                        <c:v>34</c:v>
                      </c:pt>
                      <c:pt idx="2">
                        <c:v>22</c:v>
                      </c:pt>
                      <c:pt idx="3">
                        <c:v>27</c:v>
                      </c:pt>
                      <c:pt idx="4">
                        <c:v>14</c:v>
                      </c:pt>
                      <c:pt idx="5">
                        <c:v>14</c:v>
                      </c:pt>
                      <c:pt idx="6">
                        <c:v>28</c:v>
                      </c:pt>
                      <c:pt idx="7">
                        <c:v>7</c:v>
                      </c:pt>
                    </c:numCache>
                  </c:numRef>
                </c:val>
                <c:smooth val="0"/>
                <c:extLst xmlns:c15="http://schemas.microsoft.com/office/drawing/2012/chart">
                  <c:ext xmlns:c16="http://schemas.microsoft.com/office/drawing/2014/chart" uri="{C3380CC4-5D6E-409C-BE32-E72D297353CC}">
                    <c16:uniqueId val="{00000002-3016-4F43-B68A-30EF471806BE}"/>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PQR!$D$8</c15:sqref>
                        </c15:formulaRef>
                      </c:ext>
                    </c:extLst>
                    <c:strCache>
                      <c:ptCount val="1"/>
                      <c:pt idx="0">
                        <c:v>Descuento por predio desocupado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PQR!$E$8:$Q$8</c15:sqref>
                        </c15:fullRef>
                        <c15:formulaRef>
                          <c15:sqref>PQR!$E$8:$P$8</c15:sqref>
                        </c15:formulaRef>
                      </c:ext>
                    </c:extLst>
                    <c:numCache>
                      <c:formatCode>General</c:formatCode>
                      <c:ptCount val="12"/>
                      <c:pt idx="0">
                        <c:v>55</c:v>
                      </c:pt>
                      <c:pt idx="1">
                        <c:v>72</c:v>
                      </c:pt>
                      <c:pt idx="2">
                        <c:v>48</c:v>
                      </c:pt>
                      <c:pt idx="3">
                        <c:v>52</c:v>
                      </c:pt>
                      <c:pt idx="4">
                        <c:v>54</c:v>
                      </c:pt>
                      <c:pt idx="5">
                        <c:v>57</c:v>
                      </c:pt>
                      <c:pt idx="6">
                        <c:v>70</c:v>
                      </c:pt>
                      <c:pt idx="7">
                        <c:v>71</c:v>
                      </c:pt>
                    </c:numCache>
                  </c:numRef>
                </c:val>
                <c:smooth val="0"/>
                <c:extLst xmlns:c15="http://schemas.microsoft.com/office/drawing/2012/chart">
                  <c:ext xmlns:c16="http://schemas.microsoft.com/office/drawing/2014/chart" uri="{C3380CC4-5D6E-409C-BE32-E72D297353CC}">
                    <c16:uniqueId val="{00000003-3016-4F43-B68A-30EF471806BE}"/>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PQR!$D$9</c15:sqref>
                        </c15:formulaRef>
                      </c:ext>
                    </c:extLst>
                    <c:strCache>
                      <c:ptCount val="1"/>
                      <c:pt idx="0">
                        <c:v>Reubicar Medidor</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PQR!$E$9:$Q$9</c15:sqref>
                        </c15:fullRef>
                        <c15:formulaRef>
                          <c15:sqref>PQR!$E$9:$P$9</c15:sqref>
                        </c15:formulaRef>
                      </c:ext>
                    </c:extLst>
                    <c:numCache>
                      <c:formatCode>General</c:formatCode>
                      <c:ptCount val="12"/>
                      <c:pt idx="0">
                        <c:v>1</c:v>
                      </c:pt>
                      <c:pt idx="1">
                        <c:v>1</c:v>
                      </c:pt>
                      <c:pt idx="2">
                        <c:v>2</c:v>
                      </c:pt>
                      <c:pt idx="3">
                        <c:v>1</c:v>
                      </c:pt>
                      <c:pt idx="4">
                        <c:v>4</c:v>
                      </c:pt>
                      <c:pt idx="5">
                        <c:v>3</c:v>
                      </c:pt>
                      <c:pt idx="6">
                        <c:v>1</c:v>
                      </c:pt>
                      <c:pt idx="7">
                        <c:v>0</c:v>
                      </c:pt>
                    </c:numCache>
                  </c:numRef>
                </c:val>
                <c:smooth val="0"/>
                <c:extLst xmlns:c15="http://schemas.microsoft.com/office/drawing/2012/chart">
                  <c:ext xmlns:c16="http://schemas.microsoft.com/office/drawing/2014/chart" uri="{C3380CC4-5D6E-409C-BE32-E72D297353CC}">
                    <c16:uniqueId val="{00000004-3016-4F43-B68A-30EF471806BE}"/>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PQR!$D$10</c15:sqref>
                        </c15:formulaRef>
                      </c:ext>
                    </c:extLst>
                    <c:strCache>
                      <c:ptCount val="1"/>
                      <c:pt idx="0">
                        <c:v>Revisión con Geofono</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PQR!$E$10:$Q$10</c15:sqref>
                        </c15:fullRef>
                        <c15:formulaRef>
                          <c15:sqref>PQR!$E$10:$P$10</c15:sqref>
                        </c15:formulaRef>
                      </c:ext>
                    </c:extLst>
                    <c:numCache>
                      <c:formatCode>General</c:formatCode>
                      <c:ptCount val="12"/>
                      <c:pt idx="0">
                        <c:v>1</c:v>
                      </c:pt>
                      <c:pt idx="1">
                        <c:v>5</c:v>
                      </c:pt>
                      <c:pt idx="2">
                        <c:v>1</c:v>
                      </c:pt>
                      <c:pt idx="3">
                        <c:v>2</c:v>
                      </c:pt>
                      <c:pt idx="4">
                        <c:v>4</c:v>
                      </c:pt>
                      <c:pt idx="5">
                        <c:v>5</c:v>
                      </c:pt>
                      <c:pt idx="6">
                        <c:v>2</c:v>
                      </c:pt>
                      <c:pt idx="7">
                        <c:v>6</c:v>
                      </c:pt>
                    </c:numCache>
                  </c:numRef>
                </c:val>
                <c:smooth val="0"/>
                <c:extLst xmlns:c15="http://schemas.microsoft.com/office/drawing/2012/chart">
                  <c:ext xmlns:c16="http://schemas.microsoft.com/office/drawing/2014/chart" uri="{C3380CC4-5D6E-409C-BE32-E72D297353CC}">
                    <c16:uniqueId val="{00000005-3016-4F43-B68A-30EF471806BE}"/>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PQR!$D$11</c15:sqref>
                        </c15:formulaRef>
                      </c:ext>
                    </c:extLst>
                    <c:strCache>
                      <c:ptCount val="1"/>
                      <c:pt idx="0">
                        <c:v>Solicitud General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PQR!$E$11:$Q$11</c15:sqref>
                        </c15:fullRef>
                        <c15:formulaRef>
                          <c15:sqref>PQR!$E$11:$P$11</c15:sqref>
                        </c15:formulaRef>
                      </c:ext>
                    </c:extLst>
                    <c:numCache>
                      <c:formatCode>General</c:formatCode>
                      <c:ptCount val="12"/>
                      <c:pt idx="0">
                        <c:v>74</c:v>
                      </c:pt>
                      <c:pt idx="1">
                        <c:v>99</c:v>
                      </c:pt>
                      <c:pt idx="2">
                        <c:v>85</c:v>
                      </c:pt>
                      <c:pt idx="3">
                        <c:v>88</c:v>
                      </c:pt>
                      <c:pt idx="4">
                        <c:v>68</c:v>
                      </c:pt>
                      <c:pt idx="5">
                        <c:v>87</c:v>
                      </c:pt>
                      <c:pt idx="6">
                        <c:v>125</c:v>
                      </c:pt>
                      <c:pt idx="7">
                        <c:v>80</c:v>
                      </c:pt>
                    </c:numCache>
                  </c:numRef>
                </c:val>
                <c:smooth val="0"/>
                <c:extLst xmlns:c15="http://schemas.microsoft.com/office/drawing/2012/chart">
                  <c:ext xmlns:c16="http://schemas.microsoft.com/office/drawing/2014/chart" uri="{C3380CC4-5D6E-409C-BE32-E72D297353CC}">
                    <c16:uniqueId val="{00000006-3016-4F43-B68A-30EF471806BE}"/>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PQR!$D$12</c15:sqref>
                        </c15:formulaRef>
                      </c:ext>
                    </c:extLst>
                    <c:strCache>
                      <c:ptCount val="1"/>
                      <c:pt idx="0">
                        <c:v>Vinculación del Servicio</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PQR!$E$5:$Q$5</c15:sqref>
                        </c15:fullRef>
                        <c15:formulaRef>
                          <c15:sqref>PQR!$E$5:$P$5</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PQR!$E$12:$Q$12</c15:sqref>
                        </c15:fullRef>
                        <c15:formulaRef>
                          <c15:sqref>PQR!$E$12:$P$12</c15:sqref>
                        </c15:formulaRef>
                      </c:ext>
                    </c:extLst>
                    <c:numCache>
                      <c:formatCode>General</c:formatCode>
                      <c:ptCount val="12"/>
                      <c:pt idx="0">
                        <c:v>39</c:v>
                      </c:pt>
                      <c:pt idx="1">
                        <c:v>28</c:v>
                      </c:pt>
                      <c:pt idx="2">
                        <c:v>20</c:v>
                      </c:pt>
                      <c:pt idx="3">
                        <c:v>66</c:v>
                      </c:pt>
                      <c:pt idx="4">
                        <c:v>32</c:v>
                      </c:pt>
                      <c:pt idx="5">
                        <c:v>25</c:v>
                      </c:pt>
                      <c:pt idx="6">
                        <c:v>24</c:v>
                      </c:pt>
                      <c:pt idx="7">
                        <c:v>16</c:v>
                      </c:pt>
                    </c:numCache>
                  </c:numRef>
                </c:val>
                <c:smooth val="0"/>
                <c:extLst xmlns:c15="http://schemas.microsoft.com/office/drawing/2012/chart">
                  <c:ext xmlns:c16="http://schemas.microsoft.com/office/drawing/2014/chart" uri="{C3380CC4-5D6E-409C-BE32-E72D297353CC}">
                    <c16:uniqueId val="{00000007-3016-4F43-B68A-30EF471806BE}"/>
                  </c:ext>
                </c:extLst>
              </c15:ser>
            </c15:filteredLineSeries>
          </c:ext>
        </c:extLst>
      </c:lineChart>
      <c:dateAx>
        <c:axId val="14640294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0590047"/>
        <c:crosses val="autoZero"/>
        <c:auto val="1"/>
        <c:lblOffset val="100"/>
        <c:baseTimeUnit val="months"/>
      </c:dateAx>
      <c:valAx>
        <c:axId val="173059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640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QUEJAS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9.5914260717410341E-2"/>
          <c:y val="0.16245370370370371"/>
          <c:w val="0.89019685039370078"/>
          <c:h val="0.72088764946048411"/>
        </c:manualLayout>
      </c:layout>
      <c:lineChart>
        <c:grouping val="standard"/>
        <c:varyColors val="0"/>
        <c:ser>
          <c:idx val="10"/>
          <c:order val="10"/>
          <c:tx>
            <c:strRef>
              <c:f>PQR!$D$32</c:f>
              <c:strCache>
                <c:ptCount val="1"/>
                <c:pt idx="0">
                  <c:v>Total</c:v>
                </c:pt>
              </c:strCache>
            </c:strRef>
          </c:tx>
          <c:spPr>
            <a:ln w="28575" cap="rnd">
              <a:solidFill>
                <a:schemeClr val="accent5">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ext>
              </c:extLst>
              <c:f>PQR!$E$19:$P$19</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PQR!$E$32:$Q$32</c15:sqref>
                  </c15:fullRef>
                </c:ext>
              </c:extLst>
              <c:f>PQR!$E$32:$P$32</c:f>
              <c:numCache>
                <c:formatCode>General</c:formatCode>
                <c:ptCount val="12"/>
                <c:pt idx="0">
                  <c:v>105</c:v>
                </c:pt>
                <c:pt idx="1">
                  <c:v>131</c:v>
                </c:pt>
                <c:pt idx="2">
                  <c:v>131</c:v>
                </c:pt>
                <c:pt idx="3">
                  <c:v>143</c:v>
                </c:pt>
                <c:pt idx="4">
                  <c:v>136</c:v>
                </c:pt>
                <c:pt idx="5">
                  <c:v>99</c:v>
                </c:pt>
                <c:pt idx="6">
                  <c:v>216</c:v>
                </c:pt>
                <c:pt idx="7">
                  <c:v>142</c:v>
                </c:pt>
                <c:pt idx="8">
                  <c:v>0</c:v>
                </c:pt>
                <c:pt idx="9">
                  <c:v>0</c:v>
                </c:pt>
                <c:pt idx="10">
                  <c:v>0</c:v>
                </c:pt>
                <c:pt idx="11">
                  <c:v>0</c:v>
                </c:pt>
              </c:numCache>
            </c:numRef>
          </c:val>
          <c:smooth val="0"/>
          <c:extLst>
            <c:ext xmlns:c16="http://schemas.microsoft.com/office/drawing/2014/chart" uri="{C3380CC4-5D6E-409C-BE32-E72D297353CC}">
              <c16:uniqueId val="{00000000-3DC0-4568-B61F-607D70C38CF0}"/>
            </c:ext>
          </c:extLst>
        </c:ser>
        <c:dLbls>
          <c:dLblPos val="t"/>
          <c:showLegendKey val="0"/>
          <c:showVal val="1"/>
          <c:showCatName val="0"/>
          <c:showSerName val="0"/>
          <c:showPercent val="0"/>
          <c:showBubbleSize val="0"/>
        </c:dLbls>
        <c:smooth val="0"/>
        <c:axId val="648389327"/>
        <c:axId val="172546175"/>
        <c:extLst>
          <c:ext xmlns:c15="http://schemas.microsoft.com/office/drawing/2012/chart" uri="{02D57815-91ED-43cb-92C2-25804820EDAC}">
            <c15:filteredLineSeries>
              <c15:ser>
                <c:idx val="0"/>
                <c:order val="0"/>
                <c:tx>
                  <c:strRef>
                    <c:extLst>
                      <c:ext uri="{02D57815-91ED-43cb-92C2-25804820EDAC}">
                        <c15:formulaRef>
                          <c15:sqref>PQR!$D$20</c15:sqref>
                        </c15:formulaRef>
                      </c:ext>
                    </c:extLst>
                    <c:strCache>
                      <c:ptCount val="1"/>
                      <c:pt idx="0">
                        <c:v>Afectación Ambiental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PQR!$E$20:$Q$20</c15:sqref>
                        </c15:fullRef>
                        <c15:formulaRef>
                          <c15:sqref>PQR!$E$20:$P$20</c15:sqref>
                        </c15:formulaRef>
                      </c:ext>
                    </c:extLst>
                    <c:numCache>
                      <c:formatCode>General</c:formatCode>
                      <c:ptCount val="12"/>
                      <c:pt idx="0">
                        <c:v>0</c:v>
                      </c:pt>
                      <c:pt idx="1">
                        <c:v>0</c:v>
                      </c:pt>
                      <c:pt idx="2">
                        <c:v>0</c:v>
                      </c:pt>
                      <c:pt idx="3">
                        <c:v>0</c:v>
                      </c:pt>
                      <c:pt idx="4">
                        <c:v>0</c:v>
                      </c:pt>
                      <c:pt idx="5">
                        <c:v>0</c:v>
                      </c:pt>
                      <c:pt idx="6">
                        <c:v>1</c:v>
                      </c:pt>
                      <c:pt idx="7">
                        <c:v>0</c:v>
                      </c:pt>
                    </c:numCache>
                  </c:numRef>
                </c:val>
                <c:smooth val="0"/>
                <c:extLst>
                  <c:ext xmlns:c16="http://schemas.microsoft.com/office/drawing/2014/chart" uri="{C3380CC4-5D6E-409C-BE32-E72D297353CC}">
                    <c16:uniqueId val="{00000001-3DC0-4568-B61F-607D70C38CF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PQR!$D$21</c15:sqref>
                        </c15:formulaRef>
                      </c:ext>
                    </c:extLst>
                    <c:strCache>
                      <c:ptCount val="1"/>
                      <c:pt idx="0">
                        <c:v>Estado de la Infraestructura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PQR!$E$21:$Q$21</c15:sqref>
                        </c15:fullRef>
                        <c15:formulaRef>
                          <c15:sqref>PQR!$E$21:$P$21</c15:sqref>
                        </c15:formulaRef>
                      </c:ext>
                    </c:extLst>
                    <c:numCache>
                      <c:formatCode>General</c:formatCode>
                      <c:ptCount val="12"/>
                      <c:pt idx="0">
                        <c:v>82</c:v>
                      </c:pt>
                      <c:pt idx="1">
                        <c:v>106</c:v>
                      </c:pt>
                      <c:pt idx="2">
                        <c:v>103</c:v>
                      </c:pt>
                      <c:pt idx="3">
                        <c:v>124</c:v>
                      </c:pt>
                      <c:pt idx="4">
                        <c:v>116</c:v>
                      </c:pt>
                      <c:pt idx="5">
                        <c:v>90</c:v>
                      </c:pt>
                      <c:pt idx="6">
                        <c:v>161</c:v>
                      </c:pt>
                      <c:pt idx="7">
                        <c:v>107</c:v>
                      </c:pt>
                    </c:numCache>
                  </c:numRef>
                </c:val>
                <c:smooth val="0"/>
                <c:extLst xmlns:c15="http://schemas.microsoft.com/office/drawing/2012/chart">
                  <c:ext xmlns:c16="http://schemas.microsoft.com/office/drawing/2014/chart" uri="{C3380CC4-5D6E-409C-BE32-E72D297353CC}">
                    <c16:uniqueId val="{00000002-3DC0-4568-B61F-607D70C38CF0}"/>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PQR!$D$22</c15:sqref>
                        </c15:formulaRef>
                      </c:ext>
                    </c:extLst>
                    <c:strCache>
                      <c:ptCount val="1"/>
                      <c:pt idx="0">
                        <c:v>Fallas en la conexión del servicio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PQR!$E$22:$Q$22</c15:sqref>
                        </c15:fullRef>
                        <c15:formulaRef>
                          <c15:sqref>PQR!$E$22:$P$22</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3-3DC0-4568-B61F-607D70C38CF0}"/>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PQR!$D$23</c15:sqref>
                        </c15:formulaRef>
                      </c:ext>
                    </c:extLst>
                    <c:strCache>
                      <c:ptCount val="1"/>
                      <c:pt idx="0">
                        <c:v>Frecuencias adicionales de barrido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PQR!$E$23:$Q$23</c15:sqref>
                        </c15:fullRef>
                        <c15:formulaRef>
                          <c15:sqref>PQR!$E$23:$P$23</c15:sqref>
                        </c15:formulaRef>
                      </c:ext>
                    </c:extLst>
                    <c:numCache>
                      <c:formatCode>General</c:formatCode>
                      <c:ptCount val="12"/>
                      <c:pt idx="0">
                        <c:v>3</c:v>
                      </c:pt>
                      <c:pt idx="1">
                        <c:v>2</c:v>
                      </c:pt>
                      <c:pt idx="2">
                        <c:v>4</c:v>
                      </c:pt>
                      <c:pt idx="3">
                        <c:v>1</c:v>
                      </c:pt>
                      <c:pt idx="4">
                        <c:v>3</c:v>
                      </c:pt>
                      <c:pt idx="5">
                        <c:v>1</c:v>
                      </c:pt>
                      <c:pt idx="6">
                        <c:v>3</c:v>
                      </c:pt>
                      <c:pt idx="7">
                        <c:v>3</c:v>
                      </c:pt>
                    </c:numCache>
                  </c:numRef>
                </c:val>
                <c:smooth val="0"/>
                <c:extLst xmlns:c15="http://schemas.microsoft.com/office/drawing/2012/chart">
                  <c:ext xmlns:c16="http://schemas.microsoft.com/office/drawing/2014/chart" uri="{C3380CC4-5D6E-409C-BE32-E72D297353CC}">
                    <c16:uniqueId val="{00000004-3DC0-4568-B61F-607D70C38CF0}"/>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PQR!$D$24</c15:sqref>
                        </c15:formulaRef>
                      </c:ext>
                    </c:extLst>
                    <c:strCache>
                      <c:ptCount val="1"/>
                      <c:pt idx="0">
                        <c:v>Frecuencias adicionales de recolección</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PQR!$E$24:$Q$24</c15:sqref>
                        </c15:fullRef>
                        <c15:formulaRef>
                          <c15:sqref>PQR!$E$24:$P$24</c15:sqref>
                        </c15:formulaRef>
                      </c:ext>
                    </c:extLst>
                    <c:numCache>
                      <c:formatCode>General</c:formatCode>
                      <c:ptCount val="12"/>
                      <c:pt idx="0">
                        <c:v>7</c:v>
                      </c:pt>
                      <c:pt idx="1">
                        <c:v>10</c:v>
                      </c:pt>
                      <c:pt idx="2">
                        <c:v>9</c:v>
                      </c:pt>
                      <c:pt idx="3">
                        <c:v>5</c:v>
                      </c:pt>
                      <c:pt idx="4">
                        <c:v>3</c:v>
                      </c:pt>
                      <c:pt idx="5">
                        <c:v>3</c:v>
                      </c:pt>
                      <c:pt idx="6">
                        <c:v>16</c:v>
                      </c:pt>
                      <c:pt idx="7">
                        <c:v>9</c:v>
                      </c:pt>
                    </c:numCache>
                  </c:numRef>
                </c:val>
                <c:smooth val="0"/>
                <c:extLst xmlns:c15="http://schemas.microsoft.com/office/drawing/2012/chart">
                  <c:ext xmlns:c16="http://schemas.microsoft.com/office/drawing/2014/chart" uri="{C3380CC4-5D6E-409C-BE32-E72D297353CC}">
                    <c16:uniqueId val="{00000005-3DC0-4568-B61F-607D70C38CF0}"/>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PQR!$D$27</c15:sqref>
                        </c15:formulaRef>
                      </c:ext>
                    </c:extLst>
                    <c:strCache>
                      <c:ptCount val="1"/>
                      <c:pt idx="0">
                        <c:v>Quejas Administrativas</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PQR!$E$27:$Q$27</c15:sqref>
                        </c15:fullRef>
                        <c15:formulaRef>
                          <c15:sqref>PQR!$E$27:$P$27</c15:sqref>
                        </c15:formulaRef>
                      </c:ext>
                    </c:extLst>
                    <c:numCache>
                      <c:formatCode>General</c:formatCode>
                      <c:ptCount val="12"/>
                      <c:pt idx="0">
                        <c:v>0</c:v>
                      </c:pt>
                      <c:pt idx="1">
                        <c:v>0</c:v>
                      </c:pt>
                      <c:pt idx="2">
                        <c:v>0</c:v>
                      </c:pt>
                      <c:pt idx="3">
                        <c:v>0</c:v>
                      </c:pt>
                      <c:pt idx="4">
                        <c:v>0</c:v>
                      </c:pt>
                      <c:pt idx="5">
                        <c:v>0</c:v>
                      </c:pt>
                      <c:pt idx="6">
                        <c:v>1</c:v>
                      </c:pt>
                      <c:pt idx="7">
                        <c:v>1</c:v>
                      </c:pt>
                    </c:numCache>
                  </c:numRef>
                </c:val>
                <c:smooth val="0"/>
                <c:extLst xmlns:c15="http://schemas.microsoft.com/office/drawing/2012/chart">
                  <c:ext xmlns:c16="http://schemas.microsoft.com/office/drawing/2014/chart" uri="{C3380CC4-5D6E-409C-BE32-E72D297353CC}">
                    <c16:uniqueId val="{00000006-3DC0-4568-B61F-607D70C38CF0}"/>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PQR!$D$28</c15:sqref>
                        </c15:formulaRef>
                      </c:ext>
                    </c:extLst>
                    <c:strCache>
                      <c:ptCount val="1"/>
                      <c:pt idx="0">
                        <c:v>Recolector no avisa su llegada</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PQR!$E$28:$Q$28</c15:sqref>
                        </c15:fullRef>
                        <c15:formulaRef>
                          <c15:sqref>PQR!$E$28:$P$28</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7-3DC0-4568-B61F-607D70C38CF0}"/>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PQR!$D$29</c15:sqref>
                        </c15:formulaRef>
                      </c:ext>
                    </c:extLst>
                    <c:strCache>
                      <c:ptCount val="1"/>
                      <c:pt idx="0">
                        <c:v>Suspensión o corte del servicio sin previo aviso o sin causa aparente</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PQR!$E$29:$Q$29</c15:sqref>
                        </c15:fullRef>
                        <c15:formulaRef>
                          <c15:sqref>PQR!$E$29:$P$29</c15:sqref>
                        </c15:formulaRef>
                      </c:ext>
                    </c:extLst>
                    <c:numCache>
                      <c:formatCode>General</c:formatCode>
                      <c:ptCount val="12"/>
                      <c:pt idx="0">
                        <c:v>1</c:v>
                      </c:pt>
                      <c:pt idx="1">
                        <c:v>0</c:v>
                      </c:pt>
                      <c:pt idx="2">
                        <c:v>1</c:v>
                      </c:pt>
                      <c:pt idx="3">
                        <c:v>2</c:v>
                      </c:pt>
                      <c:pt idx="4">
                        <c:v>1</c:v>
                      </c:pt>
                      <c:pt idx="5">
                        <c:v>0</c:v>
                      </c:pt>
                      <c:pt idx="6">
                        <c:v>2</c:v>
                      </c:pt>
                      <c:pt idx="7">
                        <c:v>0</c:v>
                      </c:pt>
                    </c:numCache>
                  </c:numRef>
                </c:val>
                <c:smooth val="0"/>
                <c:extLst xmlns:c15="http://schemas.microsoft.com/office/drawing/2012/chart">
                  <c:ext xmlns:c16="http://schemas.microsoft.com/office/drawing/2014/chart" uri="{C3380CC4-5D6E-409C-BE32-E72D297353CC}">
                    <c16:uniqueId val="{00000008-3DC0-4568-B61F-607D70C38CF0}"/>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PQR!$D$30</c15:sqref>
                        </c15:formulaRef>
                      </c:ext>
                    </c:extLst>
                    <c:strCache>
                      <c:ptCount val="1"/>
                      <c:pt idx="0">
                        <c:v>Terminación del contrato</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PQR!$E$30:$Q$30</c15:sqref>
                        </c15:fullRef>
                        <c15:formulaRef>
                          <c15:sqref>PQR!$E$30:$P$30</c15:sqref>
                        </c15:formulaRef>
                      </c:ext>
                    </c:extLst>
                    <c:numCache>
                      <c:formatCode>General</c:formatCode>
                      <c:ptCount val="12"/>
                      <c:pt idx="0">
                        <c:v>3</c:v>
                      </c:pt>
                      <c:pt idx="1">
                        <c:v>2</c:v>
                      </c:pt>
                      <c:pt idx="2">
                        <c:v>5</c:v>
                      </c:pt>
                      <c:pt idx="3">
                        <c:v>2</c:v>
                      </c:pt>
                      <c:pt idx="4">
                        <c:v>5</c:v>
                      </c:pt>
                      <c:pt idx="5">
                        <c:v>1</c:v>
                      </c:pt>
                      <c:pt idx="6">
                        <c:v>1</c:v>
                      </c:pt>
                      <c:pt idx="7">
                        <c:v>5</c:v>
                      </c:pt>
                    </c:numCache>
                  </c:numRef>
                </c:val>
                <c:smooth val="0"/>
                <c:extLst xmlns:c15="http://schemas.microsoft.com/office/drawing/2012/chart">
                  <c:ext xmlns:c16="http://schemas.microsoft.com/office/drawing/2014/chart" uri="{C3380CC4-5D6E-409C-BE32-E72D297353CC}">
                    <c16:uniqueId val="{00000009-3DC0-4568-B61F-607D70C38CF0}"/>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PQR!$D$31</c15:sqref>
                        </c15:formulaRef>
                      </c:ext>
                    </c:extLst>
                    <c:strCache>
                      <c:ptCount val="1"/>
                      <c:pt idx="0">
                        <c:v>Variaciones en las características del suministro o prestación del servicio</c:v>
                      </c:pt>
                    </c:strCache>
                  </c:strRef>
                </c:tx>
                <c:spPr>
                  <a:ln w="28575" cap="rnd">
                    <a:solidFill>
                      <a:schemeClr val="accent4">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PQR!$E$19:$Q$19</c15:sqref>
                        </c15:fullRef>
                        <c15:formulaRef>
                          <c15:sqref>PQR!$E$19:$P$19</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PQR!$E$31:$Q$31</c15:sqref>
                        </c15:fullRef>
                        <c15:formulaRef>
                          <c15:sqref>PQR!$E$31:$P$31</c15:sqref>
                        </c15:formulaRef>
                      </c:ext>
                    </c:extLst>
                    <c:numCache>
                      <c:formatCode>General</c:formatCode>
                      <c:ptCount val="12"/>
                      <c:pt idx="0">
                        <c:v>7</c:v>
                      </c:pt>
                      <c:pt idx="1">
                        <c:v>11</c:v>
                      </c:pt>
                      <c:pt idx="2">
                        <c:v>8</c:v>
                      </c:pt>
                      <c:pt idx="3">
                        <c:v>9</c:v>
                      </c:pt>
                      <c:pt idx="4">
                        <c:v>6</c:v>
                      </c:pt>
                      <c:pt idx="5">
                        <c:v>2</c:v>
                      </c:pt>
                      <c:pt idx="6">
                        <c:v>28</c:v>
                      </c:pt>
                      <c:pt idx="7">
                        <c:v>16</c:v>
                      </c:pt>
                    </c:numCache>
                  </c:numRef>
                </c:val>
                <c:smooth val="0"/>
                <c:extLst xmlns:c15="http://schemas.microsoft.com/office/drawing/2012/chart">
                  <c:ext xmlns:c16="http://schemas.microsoft.com/office/drawing/2014/chart" uri="{C3380CC4-5D6E-409C-BE32-E72D297353CC}">
                    <c16:uniqueId val="{0000000A-3DC0-4568-B61F-607D70C38CF0}"/>
                  </c:ext>
                </c:extLst>
              </c15:ser>
            </c15:filteredLineSeries>
          </c:ext>
        </c:extLst>
      </c:lineChart>
      <c:dateAx>
        <c:axId val="64838932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2546175"/>
        <c:crosses val="autoZero"/>
        <c:auto val="1"/>
        <c:lblOffset val="100"/>
        <c:baseTimeUnit val="months"/>
      </c:dateAx>
      <c:valAx>
        <c:axId val="17254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4838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RFECLAMOS</a:t>
            </a:r>
            <a:r>
              <a:rPr lang="en-US" baseline="0"/>
              <a:t>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692038495188118E-2"/>
          <c:y val="0.15782407407407409"/>
          <c:w val="0.90286351706036749"/>
          <c:h val="0.72088764946048411"/>
        </c:manualLayout>
      </c:layout>
      <c:lineChart>
        <c:grouping val="standard"/>
        <c:varyColors val="0"/>
        <c:ser>
          <c:idx val="8"/>
          <c:order val="8"/>
          <c:tx>
            <c:strRef>
              <c:f>PQR!$D$57</c:f>
              <c:strCache>
                <c:ptCount val="1"/>
                <c:pt idx="0">
                  <c:v>Total</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ext>
              </c:extLst>
              <c:f>PQR!$E$36:$P$36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PQR!$E$57:$Q$57</c15:sqref>
                  </c15:fullRef>
                </c:ext>
              </c:extLst>
              <c:f>PQR!$E$57:$P$57</c:f>
              <c:numCache>
                <c:formatCode>General</c:formatCode>
                <c:ptCount val="12"/>
                <c:pt idx="0">
                  <c:v>40</c:v>
                </c:pt>
                <c:pt idx="1">
                  <c:v>32</c:v>
                </c:pt>
                <c:pt idx="2">
                  <c:v>58</c:v>
                </c:pt>
                <c:pt idx="3">
                  <c:v>81</c:v>
                </c:pt>
                <c:pt idx="4">
                  <c:v>58</c:v>
                </c:pt>
                <c:pt idx="5">
                  <c:v>54</c:v>
                </c:pt>
                <c:pt idx="6">
                  <c:v>86</c:v>
                </c:pt>
                <c:pt idx="7">
                  <c:v>55</c:v>
                </c:pt>
                <c:pt idx="8">
                  <c:v>0</c:v>
                </c:pt>
                <c:pt idx="9">
                  <c:v>0</c:v>
                </c:pt>
                <c:pt idx="10">
                  <c:v>0</c:v>
                </c:pt>
                <c:pt idx="11">
                  <c:v>0</c:v>
                </c:pt>
              </c:numCache>
            </c:numRef>
          </c:val>
          <c:smooth val="0"/>
          <c:extLst>
            <c:ext xmlns:c16="http://schemas.microsoft.com/office/drawing/2014/chart" uri="{C3380CC4-5D6E-409C-BE32-E72D297353CC}">
              <c16:uniqueId val="{00000000-CC3C-47C4-974C-FD97392E7AC9}"/>
            </c:ext>
          </c:extLst>
        </c:ser>
        <c:dLbls>
          <c:dLblPos val="t"/>
          <c:showLegendKey val="0"/>
          <c:showVal val="1"/>
          <c:showCatName val="0"/>
          <c:showSerName val="0"/>
          <c:showPercent val="0"/>
          <c:showBubbleSize val="0"/>
        </c:dLbls>
        <c:smooth val="0"/>
        <c:axId val="701179359"/>
        <c:axId val="766789199"/>
        <c:extLst>
          <c:ext xmlns:c15="http://schemas.microsoft.com/office/drawing/2012/chart" uri="{02D57815-91ED-43cb-92C2-25804820EDAC}">
            <c15:filteredLineSeries>
              <c15:ser>
                <c:idx val="0"/>
                <c:order val="0"/>
                <c:tx>
                  <c:strRef>
                    <c:extLst>
                      <c:ext uri="{02D57815-91ED-43cb-92C2-25804820EDAC}">
                        <c15:formulaRef>
                          <c15:sqref>PQR!$D$39</c15:sqref>
                        </c15:formulaRef>
                      </c:ext>
                    </c:extLst>
                    <c:strCache>
                      <c:ptCount val="1"/>
                      <c:pt idx="0">
                        <c:v>Cobro de otros bienes o servicios en la factura, no autorizados por el usuario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uri="{02D57815-91ED-43cb-92C2-25804820EDAC}">
                        <c15:fullRef>
                          <c15:sqref>PQR!$E$39:$Q$39</c15:sqref>
                        </c15:fullRef>
                        <c15:formulaRef>
                          <c15:sqref>PQR!$E$39:$P$39</c15:sqref>
                        </c15:formulaRef>
                      </c:ext>
                    </c:extLst>
                    <c:numCache>
                      <c:formatCode>General</c:formatCode>
                      <c:ptCount val="12"/>
                      <c:pt idx="0">
                        <c:v>4</c:v>
                      </c:pt>
                      <c:pt idx="1">
                        <c:v>0</c:v>
                      </c:pt>
                      <c:pt idx="2">
                        <c:v>1</c:v>
                      </c:pt>
                      <c:pt idx="3">
                        <c:v>2</c:v>
                      </c:pt>
                      <c:pt idx="4">
                        <c:v>0</c:v>
                      </c:pt>
                      <c:pt idx="5">
                        <c:v>1</c:v>
                      </c:pt>
                      <c:pt idx="6">
                        <c:v>0</c:v>
                      </c:pt>
                      <c:pt idx="7">
                        <c:v>2</c:v>
                      </c:pt>
                    </c:numCache>
                  </c:numRef>
                </c:val>
                <c:smooth val="0"/>
                <c:extLst>
                  <c:ext xmlns:c16="http://schemas.microsoft.com/office/drawing/2014/chart" uri="{C3380CC4-5D6E-409C-BE32-E72D297353CC}">
                    <c16:uniqueId val="{00000001-CC3C-47C4-974C-FD97392E7AC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PQR!$D$43</c15:sqref>
                        </c15:formulaRef>
                      </c:ext>
                    </c:extLst>
                    <c:strCache>
                      <c:ptCount val="1"/>
                      <c:pt idx="0">
                        <c:v>Cobros por Conexión, Reconexión Reinstalación,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PQR!$E$43:$Q$43</c15:sqref>
                        </c15:fullRef>
                        <c15:formulaRef>
                          <c15:sqref>PQR!$E$43:$P$43</c15:sqref>
                        </c15:formulaRef>
                      </c:ext>
                    </c:extLst>
                    <c:numCache>
                      <c:formatCode>General</c:formatCode>
                      <c:ptCount val="12"/>
                      <c:pt idx="0">
                        <c:v>0</c:v>
                      </c:pt>
                      <c:pt idx="1">
                        <c:v>2</c:v>
                      </c:pt>
                      <c:pt idx="2">
                        <c:v>3</c:v>
                      </c:pt>
                      <c:pt idx="3">
                        <c:v>1</c:v>
                      </c:pt>
                      <c:pt idx="4">
                        <c:v>2</c:v>
                      </c:pt>
                      <c:pt idx="5">
                        <c:v>3</c:v>
                      </c:pt>
                      <c:pt idx="6">
                        <c:v>5</c:v>
                      </c:pt>
                      <c:pt idx="7">
                        <c:v>1</c:v>
                      </c:pt>
                    </c:numCache>
                  </c:numRef>
                </c:val>
                <c:smooth val="0"/>
                <c:extLst xmlns:c15="http://schemas.microsoft.com/office/drawing/2012/chart">
                  <c:ext xmlns:c16="http://schemas.microsoft.com/office/drawing/2014/chart" uri="{C3380CC4-5D6E-409C-BE32-E72D297353CC}">
                    <c16:uniqueId val="{00000002-CC3C-47C4-974C-FD97392E7AC9}"/>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PQR!$D$47</c15:sqref>
                        </c15:formulaRef>
                      </c:ext>
                    </c:extLst>
                    <c:strCache>
                      <c:ptCount val="1"/>
                      <c:pt idx="0">
                        <c:v>Descuento por predio desocupado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PQR!$E$47:$Q$47</c15:sqref>
                        </c15:fullRef>
                        <c15:formulaRef>
                          <c15:sqref>PQR!$E$47:$P$47</c15:sqref>
                        </c15:formulaRef>
                      </c:ext>
                    </c:extLst>
                    <c:numCache>
                      <c:formatCode>General</c:formatCode>
                      <c:ptCount val="12"/>
                      <c:pt idx="0">
                        <c:v>3</c:v>
                      </c:pt>
                      <c:pt idx="1">
                        <c:v>2</c:v>
                      </c:pt>
                      <c:pt idx="2">
                        <c:v>3</c:v>
                      </c:pt>
                      <c:pt idx="3">
                        <c:v>4</c:v>
                      </c:pt>
                      <c:pt idx="4">
                        <c:v>2</c:v>
                      </c:pt>
                      <c:pt idx="5">
                        <c:v>1</c:v>
                      </c:pt>
                      <c:pt idx="6">
                        <c:v>2</c:v>
                      </c:pt>
                      <c:pt idx="7">
                        <c:v>0</c:v>
                      </c:pt>
                    </c:numCache>
                  </c:numRef>
                </c:val>
                <c:smooth val="0"/>
                <c:extLst xmlns:c15="http://schemas.microsoft.com/office/drawing/2012/chart">
                  <c:ext xmlns:c16="http://schemas.microsoft.com/office/drawing/2014/chart" uri="{C3380CC4-5D6E-409C-BE32-E72D297353CC}">
                    <c16:uniqueId val="{00000003-CC3C-47C4-974C-FD97392E7AC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PQR!$D$51</c15:sqref>
                        </c15:formulaRef>
                      </c:ext>
                    </c:extLst>
                    <c:strCache>
                      <c:ptCount val="1"/>
                      <c:pt idx="0">
                        <c:v>Inconformidad con la medición del consumo o producción facturado</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PQR!$E$51:$Q$51</c15:sqref>
                        </c15:fullRef>
                        <c15:formulaRef>
                          <c15:sqref>PQR!$E$51:$P$51</c15:sqref>
                        </c15:formulaRef>
                      </c:ext>
                    </c:extLst>
                    <c:numCache>
                      <c:formatCode>General</c:formatCode>
                      <c:ptCount val="12"/>
                      <c:pt idx="0">
                        <c:v>1</c:v>
                      </c:pt>
                      <c:pt idx="1">
                        <c:v>3</c:v>
                      </c:pt>
                      <c:pt idx="2">
                        <c:v>6</c:v>
                      </c:pt>
                      <c:pt idx="3">
                        <c:v>21</c:v>
                      </c:pt>
                      <c:pt idx="4">
                        <c:v>6</c:v>
                      </c:pt>
                      <c:pt idx="5">
                        <c:v>9</c:v>
                      </c:pt>
                      <c:pt idx="6">
                        <c:v>8</c:v>
                      </c:pt>
                      <c:pt idx="7">
                        <c:v>7</c:v>
                      </c:pt>
                    </c:numCache>
                  </c:numRef>
                </c:val>
                <c:smooth val="0"/>
                <c:extLst xmlns:c15="http://schemas.microsoft.com/office/drawing/2012/chart">
                  <c:ext xmlns:c16="http://schemas.microsoft.com/office/drawing/2014/chart" uri="{C3380CC4-5D6E-409C-BE32-E72D297353CC}">
                    <c16:uniqueId val="{00000004-CC3C-47C4-974C-FD97392E7AC9}"/>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PQR!$D$52</c15:sqref>
                        </c15:formulaRef>
                      </c:ext>
                    </c:extLst>
                    <c:strCache>
                      <c:ptCount val="1"/>
                      <c:pt idx="0">
                        <c:v>Inconformidad por desviación significativa</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PQR!$E$52:$Q$52</c15:sqref>
                        </c15:fullRef>
                        <c15:formulaRef>
                          <c15:sqref>PQR!$E$52:$P$52</c15:sqref>
                        </c15:formulaRef>
                      </c:ext>
                    </c:extLst>
                    <c:numCache>
                      <c:formatCode>General</c:formatCode>
                      <c:ptCount val="12"/>
                      <c:pt idx="0">
                        <c:v>18</c:v>
                      </c:pt>
                      <c:pt idx="1">
                        <c:v>18</c:v>
                      </c:pt>
                      <c:pt idx="2">
                        <c:v>21</c:v>
                      </c:pt>
                      <c:pt idx="3">
                        <c:v>28</c:v>
                      </c:pt>
                      <c:pt idx="4">
                        <c:v>30</c:v>
                      </c:pt>
                      <c:pt idx="5">
                        <c:v>16</c:v>
                      </c:pt>
                      <c:pt idx="6">
                        <c:v>0</c:v>
                      </c:pt>
                      <c:pt idx="7">
                        <c:v>27</c:v>
                      </c:pt>
                    </c:numCache>
                  </c:numRef>
                </c:val>
                <c:smooth val="0"/>
                <c:extLst xmlns:c15="http://schemas.microsoft.com/office/drawing/2012/chart">
                  <c:ext xmlns:c16="http://schemas.microsoft.com/office/drawing/2014/chart" uri="{C3380CC4-5D6E-409C-BE32-E72D297353CC}">
                    <c16:uniqueId val="{00000005-CC3C-47C4-974C-FD97392E7AC9}"/>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PQR!$D$54</c15:sqref>
                        </c15:formulaRef>
                      </c:ext>
                    </c:extLst>
                    <c:strCache>
                      <c:ptCount val="1"/>
                      <c:pt idx="0">
                        <c:v>Subsidios y contribucciones</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PQR!$E$54:$Q$54</c15:sqref>
                        </c15:fullRef>
                        <c15:formulaRef>
                          <c15:sqref>PQR!$E$54:$P$54</c15:sqref>
                        </c15:formulaRef>
                      </c:ext>
                    </c:extLst>
                    <c:numCache>
                      <c:formatCode>General</c:formatCode>
                      <c:ptCount val="12"/>
                      <c:pt idx="0">
                        <c:v>0</c:v>
                      </c:pt>
                      <c:pt idx="1">
                        <c:v>0</c:v>
                      </c:pt>
                      <c:pt idx="2">
                        <c:v>0</c:v>
                      </c:pt>
                      <c:pt idx="3">
                        <c:v>0</c:v>
                      </c:pt>
                      <c:pt idx="4">
                        <c:v>0</c:v>
                      </c:pt>
                      <c:pt idx="5">
                        <c:v>0</c:v>
                      </c:pt>
                      <c:pt idx="6">
                        <c:v>0</c:v>
                      </c:pt>
                      <c:pt idx="7">
                        <c:v>0</c:v>
                      </c:pt>
                    </c:numCache>
                  </c:numRef>
                </c:val>
                <c:smooth val="0"/>
                <c:extLst xmlns:c15="http://schemas.microsoft.com/office/drawing/2012/chart">
                  <c:ext xmlns:c16="http://schemas.microsoft.com/office/drawing/2014/chart" uri="{C3380CC4-5D6E-409C-BE32-E72D297353CC}">
                    <c16:uniqueId val="{00000006-CC3C-47C4-974C-FD97392E7AC9}"/>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PQR!$D$55</c15:sqref>
                        </c15:formulaRef>
                      </c:ext>
                    </c:extLst>
                    <c:strCache>
                      <c:ptCount val="1"/>
                      <c:pt idx="0">
                        <c:v>Suscriptor que efectúa el pago pero este no es aplicado por la empresa en la facturación</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PQR!$E$55:$Q$55</c15:sqref>
                        </c15:fullRef>
                        <c15:formulaRef>
                          <c15:sqref>PQR!$E$55:$P$55</c15:sqref>
                        </c15:formulaRef>
                      </c:ext>
                    </c:extLst>
                    <c:numCache>
                      <c:formatCode>General</c:formatCode>
                      <c:ptCount val="12"/>
                      <c:pt idx="0">
                        <c:v>4</c:v>
                      </c:pt>
                      <c:pt idx="1">
                        <c:v>4</c:v>
                      </c:pt>
                      <c:pt idx="2">
                        <c:v>8</c:v>
                      </c:pt>
                      <c:pt idx="3">
                        <c:v>3</c:v>
                      </c:pt>
                      <c:pt idx="4">
                        <c:v>5</c:v>
                      </c:pt>
                      <c:pt idx="5">
                        <c:v>7</c:v>
                      </c:pt>
                      <c:pt idx="6">
                        <c:v>10</c:v>
                      </c:pt>
                      <c:pt idx="7">
                        <c:v>3</c:v>
                      </c:pt>
                    </c:numCache>
                  </c:numRef>
                </c:val>
                <c:smooth val="0"/>
                <c:extLst xmlns:c15="http://schemas.microsoft.com/office/drawing/2012/chart">
                  <c:ext xmlns:c16="http://schemas.microsoft.com/office/drawing/2014/chart" uri="{C3380CC4-5D6E-409C-BE32-E72D297353CC}">
                    <c16:uniqueId val="{00000007-CC3C-47C4-974C-FD97392E7AC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PQR!$D$56</c15:sqref>
                        </c15:formulaRef>
                      </c:ext>
                    </c:extLst>
                    <c:strCache>
                      <c:ptCount val="1"/>
                      <c:pt idx="0">
                        <c:v>Tarifa Incorrecta</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PQR!$E$36:$Q$36</c15:sqref>
                        </c15:fullRef>
                        <c15:formulaRef>
                          <c15:sqref>PQR!$E$36:$P$36</c15:sqref>
                        </c15:formulaRef>
                      </c:ext>
                    </c:extLst>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extLst>
                      <c:ext xmlns:c15="http://schemas.microsoft.com/office/drawing/2012/chart" uri="{02D57815-91ED-43cb-92C2-25804820EDAC}">
                        <c15:fullRef>
                          <c15:sqref>PQR!$E$56:$Q$56</c15:sqref>
                        </c15:fullRef>
                        <c15:formulaRef>
                          <c15:sqref>PQR!$E$56:$P$56</c15:sqref>
                        </c15:formulaRef>
                      </c:ext>
                    </c:extLst>
                    <c:numCache>
                      <c:formatCode>General</c:formatCode>
                      <c:ptCount val="12"/>
                      <c:pt idx="0">
                        <c:v>5</c:v>
                      </c:pt>
                      <c:pt idx="1">
                        <c:v>2</c:v>
                      </c:pt>
                      <c:pt idx="2">
                        <c:v>5</c:v>
                      </c:pt>
                      <c:pt idx="3">
                        <c:v>7</c:v>
                      </c:pt>
                      <c:pt idx="4">
                        <c:v>3</c:v>
                      </c:pt>
                      <c:pt idx="5">
                        <c:v>7</c:v>
                      </c:pt>
                      <c:pt idx="6">
                        <c:v>4</c:v>
                      </c:pt>
                      <c:pt idx="7">
                        <c:v>3</c:v>
                      </c:pt>
                    </c:numCache>
                  </c:numRef>
                </c:val>
                <c:smooth val="0"/>
                <c:extLst xmlns:c15="http://schemas.microsoft.com/office/drawing/2012/chart">
                  <c:ext xmlns:c16="http://schemas.microsoft.com/office/drawing/2014/chart" uri="{C3380CC4-5D6E-409C-BE32-E72D297353CC}">
                    <c16:uniqueId val="{00000008-CC3C-47C4-974C-FD97392E7AC9}"/>
                  </c:ext>
                </c:extLst>
              </c15:ser>
            </c15:filteredLineSeries>
          </c:ext>
        </c:extLst>
      </c:lineChart>
      <c:dateAx>
        <c:axId val="70117935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66789199"/>
        <c:crosses val="autoZero"/>
        <c:auto val="1"/>
        <c:lblOffset val="100"/>
        <c:baseTimeUnit val="months"/>
      </c:dateAx>
      <c:valAx>
        <c:axId val="76678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0117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PORCENTAJE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2A-44E6-A302-C411F29A2A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2A-44E6-A302-C411F29A2A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2A-44E6-A302-C411F29A2A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PQR!$D$66:$D$68</c:f>
              <c:strCache>
                <c:ptCount val="3"/>
                <c:pt idx="0">
                  <c:v>PETICIONES </c:v>
                </c:pt>
                <c:pt idx="1">
                  <c:v>QUEJAS </c:v>
                </c:pt>
                <c:pt idx="2">
                  <c:v>RECLAMOS</c:v>
                </c:pt>
              </c:strCache>
            </c:strRef>
          </c:cat>
          <c:val>
            <c:numRef>
              <c:f>PQR!$E$66:$E$68</c:f>
              <c:numCache>
                <c:formatCode>General</c:formatCode>
                <c:ptCount val="3"/>
                <c:pt idx="0">
                  <c:v>1658</c:v>
                </c:pt>
                <c:pt idx="1">
                  <c:v>1103</c:v>
                </c:pt>
                <c:pt idx="2">
                  <c:v>464</c:v>
                </c:pt>
              </c:numCache>
            </c:numRef>
          </c:val>
          <c:extLst>
            <c:ext xmlns:c16="http://schemas.microsoft.com/office/drawing/2014/chart" uri="{C3380CC4-5D6E-409C-BE32-E72D297353CC}">
              <c16:uniqueId val="{00000006-BE2A-44E6-A302-C411F29A2A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PIA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A4-460F-AE0D-A073313DF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1A4-460F-AE0D-A073313DF6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91A4-460F-AE0D-A073313DF6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91A4-460F-AE0D-A073313DF6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91A4-460F-AE0D-A073313DF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PQR!$D$83:$D$88</c15:sqref>
                  </c15:fullRef>
                </c:ext>
              </c:extLst>
              <c:f>(PQR!$D$83,PQR!$D$85:$D$88)</c:f>
              <c:strCache>
                <c:ptCount val="4"/>
                <c:pt idx="1">
                  <c:v>PETICIONES </c:v>
                </c:pt>
                <c:pt idx="2">
                  <c:v>QUEJAS </c:v>
                </c:pt>
                <c:pt idx="3">
                  <c:v>RECLAMOS</c:v>
                </c:pt>
              </c:strCache>
            </c:strRef>
          </c:cat>
          <c:val>
            <c:numRef>
              <c:extLst>
                <c:ext xmlns:c15="http://schemas.microsoft.com/office/drawing/2012/chart" uri="{02D57815-91ED-43cb-92C2-25804820EDAC}">
                  <c15:fullRef>
                    <c15:sqref>PQR!$E$83:$E$88</c15:sqref>
                  </c15:fullRef>
                </c:ext>
              </c:extLst>
              <c:f>(PQR!$E$83,PQR!$E$85:$E$88)</c:f>
              <c:numCache>
                <c:formatCode>General</c:formatCode>
                <c:ptCount val="5"/>
                <c:pt idx="1">
                  <c:v>1007</c:v>
                </c:pt>
                <c:pt idx="2">
                  <c:v>28</c:v>
                </c:pt>
                <c:pt idx="3">
                  <c:v>9</c:v>
                </c:pt>
              </c:numCache>
            </c:numRef>
          </c:val>
          <c:extLst>
            <c:ext xmlns:c15="http://schemas.microsoft.com/office/drawing/2012/chart" uri="{02D57815-91ED-43cb-92C2-25804820EDAC}">
              <c15:categoryFilterExceptions>
                <c15:categoryFilterException>
                  <c15:sqref>PQR!$E$84</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C-91A4-460F-AE0D-A073313DF6AA}"/>
            </c:ext>
          </c:extLst>
        </c:ser>
        <c:dLbls>
          <c:dLblPos val="bestFit"/>
          <c:showLegendKey val="0"/>
          <c:showVal val="1"/>
          <c:showCatName val="0"/>
          <c:showSerName val="0"/>
          <c:showPercent val="0"/>
          <c:showBubbleSize val="0"/>
          <c:showLeaderLines val="0"/>
        </c:dLbls>
        <c:firstSliceAng val="0"/>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E-91A4-460F-AE0D-A073313DF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91A4-460F-AE0D-A073313DF6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91A4-460F-AE0D-A073313DF6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91A4-460F-AE0D-A073313DF6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91A4-460F-AE0D-A073313DF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PQR!$D$83:$D$88</c15:sqref>
                        </c15:fullRef>
                        <c15:formulaRef>
                          <c15:sqref>(PQR!$D$83,PQR!$D$85:$D$88)</c15:sqref>
                        </c15:formulaRef>
                      </c:ext>
                    </c:extLst>
                    <c:strCache>
                      <c:ptCount val="4"/>
                      <c:pt idx="1">
                        <c:v>PETICIONES </c:v>
                      </c:pt>
                      <c:pt idx="2">
                        <c:v>QUEJAS </c:v>
                      </c:pt>
                      <c:pt idx="3">
                        <c:v>RECLAMOS</c:v>
                      </c:pt>
                    </c:strCache>
                  </c:strRef>
                </c:cat>
                <c:val>
                  <c:numRef>
                    <c:extLst>
                      <c:ext uri="{02D57815-91ED-43cb-92C2-25804820EDAC}">
                        <c15:fullRef>
                          <c15:sqref>PQR!$F$83:$F$88</c15:sqref>
                        </c15:fullRef>
                        <c15:formulaRef>
                          <c15:sqref>(PQR!$F$83,PQR!$F$85:$F$88)</c15:sqref>
                        </c15:formulaRef>
                      </c:ext>
                    </c:extLst>
                    <c:numCache>
                      <c:formatCode>0.00%</c:formatCode>
                      <c:ptCount val="5"/>
                      <c:pt idx="1">
                        <c:v>0.96455938697318011</c:v>
                      </c:pt>
                      <c:pt idx="2">
                        <c:v>2.681992337164751E-2</c:v>
                      </c:pt>
                      <c:pt idx="3">
                        <c:v>8.6206896551724137E-3</c:v>
                      </c:pt>
                    </c:numCache>
                  </c:numRef>
                </c:val>
                <c:extLst>
                  <c:ext uri="{02D57815-91ED-43cb-92C2-25804820EDAC}">
                    <c15:categoryFilterExceptions>
                      <c15:categoryFilterException>
                        <c15:sqref>PQR!$F$84</c15:sqref>
                        <c15:spPr xmlns:c15="http://schemas.microsoft.com/office/drawing/2012/chart">
                          <a:solidFill>
                            <a:schemeClr val="accent2"/>
                          </a:solidFill>
                          <a:ln w="19050">
                            <a:solidFill>
                              <a:schemeClr val="lt1"/>
                            </a:solidFill>
                          </a:ln>
                          <a:effectLst/>
                        </c15:spPr>
                        <c15:bubble3D val="0"/>
                      </c15:categoryFilterException>
                    </c15:categoryFilterExceptions>
                  </c:ext>
                  <c:ext xmlns:c16="http://schemas.microsoft.com/office/drawing/2014/chart" uri="{C3380CC4-5D6E-409C-BE32-E72D297353CC}">
                    <c16:uniqueId val="{00000019-91A4-460F-AE0D-A073313DF6AA}"/>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PQR'S </a:t>
            </a:r>
          </a:p>
          <a:p>
            <a:pPr>
              <a:defRPr/>
            </a:pPr>
            <a:r>
              <a:rPr lang="es-CO"/>
              <a:t>ACUMULADOS</a:t>
            </a:r>
            <a:r>
              <a:rPr lang="es-CO" baseline="0"/>
              <a:t> </a:t>
            </a:r>
            <a:r>
              <a:rPr lang="es-CO"/>
              <a:t>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2911832895888016"/>
          <c:y val="0.22726851851851851"/>
          <c:w val="0.93888888888888888"/>
          <c:h val="0.6714577865266842"/>
        </c:manualLayout>
      </c:layout>
      <c:doughnutChart>
        <c:varyColors val="1"/>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E7-47A7-9CDE-6DB9785551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E7-47A7-9CDE-6DB9785551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E7-47A7-9CDE-6DB9785551EE}"/>
              </c:ext>
            </c:extLst>
          </c:dPt>
          <c:dLbls>
            <c:dLbl>
              <c:idx val="0"/>
              <c:layout>
                <c:manualLayout>
                  <c:x val="9.508716323296340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E7-47A7-9CDE-6DB9785551EE}"/>
                </c:ext>
              </c:extLst>
            </c:dLbl>
            <c:dLbl>
              <c:idx val="1"/>
              <c:layout>
                <c:manualLayout>
                  <c:x val="-6.973058637083993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E7-47A7-9CDE-6DB9785551EE}"/>
                </c:ext>
              </c:extLst>
            </c:dLbl>
            <c:dLbl>
              <c:idx val="2"/>
              <c:layout>
                <c:manualLayout>
                  <c:x val="-9.9313259376650823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E7-47A7-9CDE-6DB9785551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PQR!$D$66:$D$68</c:f>
              <c:strCache>
                <c:ptCount val="3"/>
                <c:pt idx="0">
                  <c:v>PETICIONES </c:v>
                </c:pt>
                <c:pt idx="1">
                  <c:v>QUEJAS </c:v>
                </c:pt>
                <c:pt idx="2">
                  <c:v>RECLAMOS</c:v>
                </c:pt>
              </c:strCache>
            </c:strRef>
          </c:cat>
          <c:val>
            <c:numRef>
              <c:f>PQR!$F$66:$F$68</c:f>
              <c:numCache>
                <c:formatCode>0%</c:formatCode>
                <c:ptCount val="3"/>
                <c:pt idx="0">
                  <c:v>0.5141085271317829</c:v>
                </c:pt>
                <c:pt idx="1">
                  <c:v>0.34201550387596902</c:v>
                </c:pt>
                <c:pt idx="2">
                  <c:v>0.14387596899224805</c:v>
                </c:pt>
              </c:numCache>
            </c:numRef>
          </c:val>
          <c:extLst xmlns:c15="http://schemas.microsoft.com/office/drawing/2012/chart">
            <c:ext xmlns:c16="http://schemas.microsoft.com/office/drawing/2014/chart" uri="{C3380CC4-5D6E-409C-BE32-E72D297353CC}">
              <c16:uniqueId val="{00000006-E5E7-47A7-9CDE-6DB9785551EE}"/>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5E7-47A7-9CDE-6DB9785551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5E7-47A7-9CDE-6DB9785551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5E7-47A7-9CDE-6DB9785551EE}"/>
                    </c:ext>
                  </c:extLst>
                </c:dPt>
                <c:cat>
                  <c:strRef>
                    <c:extLst>
                      <c:ext uri="{02D57815-91ED-43cb-92C2-25804820EDAC}">
                        <c15:formulaRef>
                          <c15:sqref>PQR!$D$66:$D$68</c15:sqref>
                        </c15:formulaRef>
                      </c:ext>
                    </c:extLst>
                    <c:strCache>
                      <c:ptCount val="3"/>
                      <c:pt idx="0">
                        <c:v>PETICIONES </c:v>
                      </c:pt>
                      <c:pt idx="1">
                        <c:v>QUEJAS </c:v>
                      </c:pt>
                      <c:pt idx="2">
                        <c:v>RECLAMOS</c:v>
                      </c:pt>
                    </c:strCache>
                  </c:strRef>
                </c:cat>
                <c:val>
                  <c:numRef>
                    <c:extLst>
                      <c:ext uri="{02D57815-91ED-43cb-92C2-25804820EDAC}">
                        <c15:formulaRef>
                          <c15:sqref>PQR!$E$66:$E$68</c15:sqref>
                        </c15:formulaRef>
                      </c:ext>
                    </c:extLst>
                    <c:numCache>
                      <c:formatCode>General</c:formatCode>
                      <c:ptCount val="3"/>
                      <c:pt idx="0">
                        <c:v>1658</c:v>
                      </c:pt>
                      <c:pt idx="1">
                        <c:v>1103</c:v>
                      </c:pt>
                      <c:pt idx="2">
                        <c:v>464</c:v>
                      </c:pt>
                    </c:numCache>
                  </c:numRef>
                </c:val>
                <c:extLst>
                  <c:ext xmlns:c16="http://schemas.microsoft.com/office/drawing/2014/chart" uri="{C3380CC4-5D6E-409C-BE32-E72D297353CC}">
                    <c16:uniqueId val="{0000000D-E5E7-47A7-9CDE-6DB9785551EE}"/>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PIA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31-448C-A6BC-8BA43AFC27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A131-448C-A6BC-8BA43AFC27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A131-448C-A6BC-8BA43AFC27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A131-448C-A6BC-8BA43AFC27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A131-448C-A6BC-8BA43AFC27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9-A131-448C-A6BC-8BA43AFC2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PQR!$D$97:$D$102</c:f>
              <c:strCache>
                <c:ptCount val="6"/>
                <c:pt idx="0">
                  <c:v>CAJA</c:v>
                </c:pt>
                <c:pt idx="1">
                  <c:v>DISPONIBILIDAD Y CONEXIÓN DEL SERVICIO </c:v>
                </c:pt>
                <c:pt idx="2">
                  <c:v>DÚPLICADO DE FACTURA</c:v>
                </c:pt>
                <c:pt idx="3">
                  <c:v>PAGOS PARCIALES</c:v>
                </c:pt>
                <c:pt idx="4">
                  <c:v>PQR´S</c:v>
                </c:pt>
                <c:pt idx="5">
                  <c:v>RADICACION</c:v>
                </c:pt>
              </c:strCache>
            </c:strRef>
          </c:cat>
          <c:val>
            <c:numRef>
              <c:f>PQR!$E$97:$E$102</c:f>
              <c:numCache>
                <c:formatCode>General</c:formatCode>
                <c:ptCount val="6"/>
                <c:pt idx="0">
                  <c:v>9177</c:v>
                </c:pt>
                <c:pt idx="1">
                  <c:v>31</c:v>
                </c:pt>
                <c:pt idx="2">
                  <c:v>1959</c:v>
                </c:pt>
                <c:pt idx="3">
                  <c:v>617</c:v>
                </c:pt>
                <c:pt idx="4">
                  <c:v>1049</c:v>
                </c:pt>
                <c:pt idx="5">
                  <c:v>3</c:v>
                </c:pt>
              </c:numCache>
            </c:numRef>
          </c:val>
          <c:extLst>
            <c:ext xmlns:c16="http://schemas.microsoft.com/office/drawing/2014/chart" uri="{C3380CC4-5D6E-409C-BE32-E72D297353CC}">
              <c16:uniqueId val="{0000000A-A131-448C-A6BC-8BA43AFC27CC}"/>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F-71D4-46B7-873D-28496A89FE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71D4-46B7-873D-28496A89FE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71D4-46B7-873D-28496A89FE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71D4-46B7-873D-28496A89FE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71D4-46B7-873D-28496A89FE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71D4-46B7-873D-28496A89FE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PQR!$D$97:$D$102</c:f>
              <c:strCache>
                <c:ptCount val="6"/>
                <c:pt idx="0">
                  <c:v>CAJA</c:v>
                </c:pt>
                <c:pt idx="1">
                  <c:v>DISPONIBILIDAD Y CONEXIÓN DEL SERVICIO </c:v>
                </c:pt>
                <c:pt idx="2">
                  <c:v>DÚPLICADO DE FACTURA</c:v>
                </c:pt>
                <c:pt idx="3">
                  <c:v>PAGOS PARCIALES</c:v>
                </c:pt>
                <c:pt idx="4">
                  <c:v>PQR´S</c:v>
                </c:pt>
                <c:pt idx="5">
                  <c:v>RADICACION</c:v>
                </c:pt>
              </c:strCache>
            </c:strRef>
          </c:cat>
          <c:val>
            <c:numRef>
              <c:f>PQR!$F$97:$F$102</c:f>
              <c:numCache>
                <c:formatCode>0.00%</c:formatCode>
                <c:ptCount val="6"/>
                <c:pt idx="0">
                  <c:v>0.71494234964163295</c:v>
                </c:pt>
                <c:pt idx="1">
                  <c:v>2.4150825802430665E-3</c:v>
                </c:pt>
                <c:pt idx="2">
                  <c:v>0.15261763789342475</c:v>
                </c:pt>
                <c:pt idx="3">
                  <c:v>4.8067933935805544E-2</c:v>
                </c:pt>
                <c:pt idx="4">
                  <c:v>8.1723278279837955E-2</c:v>
                </c:pt>
                <c:pt idx="5">
                  <c:v>2.3371766905578062E-4</c:v>
                </c:pt>
              </c:numCache>
            </c:numRef>
          </c:val>
          <c:extLst>
            <c:ext xmlns:c16="http://schemas.microsoft.com/office/drawing/2014/chart" uri="{C3380CC4-5D6E-409C-BE32-E72D297353CC}">
              <c16:uniqueId val="{0000001A-A131-448C-A6BC-8BA43AFC27CC}"/>
            </c:ext>
          </c:extLst>
        </c:ser>
        <c:dLbls>
          <c:dLblPos val="bestFit"/>
          <c:showLegendKey val="0"/>
          <c:showVal val="1"/>
          <c:showCatName val="0"/>
          <c:showSerName val="0"/>
          <c:showPercent val="0"/>
          <c:showBubbleSize val="0"/>
          <c:showLeaderLines val="0"/>
        </c:dLbls>
        <c:firstSliceAng val="0"/>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PQR'S  PIA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0151182766179585"/>
          <c:y val="0.10470583934668333"/>
          <c:w val="0.93888888888888888"/>
          <c:h val="0.6714577865266842"/>
        </c:manualLayout>
      </c:layout>
      <c:doughnutChart>
        <c:varyColors val="1"/>
        <c:ser>
          <c:idx val="0"/>
          <c:order val="0"/>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8-8B14-4D25-AC4D-D98A8595FCE5}"/>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0A-8B14-4D25-AC4D-D98A8595FCE5}"/>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0C-8B14-4D25-AC4D-D98A8595FC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25-425F-A11F-830C31362C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2-8B14-4D25-AC4D-D98A8595FC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3-8B14-4D25-AC4D-D98A8595FCE5}"/>
              </c:ext>
            </c:extLst>
          </c:dPt>
          <c:dLbls>
            <c:dLbl>
              <c:idx val="0"/>
              <c:layout>
                <c:manualLayout>
                  <c:x val="6.1278394083465318E-2"/>
                  <c:y val="5.94244730550742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0.11038563127311146"/>
                      <c:h val="6.6796803602892252E-2"/>
                    </c:manualLayout>
                  </c15:layout>
                </c:ext>
                <c:ext xmlns:c16="http://schemas.microsoft.com/office/drawing/2014/chart" uri="{C3380CC4-5D6E-409C-BE32-E72D297353CC}">
                  <c16:uniqueId val="{00000008-8B14-4D25-AC4D-D98A8595FCE5}"/>
                </c:ext>
              </c:extLst>
            </c:dLbl>
            <c:dLbl>
              <c:idx val="1"/>
              <c:layout>
                <c:manualLayout>
                  <c:x val="-5.4939249867934498E-2"/>
                  <c:y val="2.2284122562674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B14-4D25-AC4D-D98A8595FCE5}"/>
                </c:ext>
              </c:extLst>
            </c:dLbl>
            <c:dLbl>
              <c:idx val="2"/>
              <c:layout>
                <c:manualLayout>
                  <c:x val="-4.8600105652403629E-2"/>
                  <c:y val="-3.7140204271124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B14-4D25-AC4D-D98A8595FCE5}"/>
                </c:ext>
              </c:extLst>
            </c:dLbl>
            <c:dLbl>
              <c:idx val="3"/>
              <c:layout>
                <c:manualLayout>
                  <c:x val="-4.0147913365029091E-2"/>
                  <c:y val="-4.08542246982358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25-425F-A11F-830C31362C29}"/>
                </c:ext>
              </c:extLst>
            </c:dLbl>
            <c:dLbl>
              <c:idx val="4"/>
              <c:layout>
                <c:manualLayout>
                  <c:x val="-6.7617538298996305E-2"/>
                  <c:y val="-4.45682451253482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B14-4D25-AC4D-D98A8595FCE5}"/>
                </c:ext>
              </c:extLst>
            </c:dLbl>
            <c:dLbl>
              <c:idx val="5"/>
              <c:layout>
                <c:manualLayout>
                  <c:x val="6.3391442155309036E-3"/>
                  <c:y val="0.11142061281337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8B14-4D25-AC4D-D98A8595FC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PQR!$D$97:$D$102</c:f>
              <c:strCache>
                <c:ptCount val="6"/>
                <c:pt idx="0">
                  <c:v>CAJA</c:v>
                </c:pt>
                <c:pt idx="1">
                  <c:v>DISPONIBILIDAD Y CONEXIÓN DEL SERVICIO </c:v>
                </c:pt>
                <c:pt idx="2">
                  <c:v>DÚPLICADO DE FACTURA</c:v>
                </c:pt>
                <c:pt idx="3">
                  <c:v>PAGOS PARCIALES</c:v>
                </c:pt>
                <c:pt idx="4">
                  <c:v>PQR´S</c:v>
                </c:pt>
                <c:pt idx="5">
                  <c:v>RADICACION</c:v>
                </c:pt>
              </c:strCache>
            </c:strRef>
          </c:cat>
          <c:val>
            <c:numRef>
              <c:f>PQR!$E$97:$E$102</c:f>
              <c:numCache>
                <c:formatCode>General</c:formatCode>
                <c:ptCount val="6"/>
                <c:pt idx="0">
                  <c:v>9177</c:v>
                </c:pt>
                <c:pt idx="1">
                  <c:v>31</c:v>
                </c:pt>
                <c:pt idx="2">
                  <c:v>1959</c:v>
                </c:pt>
                <c:pt idx="3">
                  <c:v>617</c:v>
                </c:pt>
                <c:pt idx="4">
                  <c:v>1049</c:v>
                </c:pt>
                <c:pt idx="5">
                  <c:v>3</c:v>
                </c:pt>
              </c:numCache>
            </c:numRef>
          </c:val>
          <c:extLst xmlns:c15="http://schemas.microsoft.com/office/drawing/2012/chart">
            <c:ext xmlns:c16="http://schemas.microsoft.com/office/drawing/2014/chart" uri="{C3380CC4-5D6E-409C-BE32-E72D297353CC}">
              <c16:uniqueId val="{0000000D-8B14-4D25-AC4D-D98A8595FCE5}"/>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14-4D25-AC4D-D98A8595FC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14-4D25-AC4D-D98A8595FC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14-4D25-AC4D-D98A8595FC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E-8B14-4D25-AC4D-D98A8595FC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F-8B14-4D25-AC4D-D98A8595FC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0-8B14-4D25-AC4D-D98A8595FCE5}"/>
                    </c:ext>
                  </c:extLst>
                </c:dPt>
                <c:dLbls>
                  <c:dLbl>
                    <c:idx val="0"/>
                    <c:layout>
                      <c:manualLayout>
                        <c:x val="6.3391442155309105E-2"/>
                        <c:y val="1.8570102135561744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8B14-4D25-AC4D-D98A8595FCE5}"/>
                      </c:ext>
                    </c:extLst>
                  </c:dLbl>
                  <c:dLbl>
                    <c:idx val="1"/>
                    <c:layout>
                      <c:manualLayout>
                        <c:x val="-6.9730586370839981E-2"/>
                        <c:y val="4.828226555246054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3-8B14-4D25-AC4D-D98A8595FCE5}"/>
                      </c:ext>
                    </c:extLst>
                  </c:dLbl>
                  <c:dLbl>
                    <c:idx val="2"/>
                    <c:layout>
                      <c:manualLayout>
                        <c:x val="-4.6487057580559994E-2"/>
                        <c:y val="7.4280408542246983E-3"/>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5-8B14-4D25-AC4D-D98A8595FCE5}"/>
                      </c:ext>
                    </c:extLst>
                  </c:dLbl>
                  <c:dLbl>
                    <c:idx val="3"/>
                    <c:layout>
                      <c:manualLayout>
                        <c:x val="-5.4939249867934574E-2"/>
                        <c:y val="-3.7140204271123523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E-8B14-4D25-AC4D-D98A8595FCE5}"/>
                      </c:ext>
                    </c:extLst>
                  </c:dLbl>
                  <c:dLbl>
                    <c:idx val="4"/>
                    <c:layout>
                      <c:manualLayout>
                        <c:x val="-4.8600105652403594E-2"/>
                        <c:y val="-5.1996285979572905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F-8B14-4D25-AC4D-D98A8595FCE5}"/>
                      </c:ext>
                    </c:extLst>
                  </c:dLbl>
                  <c:dLbl>
                    <c:idx val="5"/>
                    <c:layout>
                      <c:manualLayout>
                        <c:x val="0"/>
                        <c:y val="8.1708449396471677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10-8B14-4D25-AC4D-D98A8595FC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PQR!$D$97:$D$102</c15:sqref>
                        </c15:formulaRef>
                      </c:ext>
                    </c:extLst>
                    <c:strCache>
                      <c:ptCount val="6"/>
                      <c:pt idx="0">
                        <c:v>CAJA</c:v>
                      </c:pt>
                      <c:pt idx="1">
                        <c:v>DISPONIBILIDAD Y CONEXIÓN DEL SERVICIO </c:v>
                      </c:pt>
                      <c:pt idx="2">
                        <c:v>DÚPLICADO DE FACTURA</c:v>
                      </c:pt>
                      <c:pt idx="3">
                        <c:v>PAGOS PARCIALES</c:v>
                      </c:pt>
                      <c:pt idx="4">
                        <c:v>PQR´S</c:v>
                      </c:pt>
                      <c:pt idx="5">
                        <c:v>RADICACION</c:v>
                      </c:pt>
                    </c:strCache>
                  </c:strRef>
                </c:cat>
                <c:val>
                  <c:numRef>
                    <c:extLst>
                      <c:ext uri="{02D57815-91ED-43cb-92C2-25804820EDAC}">
                        <c15:formulaRef>
                          <c15:sqref>PQR!$F$97:$F$102</c15:sqref>
                        </c15:formulaRef>
                      </c:ext>
                    </c:extLst>
                    <c:numCache>
                      <c:formatCode>0.00%</c:formatCode>
                      <c:ptCount val="6"/>
                      <c:pt idx="0">
                        <c:v>0.71494234964163295</c:v>
                      </c:pt>
                      <c:pt idx="1">
                        <c:v>2.4150825802430665E-3</c:v>
                      </c:pt>
                      <c:pt idx="2">
                        <c:v>0.15261763789342475</c:v>
                      </c:pt>
                      <c:pt idx="3">
                        <c:v>4.8067933935805544E-2</c:v>
                      </c:pt>
                      <c:pt idx="4">
                        <c:v>8.1723278279837955E-2</c:v>
                      </c:pt>
                      <c:pt idx="5">
                        <c:v>2.3371766905578062E-4</c:v>
                      </c:pt>
                    </c:numCache>
                  </c:numRef>
                </c:val>
                <c:extLst>
                  <c:ext xmlns:c16="http://schemas.microsoft.com/office/drawing/2014/chart" uri="{C3380CC4-5D6E-409C-BE32-E72D297353CC}">
                    <c16:uniqueId val="{00000006-8B14-4D25-AC4D-D98A8595FCE5}"/>
                  </c:ext>
                </c:extLst>
              </c15:ser>
            </c15:filteredPieSeries>
          </c:ext>
        </c:extLst>
      </c:doughnutChart>
      <c:spPr>
        <a:noFill/>
        <a:ln>
          <a:noFill/>
        </a:ln>
        <a:effectLst/>
      </c:spPr>
    </c:plotArea>
    <c:legend>
      <c:legendPos val="b"/>
      <c:layout>
        <c:manualLayout>
          <c:xMode val="edge"/>
          <c:yMode val="edge"/>
          <c:x val="0.13307460973083593"/>
          <c:y val="0.75487289715526495"/>
          <c:w val="0.73385061415659014"/>
          <c:h val="0.24512710284473493"/>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PQR'S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0.20579899645154937"/>
          <c:y val="9.6364759613877679E-2"/>
          <c:w val="0.77429757687284317"/>
          <c:h val="0.48902149512287185"/>
        </c:manualLayout>
      </c:layout>
      <c:barChart>
        <c:barDir val="col"/>
        <c:grouping val="clustered"/>
        <c:varyColors val="0"/>
        <c:ser>
          <c:idx val="0"/>
          <c:order val="0"/>
          <c:tx>
            <c:strRef>
              <c:f>'PQR POR SERVICIO'!$L$10</c:f>
              <c:strCache>
                <c:ptCount val="1"/>
                <c:pt idx="0">
                  <c:v>PETICIONES</c:v>
                </c:pt>
              </c:strCache>
            </c:strRef>
          </c:tx>
          <c:spPr>
            <a:solidFill>
              <a:schemeClr val="accent1"/>
            </a:solidFill>
            <a:ln>
              <a:noFill/>
            </a:ln>
            <a:effectLst/>
          </c:spPr>
          <c:invertIfNegative val="0"/>
          <c:cat>
            <c:strRef>
              <c:extLst>
                <c:ext xmlns:c15="http://schemas.microsoft.com/office/drawing/2012/chart" uri="{02D57815-91ED-43cb-92C2-25804820EDAC}">
                  <c15:fullRef>
                    <c15:sqref>'PQR POR SERVICIO'!$M$9:$AI$9</c15:sqref>
                  </c15:fullRef>
                </c:ext>
              </c:extLst>
              <c:f>'PQR POR SERVICIO'!$M$9:$AB$9</c:f>
              <c:strCache>
                <c:ptCount val="16"/>
                <c:pt idx="0">
                  <c:v>ene-25</c:v>
                </c:pt>
                <c:pt idx="1">
                  <c:v>ene-26</c:v>
                </c:pt>
                <c:pt idx="2">
                  <c:v>Febr-25</c:v>
                </c:pt>
                <c:pt idx="3">
                  <c:v>Febr-26</c:v>
                </c:pt>
                <c:pt idx="4">
                  <c:v>Marz-25</c:v>
                </c:pt>
                <c:pt idx="5">
                  <c:v>Marz-26</c:v>
                </c:pt>
                <c:pt idx="6">
                  <c:v>abr-25</c:v>
                </c:pt>
                <c:pt idx="7">
                  <c:v>abr-26</c:v>
                </c:pt>
                <c:pt idx="8">
                  <c:v>may-25</c:v>
                </c:pt>
                <c:pt idx="9">
                  <c:v>may-26</c:v>
                </c:pt>
                <c:pt idx="10">
                  <c:v>jun-25</c:v>
                </c:pt>
                <c:pt idx="11">
                  <c:v>jun-26</c:v>
                </c:pt>
                <c:pt idx="12">
                  <c:v>jul-25</c:v>
                </c:pt>
                <c:pt idx="13">
                  <c:v>jul-26</c:v>
                </c:pt>
                <c:pt idx="14">
                  <c:v>ago-25</c:v>
                </c:pt>
                <c:pt idx="15">
                  <c:v>ago-26</c:v>
                </c:pt>
              </c:strCache>
            </c:strRef>
          </c:cat>
          <c:val>
            <c:numRef>
              <c:extLst>
                <c:ext xmlns:c15="http://schemas.microsoft.com/office/drawing/2012/chart" uri="{02D57815-91ED-43cb-92C2-25804820EDAC}">
                  <c15:fullRef>
                    <c15:sqref>'PQR POR SERVICIO'!$M$10:$AI$10</c15:sqref>
                  </c15:fullRef>
                </c:ext>
              </c:extLst>
              <c:f>'PQR POR SERVICIO'!$M$10:$AB$10</c:f>
              <c:numCache>
                <c:formatCode>General</c:formatCode>
                <c:ptCount val="16"/>
                <c:pt idx="0">
                  <c:v>188</c:v>
                </c:pt>
                <c:pt idx="1">
                  <c:v>195</c:v>
                </c:pt>
                <c:pt idx="2">
                  <c:v>188</c:v>
                </c:pt>
                <c:pt idx="3">
                  <c:v>240</c:v>
                </c:pt>
                <c:pt idx="4">
                  <c:v>179</c:v>
                </c:pt>
                <c:pt idx="5">
                  <c:v>180</c:v>
                </c:pt>
                <c:pt idx="6">
                  <c:v>495</c:v>
                </c:pt>
                <c:pt idx="7">
                  <c:v>239</c:v>
                </c:pt>
                <c:pt idx="8">
                  <c:v>179</c:v>
                </c:pt>
                <c:pt idx="9">
                  <c:v>178</c:v>
                </c:pt>
                <c:pt idx="10">
                  <c:v>163</c:v>
                </c:pt>
                <c:pt idx="11">
                  <c:v>194</c:v>
                </c:pt>
                <c:pt idx="12">
                  <c:v>172</c:v>
                </c:pt>
                <c:pt idx="13">
                  <c:v>254</c:v>
                </c:pt>
                <c:pt idx="14">
                  <c:v>195</c:v>
                </c:pt>
                <c:pt idx="15">
                  <c:v>180</c:v>
                </c:pt>
              </c:numCache>
            </c:numRef>
          </c:val>
          <c:extLst>
            <c:ext xmlns:c16="http://schemas.microsoft.com/office/drawing/2014/chart" uri="{C3380CC4-5D6E-409C-BE32-E72D297353CC}">
              <c16:uniqueId val="{00000000-210F-4941-B4A2-6BE3B25779A0}"/>
            </c:ext>
          </c:extLst>
        </c:ser>
        <c:ser>
          <c:idx val="1"/>
          <c:order val="1"/>
          <c:tx>
            <c:strRef>
              <c:f>'PQR POR SERVICIO'!$L$11</c:f>
              <c:strCache>
                <c:ptCount val="1"/>
                <c:pt idx="0">
                  <c:v>QUEJAS </c:v>
                </c:pt>
              </c:strCache>
            </c:strRef>
          </c:tx>
          <c:spPr>
            <a:solidFill>
              <a:schemeClr val="accent2"/>
            </a:solidFill>
            <a:ln>
              <a:noFill/>
            </a:ln>
            <a:effectLst/>
          </c:spPr>
          <c:invertIfNegative val="0"/>
          <c:cat>
            <c:strRef>
              <c:extLst>
                <c:ext xmlns:c15="http://schemas.microsoft.com/office/drawing/2012/chart" uri="{02D57815-91ED-43cb-92C2-25804820EDAC}">
                  <c15:fullRef>
                    <c15:sqref>'PQR POR SERVICIO'!$M$9:$AI$9</c15:sqref>
                  </c15:fullRef>
                </c:ext>
              </c:extLst>
              <c:f>'PQR POR SERVICIO'!$M$9:$AB$9</c:f>
              <c:strCache>
                <c:ptCount val="16"/>
                <c:pt idx="0">
                  <c:v>ene-25</c:v>
                </c:pt>
                <c:pt idx="1">
                  <c:v>ene-26</c:v>
                </c:pt>
                <c:pt idx="2">
                  <c:v>Febr-25</c:v>
                </c:pt>
                <c:pt idx="3">
                  <c:v>Febr-26</c:v>
                </c:pt>
                <c:pt idx="4">
                  <c:v>Marz-25</c:v>
                </c:pt>
                <c:pt idx="5">
                  <c:v>Marz-26</c:v>
                </c:pt>
                <c:pt idx="6">
                  <c:v>abr-25</c:v>
                </c:pt>
                <c:pt idx="7">
                  <c:v>abr-26</c:v>
                </c:pt>
                <c:pt idx="8">
                  <c:v>may-25</c:v>
                </c:pt>
                <c:pt idx="9">
                  <c:v>may-26</c:v>
                </c:pt>
                <c:pt idx="10">
                  <c:v>jun-25</c:v>
                </c:pt>
                <c:pt idx="11">
                  <c:v>jun-26</c:v>
                </c:pt>
                <c:pt idx="12">
                  <c:v>jul-25</c:v>
                </c:pt>
                <c:pt idx="13">
                  <c:v>jul-26</c:v>
                </c:pt>
                <c:pt idx="14">
                  <c:v>ago-25</c:v>
                </c:pt>
                <c:pt idx="15">
                  <c:v>ago-26</c:v>
                </c:pt>
              </c:strCache>
            </c:strRef>
          </c:cat>
          <c:val>
            <c:numRef>
              <c:extLst>
                <c:ext xmlns:c15="http://schemas.microsoft.com/office/drawing/2012/chart" uri="{02D57815-91ED-43cb-92C2-25804820EDAC}">
                  <c15:fullRef>
                    <c15:sqref>'PQR POR SERVICIO'!$M$11:$AI$11</c15:sqref>
                  </c15:fullRef>
                </c:ext>
              </c:extLst>
              <c:f>'PQR POR SERVICIO'!$M$11:$AB$11</c:f>
              <c:numCache>
                <c:formatCode>General</c:formatCode>
                <c:ptCount val="16"/>
                <c:pt idx="0">
                  <c:v>105</c:v>
                </c:pt>
                <c:pt idx="1">
                  <c:v>105</c:v>
                </c:pt>
                <c:pt idx="2">
                  <c:v>165</c:v>
                </c:pt>
                <c:pt idx="3">
                  <c:v>131</c:v>
                </c:pt>
                <c:pt idx="4">
                  <c:v>189</c:v>
                </c:pt>
                <c:pt idx="5">
                  <c:v>131</c:v>
                </c:pt>
                <c:pt idx="6">
                  <c:v>115</c:v>
                </c:pt>
                <c:pt idx="7">
                  <c:v>143</c:v>
                </c:pt>
                <c:pt idx="8">
                  <c:v>112</c:v>
                </c:pt>
                <c:pt idx="9">
                  <c:v>136</c:v>
                </c:pt>
                <c:pt idx="10">
                  <c:v>122</c:v>
                </c:pt>
                <c:pt idx="11">
                  <c:v>99</c:v>
                </c:pt>
                <c:pt idx="12">
                  <c:v>178</c:v>
                </c:pt>
                <c:pt idx="13">
                  <c:v>214</c:v>
                </c:pt>
                <c:pt idx="14">
                  <c:v>117</c:v>
                </c:pt>
                <c:pt idx="15">
                  <c:v>142</c:v>
                </c:pt>
              </c:numCache>
            </c:numRef>
          </c:val>
          <c:extLst>
            <c:ext xmlns:c16="http://schemas.microsoft.com/office/drawing/2014/chart" uri="{C3380CC4-5D6E-409C-BE32-E72D297353CC}">
              <c16:uniqueId val="{00000001-210F-4941-B4A2-6BE3B25779A0}"/>
            </c:ext>
          </c:extLst>
        </c:ser>
        <c:ser>
          <c:idx val="2"/>
          <c:order val="2"/>
          <c:tx>
            <c:strRef>
              <c:f>'PQR POR SERVICIO'!$L$12</c:f>
              <c:strCache>
                <c:ptCount val="1"/>
                <c:pt idx="0">
                  <c:v>RECLAMOS </c:v>
                </c:pt>
              </c:strCache>
            </c:strRef>
          </c:tx>
          <c:spPr>
            <a:solidFill>
              <a:schemeClr val="accent3"/>
            </a:solidFill>
            <a:ln>
              <a:noFill/>
            </a:ln>
            <a:effectLst/>
          </c:spPr>
          <c:invertIfNegative val="0"/>
          <c:cat>
            <c:strRef>
              <c:extLst>
                <c:ext xmlns:c15="http://schemas.microsoft.com/office/drawing/2012/chart" uri="{02D57815-91ED-43cb-92C2-25804820EDAC}">
                  <c15:fullRef>
                    <c15:sqref>'PQR POR SERVICIO'!$M$9:$AI$9</c15:sqref>
                  </c15:fullRef>
                </c:ext>
              </c:extLst>
              <c:f>'PQR POR SERVICIO'!$M$9:$AB$9</c:f>
              <c:strCache>
                <c:ptCount val="16"/>
                <c:pt idx="0">
                  <c:v>ene-25</c:v>
                </c:pt>
                <c:pt idx="1">
                  <c:v>ene-26</c:v>
                </c:pt>
                <c:pt idx="2">
                  <c:v>Febr-25</c:v>
                </c:pt>
                <c:pt idx="3">
                  <c:v>Febr-26</c:v>
                </c:pt>
                <c:pt idx="4">
                  <c:v>Marz-25</c:v>
                </c:pt>
                <c:pt idx="5">
                  <c:v>Marz-26</c:v>
                </c:pt>
                <c:pt idx="6">
                  <c:v>abr-25</c:v>
                </c:pt>
                <c:pt idx="7">
                  <c:v>abr-26</c:v>
                </c:pt>
                <c:pt idx="8">
                  <c:v>may-25</c:v>
                </c:pt>
                <c:pt idx="9">
                  <c:v>may-26</c:v>
                </c:pt>
                <c:pt idx="10">
                  <c:v>jun-25</c:v>
                </c:pt>
                <c:pt idx="11">
                  <c:v>jun-26</c:v>
                </c:pt>
                <c:pt idx="12">
                  <c:v>jul-25</c:v>
                </c:pt>
                <c:pt idx="13">
                  <c:v>jul-26</c:v>
                </c:pt>
                <c:pt idx="14">
                  <c:v>ago-25</c:v>
                </c:pt>
                <c:pt idx="15">
                  <c:v>ago-26</c:v>
                </c:pt>
              </c:strCache>
            </c:strRef>
          </c:cat>
          <c:val>
            <c:numRef>
              <c:extLst>
                <c:ext xmlns:c15="http://schemas.microsoft.com/office/drawing/2012/chart" uri="{02D57815-91ED-43cb-92C2-25804820EDAC}">
                  <c15:fullRef>
                    <c15:sqref>'PQR POR SERVICIO'!$M$12:$AI$12</c15:sqref>
                  </c15:fullRef>
                </c:ext>
              </c:extLst>
              <c:f>'PQR POR SERVICIO'!$M$12:$AB$12</c:f>
              <c:numCache>
                <c:formatCode>General</c:formatCode>
                <c:ptCount val="16"/>
                <c:pt idx="0">
                  <c:v>31</c:v>
                </c:pt>
                <c:pt idx="1">
                  <c:v>40</c:v>
                </c:pt>
                <c:pt idx="2">
                  <c:v>20</c:v>
                </c:pt>
                <c:pt idx="3">
                  <c:v>32</c:v>
                </c:pt>
                <c:pt idx="4">
                  <c:v>23</c:v>
                </c:pt>
                <c:pt idx="5">
                  <c:v>58</c:v>
                </c:pt>
                <c:pt idx="6">
                  <c:v>16</c:v>
                </c:pt>
                <c:pt idx="7">
                  <c:v>81</c:v>
                </c:pt>
                <c:pt idx="8">
                  <c:v>38</c:v>
                </c:pt>
                <c:pt idx="9">
                  <c:v>58</c:v>
                </c:pt>
                <c:pt idx="10">
                  <c:v>31</c:v>
                </c:pt>
                <c:pt idx="11">
                  <c:v>54</c:v>
                </c:pt>
                <c:pt idx="12">
                  <c:v>44</c:v>
                </c:pt>
                <c:pt idx="13">
                  <c:v>86</c:v>
                </c:pt>
                <c:pt idx="14">
                  <c:v>19</c:v>
                </c:pt>
                <c:pt idx="15">
                  <c:v>55</c:v>
                </c:pt>
              </c:numCache>
            </c:numRef>
          </c:val>
          <c:extLst>
            <c:ext xmlns:c16="http://schemas.microsoft.com/office/drawing/2014/chart" uri="{C3380CC4-5D6E-409C-BE32-E72D297353CC}">
              <c16:uniqueId val="{00000002-210F-4941-B4A2-6BE3B25779A0}"/>
            </c:ext>
          </c:extLst>
        </c:ser>
        <c:dLbls>
          <c:showLegendKey val="0"/>
          <c:showVal val="0"/>
          <c:showCatName val="0"/>
          <c:showSerName val="0"/>
          <c:showPercent val="0"/>
          <c:showBubbleSize val="0"/>
        </c:dLbls>
        <c:gapWidth val="219"/>
        <c:overlap val="-27"/>
        <c:axId val="1988415727"/>
        <c:axId val="1988416687"/>
      </c:barChart>
      <c:lineChart>
        <c:grouping val="standard"/>
        <c:varyColors val="0"/>
        <c:ser>
          <c:idx val="3"/>
          <c:order val="3"/>
          <c:tx>
            <c:strRef>
              <c:f>'PQR POR SERVICIO'!$L$13</c:f>
              <c:strCache>
                <c:ptCount val="1"/>
                <c:pt idx="0">
                  <c:v>TOTAL </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'PQR POR SERVICIO'!$M$9:$AI$9</c15:sqref>
                  </c15:fullRef>
                </c:ext>
              </c:extLst>
              <c:f>'PQR POR SERVICIO'!$M$9:$AB$9</c:f>
              <c:strCache>
                <c:ptCount val="16"/>
                <c:pt idx="0">
                  <c:v>ene-25</c:v>
                </c:pt>
                <c:pt idx="1">
                  <c:v>ene-26</c:v>
                </c:pt>
                <c:pt idx="2">
                  <c:v>Febr-25</c:v>
                </c:pt>
                <c:pt idx="3">
                  <c:v>Febr-26</c:v>
                </c:pt>
                <c:pt idx="4">
                  <c:v>Marz-25</c:v>
                </c:pt>
                <c:pt idx="5">
                  <c:v>Marz-26</c:v>
                </c:pt>
                <c:pt idx="6">
                  <c:v>abr-25</c:v>
                </c:pt>
                <c:pt idx="7">
                  <c:v>abr-26</c:v>
                </c:pt>
                <c:pt idx="8">
                  <c:v>may-25</c:v>
                </c:pt>
                <c:pt idx="9">
                  <c:v>may-26</c:v>
                </c:pt>
                <c:pt idx="10">
                  <c:v>jun-25</c:v>
                </c:pt>
                <c:pt idx="11">
                  <c:v>jun-26</c:v>
                </c:pt>
                <c:pt idx="12">
                  <c:v>jul-25</c:v>
                </c:pt>
                <c:pt idx="13">
                  <c:v>jul-26</c:v>
                </c:pt>
                <c:pt idx="14">
                  <c:v>ago-25</c:v>
                </c:pt>
                <c:pt idx="15">
                  <c:v>ago-26</c:v>
                </c:pt>
              </c:strCache>
            </c:strRef>
          </c:cat>
          <c:val>
            <c:numRef>
              <c:extLst>
                <c:ext xmlns:c15="http://schemas.microsoft.com/office/drawing/2012/chart" uri="{02D57815-91ED-43cb-92C2-25804820EDAC}">
                  <c15:fullRef>
                    <c15:sqref>'PQR POR SERVICIO'!$M$13:$AI$13</c15:sqref>
                  </c15:fullRef>
                </c:ext>
              </c:extLst>
              <c:f>'PQR POR SERVICIO'!$M$13:$AB$13</c:f>
              <c:numCache>
                <c:formatCode>General</c:formatCode>
                <c:ptCount val="16"/>
                <c:pt idx="0">
                  <c:v>324</c:v>
                </c:pt>
                <c:pt idx="1">
                  <c:v>340</c:v>
                </c:pt>
                <c:pt idx="2">
                  <c:v>373</c:v>
                </c:pt>
                <c:pt idx="3">
                  <c:v>403</c:v>
                </c:pt>
                <c:pt idx="4">
                  <c:v>391</c:v>
                </c:pt>
                <c:pt idx="5">
                  <c:v>369</c:v>
                </c:pt>
                <c:pt idx="6">
                  <c:v>626</c:v>
                </c:pt>
                <c:pt idx="7">
                  <c:v>463</c:v>
                </c:pt>
                <c:pt idx="8">
                  <c:v>329</c:v>
                </c:pt>
                <c:pt idx="9">
                  <c:v>372</c:v>
                </c:pt>
                <c:pt idx="10">
                  <c:v>316</c:v>
                </c:pt>
                <c:pt idx="11">
                  <c:v>347</c:v>
                </c:pt>
                <c:pt idx="12">
                  <c:v>394</c:v>
                </c:pt>
                <c:pt idx="13">
                  <c:v>554</c:v>
                </c:pt>
                <c:pt idx="14">
                  <c:v>331</c:v>
                </c:pt>
                <c:pt idx="15">
                  <c:v>377</c:v>
                </c:pt>
              </c:numCache>
            </c:numRef>
          </c:val>
          <c:smooth val="0"/>
          <c:extLst>
            <c:ext xmlns:c16="http://schemas.microsoft.com/office/drawing/2014/chart" uri="{C3380CC4-5D6E-409C-BE32-E72D297353CC}">
              <c16:uniqueId val="{00000003-210F-4941-B4A2-6BE3B25779A0}"/>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988415727"/>
        <c:axId val="1988416687"/>
      </c:lineChart>
      <c:catAx>
        <c:axId val="1988415727"/>
        <c:scaling>
          <c:orientation val="minMax"/>
        </c:scaling>
        <c:delete val="1"/>
        <c:axPos val="b"/>
        <c:numFmt formatCode="General" sourceLinked="1"/>
        <c:majorTickMark val="none"/>
        <c:minorTickMark val="none"/>
        <c:tickLblPos val="nextTo"/>
        <c:crossAx val="1988416687"/>
        <c:crosses val="autoZero"/>
        <c:auto val="1"/>
        <c:lblAlgn val="ctr"/>
        <c:lblOffset val="100"/>
        <c:noMultiLvlLbl val="1"/>
      </c:cat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PQR'S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0.13890230975536119"/>
          <c:y val="0.13023228346456692"/>
          <c:w val="0.85071837629129166"/>
          <c:h val="0.52767237706745429"/>
        </c:manualLayout>
      </c:layout>
      <c:barChart>
        <c:barDir val="col"/>
        <c:grouping val="clustered"/>
        <c:varyColors val="0"/>
        <c:ser>
          <c:idx val="0"/>
          <c:order val="0"/>
          <c:tx>
            <c:strRef>
              <c:f>'PQR POR SERVICIO'!$AM$10</c:f>
              <c:strCache>
                <c:ptCount val="1"/>
                <c:pt idx="0">
                  <c:v>PETICIONES</c:v>
                </c:pt>
              </c:strCache>
            </c:strRef>
          </c:tx>
          <c:spPr>
            <a:solidFill>
              <a:schemeClr val="accent1"/>
            </a:solidFill>
            <a:ln>
              <a:noFill/>
            </a:ln>
            <a:effectLst/>
          </c:spPr>
          <c:invertIfNegative val="0"/>
          <c:cat>
            <c:strRef>
              <c:extLst>
                <c:ext xmlns:c15="http://schemas.microsoft.com/office/drawing/2012/chart" uri="{02D57815-91ED-43cb-92C2-25804820EDAC}">
                  <c15:fullRef>
                    <c15:sqref>'PQR POR SERVICIO'!$AN$9:$AX$9</c15:sqref>
                  </c15:fullRef>
                </c:ext>
              </c:extLst>
              <c:f>'PQR POR SERVICIO'!$AN$9:$AU$9</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'PQR POR SERVICIO'!$AN$10:$AX$10</c15:sqref>
                  </c15:fullRef>
                </c:ext>
              </c:extLst>
              <c:f>'PQR POR SERVICIO'!$AN$10:$AU$10</c:f>
              <c:numCache>
                <c:formatCode>General</c:formatCode>
                <c:ptCount val="8"/>
                <c:pt idx="0">
                  <c:v>195</c:v>
                </c:pt>
                <c:pt idx="1">
                  <c:v>240</c:v>
                </c:pt>
                <c:pt idx="2">
                  <c:v>180</c:v>
                </c:pt>
                <c:pt idx="3">
                  <c:v>239</c:v>
                </c:pt>
                <c:pt idx="4">
                  <c:v>178</c:v>
                </c:pt>
                <c:pt idx="5">
                  <c:v>194</c:v>
                </c:pt>
                <c:pt idx="6">
                  <c:v>254</c:v>
                </c:pt>
                <c:pt idx="7">
                  <c:v>180</c:v>
                </c:pt>
              </c:numCache>
            </c:numRef>
          </c:val>
          <c:extLst>
            <c:ext xmlns:c16="http://schemas.microsoft.com/office/drawing/2014/chart" uri="{C3380CC4-5D6E-409C-BE32-E72D297353CC}">
              <c16:uniqueId val="{00000000-4BF5-42F3-AD9B-9D86E942B502}"/>
            </c:ext>
          </c:extLst>
        </c:ser>
        <c:ser>
          <c:idx val="1"/>
          <c:order val="1"/>
          <c:tx>
            <c:strRef>
              <c:f>'PQR POR SERVICIO'!$AM$11</c:f>
              <c:strCache>
                <c:ptCount val="1"/>
                <c:pt idx="0">
                  <c:v>QUEJAS </c:v>
                </c:pt>
              </c:strCache>
            </c:strRef>
          </c:tx>
          <c:spPr>
            <a:solidFill>
              <a:schemeClr val="accent2"/>
            </a:solidFill>
            <a:ln>
              <a:noFill/>
            </a:ln>
            <a:effectLst/>
          </c:spPr>
          <c:invertIfNegative val="0"/>
          <c:cat>
            <c:strRef>
              <c:extLst>
                <c:ext xmlns:c15="http://schemas.microsoft.com/office/drawing/2012/chart" uri="{02D57815-91ED-43cb-92C2-25804820EDAC}">
                  <c15:fullRef>
                    <c15:sqref>'PQR POR SERVICIO'!$AN$9:$AX$9</c15:sqref>
                  </c15:fullRef>
                </c:ext>
              </c:extLst>
              <c:f>'PQR POR SERVICIO'!$AN$9:$AU$9</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'PQR POR SERVICIO'!$AN$11:$AX$11</c15:sqref>
                  </c15:fullRef>
                </c:ext>
              </c:extLst>
              <c:f>'PQR POR SERVICIO'!$AN$11:$AU$11</c:f>
              <c:numCache>
                <c:formatCode>General</c:formatCode>
                <c:ptCount val="8"/>
                <c:pt idx="0">
                  <c:v>105</c:v>
                </c:pt>
                <c:pt idx="1">
                  <c:v>131</c:v>
                </c:pt>
                <c:pt idx="2">
                  <c:v>131</c:v>
                </c:pt>
                <c:pt idx="3">
                  <c:v>143</c:v>
                </c:pt>
                <c:pt idx="4">
                  <c:v>136</c:v>
                </c:pt>
                <c:pt idx="5">
                  <c:v>99</c:v>
                </c:pt>
                <c:pt idx="6">
                  <c:v>214</c:v>
                </c:pt>
                <c:pt idx="7">
                  <c:v>142</c:v>
                </c:pt>
              </c:numCache>
            </c:numRef>
          </c:val>
          <c:extLst>
            <c:ext xmlns:c16="http://schemas.microsoft.com/office/drawing/2014/chart" uri="{C3380CC4-5D6E-409C-BE32-E72D297353CC}">
              <c16:uniqueId val="{00000001-4BF5-42F3-AD9B-9D86E942B502}"/>
            </c:ext>
          </c:extLst>
        </c:ser>
        <c:ser>
          <c:idx val="2"/>
          <c:order val="2"/>
          <c:tx>
            <c:strRef>
              <c:f>'PQR POR SERVICIO'!$AM$12</c:f>
              <c:strCache>
                <c:ptCount val="1"/>
                <c:pt idx="0">
                  <c:v>RECLAMOS </c:v>
                </c:pt>
              </c:strCache>
            </c:strRef>
          </c:tx>
          <c:spPr>
            <a:solidFill>
              <a:schemeClr val="accent3"/>
            </a:solidFill>
            <a:ln>
              <a:noFill/>
            </a:ln>
            <a:effectLst/>
          </c:spPr>
          <c:invertIfNegative val="0"/>
          <c:cat>
            <c:strRef>
              <c:extLst>
                <c:ext xmlns:c15="http://schemas.microsoft.com/office/drawing/2012/chart" uri="{02D57815-91ED-43cb-92C2-25804820EDAC}">
                  <c15:fullRef>
                    <c15:sqref>'PQR POR SERVICIO'!$AN$9:$AX$9</c15:sqref>
                  </c15:fullRef>
                </c:ext>
              </c:extLst>
              <c:f>'PQR POR SERVICIO'!$AN$9:$AU$9</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'PQR POR SERVICIO'!$AN$12:$AX$12</c15:sqref>
                  </c15:fullRef>
                </c:ext>
              </c:extLst>
              <c:f>'PQR POR SERVICIO'!$AN$12:$AU$12</c:f>
              <c:numCache>
                <c:formatCode>General</c:formatCode>
                <c:ptCount val="8"/>
                <c:pt idx="0">
                  <c:v>40</c:v>
                </c:pt>
                <c:pt idx="1">
                  <c:v>32</c:v>
                </c:pt>
                <c:pt idx="2">
                  <c:v>58</c:v>
                </c:pt>
                <c:pt idx="3">
                  <c:v>81</c:v>
                </c:pt>
                <c:pt idx="4">
                  <c:v>58</c:v>
                </c:pt>
                <c:pt idx="5">
                  <c:v>54</c:v>
                </c:pt>
                <c:pt idx="6">
                  <c:v>86</c:v>
                </c:pt>
                <c:pt idx="7">
                  <c:v>55</c:v>
                </c:pt>
              </c:numCache>
            </c:numRef>
          </c:val>
          <c:extLst>
            <c:ext xmlns:c16="http://schemas.microsoft.com/office/drawing/2014/chart" uri="{C3380CC4-5D6E-409C-BE32-E72D297353CC}">
              <c16:uniqueId val="{00000002-4BF5-42F3-AD9B-9D86E942B502}"/>
            </c:ext>
          </c:extLst>
        </c:ser>
        <c:dLbls>
          <c:showLegendKey val="0"/>
          <c:showVal val="0"/>
          <c:showCatName val="0"/>
          <c:showSerName val="0"/>
          <c:showPercent val="0"/>
          <c:showBubbleSize val="0"/>
        </c:dLbls>
        <c:gapWidth val="219"/>
        <c:overlap val="-27"/>
        <c:axId val="1988415727"/>
        <c:axId val="1988416687"/>
      </c:barChart>
      <c:lineChart>
        <c:grouping val="standard"/>
        <c:varyColors val="0"/>
        <c:ser>
          <c:idx val="3"/>
          <c:order val="3"/>
          <c:tx>
            <c:strRef>
              <c:f>'PQR POR SERVICIO'!$AM$13</c:f>
              <c:strCache>
                <c:ptCount val="1"/>
                <c:pt idx="0">
                  <c:v>TOTAL </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'PQR POR SERVICIO'!$AN$9:$AX$9</c15:sqref>
                  </c15:fullRef>
                </c:ext>
              </c:extLst>
              <c:f>'PQR POR SERVICIO'!$AN$9:$AU$9</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'PQR POR SERVICIO'!$AN$13:$AX$13</c15:sqref>
                  </c15:fullRef>
                </c:ext>
              </c:extLst>
              <c:f>'PQR POR SERVICIO'!$AN$13:$AU$13</c:f>
              <c:numCache>
                <c:formatCode>General</c:formatCode>
                <c:ptCount val="8"/>
                <c:pt idx="0">
                  <c:v>340</c:v>
                </c:pt>
                <c:pt idx="1">
                  <c:v>403</c:v>
                </c:pt>
                <c:pt idx="2">
                  <c:v>369</c:v>
                </c:pt>
                <c:pt idx="3">
                  <c:v>463</c:v>
                </c:pt>
                <c:pt idx="4">
                  <c:v>372</c:v>
                </c:pt>
                <c:pt idx="5">
                  <c:v>347</c:v>
                </c:pt>
                <c:pt idx="6">
                  <c:v>554</c:v>
                </c:pt>
                <c:pt idx="7">
                  <c:v>377</c:v>
                </c:pt>
              </c:numCache>
            </c:numRef>
          </c:val>
          <c:smooth val="0"/>
          <c:extLst>
            <c:ext xmlns:c16="http://schemas.microsoft.com/office/drawing/2014/chart" uri="{C3380CC4-5D6E-409C-BE32-E72D297353CC}">
              <c16:uniqueId val="{00000003-4BF5-42F3-AD9B-9D86E942B502}"/>
            </c:ext>
          </c:extLst>
        </c:ser>
        <c:dLbls>
          <c:showLegendKey val="0"/>
          <c:showVal val="0"/>
          <c:showCatName val="0"/>
          <c:showSerName val="0"/>
          <c:showPercent val="0"/>
          <c:showBubbleSize val="0"/>
        </c:dLbls>
        <c:marker val="1"/>
        <c:smooth val="0"/>
        <c:axId val="1988415727"/>
        <c:axId val="1988416687"/>
      </c:lineChart>
      <c:dateAx>
        <c:axId val="1988415727"/>
        <c:scaling>
          <c:orientation val="minMax"/>
        </c:scaling>
        <c:delete val="1"/>
        <c:axPos val="b"/>
        <c:numFmt formatCode="mmm\-yy" sourceLinked="1"/>
        <c:majorTickMark val="none"/>
        <c:minorTickMark val="none"/>
        <c:tickLblPos val="nextTo"/>
        <c:crossAx val="1988416687"/>
        <c:crosses val="autoZero"/>
        <c:auto val="1"/>
        <c:lblOffset val="100"/>
        <c:baseTimeUnit val="months"/>
      </c:date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s-CO" b="1">
                <a:solidFill>
                  <a:schemeClr val="tx1"/>
                </a:solidFill>
              </a:rPr>
              <a:t>PETICIONES COMPARATIVO 2025 VS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3924037620297464"/>
          <c:y val="0.19064814814814818"/>
          <c:w val="0.8357596237970254"/>
          <c:h val="0.48344160104986877"/>
        </c:manualLayout>
      </c:layout>
      <c:barChart>
        <c:barDir val="col"/>
        <c:grouping val="clustered"/>
        <c:varyColors val="0"/>
        <c:ser>
          <c:idx val="0"/>
          <c:order val="0"/>
          <c:tx>
            <c:strRef>
              <c:f>'PQR POR SERVICIO'!$E$40</c:f>
              <c:strCache>
                <c:ptCount val="1"/>
                <c:pt idx="0">
                  <c:v>2025</c:v>
                </c:pt>
              </c:strCache>
            </c:strRef>
          </c:tx>
          <c:spPr>
            <a:solidFill>
              <a:schemeClr val="accent1"/>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SERVICIO'!$E$41:$E$49</c:f>
              <c:numCache>
                <c:formatCode>General</c:formatCode>
                <c:ptCount val="9"/>
                <c:pt idx="0">
                  <c:v>188</c:v>
                </c:pt>
                <c:pt idx="1">
                  <c:v>188</c:v>
                </c:pt>
                <c:pt idx="2">
                  <c:v>179</c:v>
                </c:pt>
                <c:pt idx="3">
                  <c:v>495</c:v>
                </c:pt>
                <c:pt idx="4">
                  <c:v>179</c:v>
                </c:pt>
                <c:pt idx="5">
                  <c:v>163</c:v>
                </c:pt>
                <c:pt idx="6">
                  <c:v>172</c:v>
                </c:pt>
                <c:pt idx="7">
                  <c:v>195</c:v>
                </c:pt>
                <c:pt idx="8">
                  <c:v>1759</c:v>
                </c:pt>
              </c:numCache>
            </c:numRef>
          </c:val>
          <c:extLst>
            <c:ext xmlns:c16="http://schemas.microsoft.com/office/drawing/2014/chart" uri="{C3380CC4-5D6E-409C-BE32-E72D297353CC}">
              <c16:uniqueId val="{00000000-3556-40E3-81A2-9F6D041E82D0}"/>
            </c:ext>
          </c:extLst>
        </c:ser>
        <c:ser>
          <c:idx val="1"/>
          <c:order val="1"/>
          <c:tx>
            <c:strRef>
              <c:f>'PQR POR SERVICIO'!$F$40</c:f>
              <c:strCache>
                <c:ptCount val="1"/>
                <c:pt idx="0">
                  <c:v>2026</c:v>
                </c:pt>
              </c:strCache>
            </c:strRef>
          </c:tx>
          <c:spPr>
            <a:solidFill>
              <a:schemeClr val="accent2"/>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SERVICIO'!$F$41:$F$49</c:f>
              <c:numCache>
                <c:formatCode>General</c:formatCode>
                <c:ptCount val="9"/>
                <c:pt idx="0">
                  <c:v>195</c:v>
                </c:pt>
                <c:pt idx="1">
                  <c:v>240</c:v>
                </c:pt>
                <c:pt idx="2">
                  <c:v>180</c:v>
                </c:pt>
                <c:pt idx="3">
                  <c:v>239</c:v>
                </c:pt>
                <c:pt idx="4">
                  <c:v>178</c:v>
                </c:pt>
                <c:pt idx="5">
                  <c:v>194</c:v>
                </c:pt>
                <c:pt idx="6">
                  <c:v>254</c:v>
                </c:pt>
                <c:pt idx="7">
                  <c:v>180</c:v>
                </c:pt>
                <c:pt idx="8">
                  <c:v>1660</c:v>
                </c:pt>
              </c:numCache>
            </c:numRef>
          </c:val>
          <c:extLst>
            <c:ext xmlns:c16="http://schemas.microsoft.com/office/drawing/2014/chart" uri="{C3380CC4-5D6E-409C-BE32-E72D297353CC}">
              <c16:uniqueId val="{00000001-3556-40E3-81A2-9F6D041E82D0}"/>
            </c:ext>
          </c:extLst>
        </c:ser>
        <c:dLbls>
          <c:showLegendKey val="0"/>
          <c:showVal val="0"/>
          <c:showCatName val="0"/>
          <c:showSerName val="0"/>
          <c:showPercent val="0"/>
          <c:showBubbleSize val="0"/>
        </c:dLbls>
        <c:gapWidth val="219"/>
        <c:overlap val="-27"/>
        <c:axId val="1266665792"/>
        <c:axId val="1266653792"/>
      </c:barChart>
      <c:catAx>
        <c:axId val="12666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66653792"/>
        <c:crosses val="autoZero"/>
        <c:auto val="1"/>
        <c:lblAlgn val="ctr"/>
        <c:lblOffset val="100"/>
        <c:noMultiLvlLbl val="0"/>
      </c:catAx>
      <c:valAx>
        <c:axId val="1266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crossAx val="126666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s-CO"/>
          </a:p>
        </c:txPr>
      </c:dTable>
      <c:spPr>
        <a:noFill/>
        <a:ln>
          <a:noFill/>
        </a:ln>
        <a:effectLst/>
      </c:spPr>
    </c:plotArea>
    <c:legend>
      <c:legendPos val="b"/>
      <c:layout>
        <c:manualLayout>
          <c:xMode val="edge"/>
          <c:yMode val="edge"/>
          <c:x val="0.41180052493438318"/>
          <c:y val="0.92187445319335082"/>
          <c:w val="0.1875100612423447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s-CO" b="1">
                <a:solidFill>
                  <a:schemeClr val="tx1"/>
                </a:solidFill>
              </a:rPr>
              <a:t>QUEJAS COMPARATIVO 2025 VS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4201815398075238"/>
          <c:y val="0.17171296296296298"/>
          <c:w val="0.8357596237970254"/>
          <c:h val="0.502376786235054"/>
        </c:manualLayout>
      </c:layout>
      <c:barChart>
        <c:barDir val="col"/>
        <c:grouping val="clustered"/>
        <c:varyColors val="0"/>
        <c:ser>
          <c:idx val="0"/>
          <c:order val="0"/>
          <c:tx>
            <c:strRef>
              <c:f>'PQR POR SERVICIO'!$G$40</c:f>
              <c:strCache>
                <c:ptCount val="1"/>
                <c:pt idx="0">
                  <c:v>2025</c:v>
                </c:pt>
              </c:strCache>
            </c:strRef>
          </c:tx>
          <c:spPr>
            <a:solidFill>
              <a:schemeClr val="accent1"/>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SERVICIO'!$G$41:$G$49</c:f>
              <c:numCache>
                <c:formatCode>General</c:formatCode>
                <c:ptCount val="9"/>
                <c:pt idx="0">
                  <c:v>105</c:v>
                </c:pt>
                <c:pt idx="1">
                  <c:v>165</c:v>
                </c:pt>
                <c:pt idx="2">
                  <c:v>189</c:v>
                </c:pt>
                <c:pt idx="3">
                  <c:v>115</c:v>
                </c:pt>
                <c:pt idx="4">
                  <c:v>112</c:v>
                </c:pt>
                <c:pt idx="5">
                  <c:v>122</c:v>
                </c:pt>
                <c:pt idx="6">
                  <c:v>178</c:v>
                </c:pt>
                <c:pt idx="7">
                  <c:v>117</c:v>
                </c:pt>
                <c:pt idx="8">
                  <c:v>1103</c:v>
                </c:pt>
              </c:numCache>
            </c:numRef>
          </c:val>
          <c:extLst>
            <c:ext xmlns:c16="http://schemas.microsoft.com/office/drawing/2014/chart" uri="{C3380CC4-5D6E-409C-BE32-E72D297353CC}">
              <c16:uniqueId val="{00000000-62B1-413E-84F7-CECE0B56F68F}"/>
            </c:ext>
          </c:extLst>
        </c:ser>
        <c:ser>
          <c:idx val="1"/>
          <c:order val="1"/>
          <c:tx>
            <c:strRef>
              <c:f>'PQR POR SERVICIO'!$H$40</c:f>
              <c:strCache>
                <c:ptCount val="1"/>
                <c:pt idx="0">
                  <c:v>2026</c:v>
                </c:pt>
              </c:strCache>
            </c:strRef>
          </c:tx>
          <c:spPr>
            <a:solidFill>
              <a:schemeClr val="accent2"/>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SERVICIO'!$H$41:$H$49</c:f>
              <c:numCache>
                <c:formatCode>General</c:formatCode>
                <c:ptCount val="9"/>
                <c:pt idx="0">
                  <c:v>105</c:v>
                </c:pt>
                <c:pt idx="1">
                  <c:v>131</c:v>
                </c:pt>
                <c:pt idx="2">
                  <c:v>131</c:v>
                </c:pt>
                <c:pt idx="3">
                  <c:v>143</c:v>
                </c:pt>
                <c:pt idx="4">
                  <c:v>136</c:v>
                </c:pt>
                <c:pt idx="5">
                  <c:v>99</c:v>
                </c:pt>
                <c:pt idx="6">
                  <c:v>214</c:v>
                </c:pt>
                <c:pt idx="7">
                  <c:v>142</c:v>
                </c:pt>
                <c:pt idx="8">
                  <c:v>1101</c:v>
                </c:pt>
              </c:numCache>
            </c:numRef>
          </c:val>
          <c:extLst>
            <c:ext xmlns:c16="http://schemas.microsoft.com/office/drawing/2014/chart" uri="{C3380CC4-5D6E-409C-BE32-E72D297353CC}">
              <c16:uniqueId val="{00000001-62B1-413E-84F7-CECE0B56F68F}"/>
            </c:ext>
          </c:extLst>
        </c:ser>
        <c:dLbls>
          <c:showLegendKey val="0"/>
          <c:showVal val="0"/>
          <c:showCatName val="0"/>
          <c:showSerName val="0"/>
          <c:showPercent val="0"/>
          <c:showBubbleSize val="0"/>
        </c:dLbls>
        <c:gapWidth val="219"/>
        <c:overlap val="-27"/>
        <c:axId val="1266665792"/>
        <c:axId val="1266653792"/>
      </c:barChart>
      <c:catAx>
        <c:axId val="12666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66653792"/>
        <c:crosses val="autoZero"/>
        <c:auto val="1"/>
        <c:lblAlgn val="ctr"/>
        <c:lblOffset val="100"/>
        <c:noMultiLvlLbl val="0"/>
      </c:catAx>
      <c:valAx>
        <c:axId val="1266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crossAx val="126666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s-CO" b="1">
                <a:solidFill>
                  <a:schemeClr val="tx1"/>
                </a:solidFill>
              </a:rPr>
              <a:t>RECLAMOS COMPARATIVO 2025 VS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3584424047879126"/>
          <c:y val="0.18097222222222226"/>
          <c:w val="0.83976552082335298"/>
          <c:h val="0.502376786235054"/>
        </c:manualLayout>
      </c:layout>
      <c:barChart>
        <c:barDir val="col"/>
        <c:grouping val="clustered"/>
        <c:varyColors val="0"/>
        <c:ser>
          <c:idx val="0"/>
          <c:order val="0"/>
          <c:tx>
            <c:strRef>
              <c:f>'PQR POR SERVICIO'!$I$40</c:f>
              <c:strCache>
                <c:ptCount val="1"/>
                <c:pt idx="0">
                  <c:v>2025</c:v>
                </c:pt>
              </c:strCache>
            </c:strRef>
          </c:tx>
          <c:spPr>
            <a:solidFill>
              <a:schemeClr val="accent1"/>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SERVICIO'!$I$41:$I$49</c:f>
              <c:numCache>
                <c:formatCode>General</c:formatCode>
                <c:ptCount val="9"/>
                <c:pt idx="0">
                  <c:v>31</c:v>
                </c:pt>
                <c:pt idx="1">
                  <c:v>20</c:v>
                </c:pt>
                <c:pt idx="2">
                  <c:v>23</c:v>
                </c:pt>
                <c:pt idx="3">
                  <c:v>16</c:v>
                </c:pt>
                <c:pt idx="4">
                  <c:v>38</c:v>
                </c:pt>
                <c:pt idx="5">
                  <c:v>31</c:v>
                </c:pt>
                <c:pt idx="6">
                  <c:v>44</c:v>
                </c:pt>
                <c:pt idx="7">
                  <c:v>19</c:v>
                </c:pt>
                <c:pt idx="8">
                  <c:v>222</c:v>
                </c:pt>
              </c:numCache>
            </c:numRef>
          </c:val>
          <c:extLst>
            <c:ext xmlns:c16="http://schemas.microsoft.com/office/drawing/2014/chart" uri="{C3380CC4-5D6E-409C-BE32-E72D297353CC}">
              <c16:uniqueId val="{00000000-A2FA-402C-AEE4-B5BEE3D993EF}"/>
            </c:ext>
          </c:extLst>
        </c:ser>
        <c:ser>
          <c:idx val="1"/>
          <c:order val="1"/>
          <c:tx>
            <c:strRef>
              <c:f>'PQR POR SERVICIO'!$J$40</c:f>
              <c:strCache>
                <c:ptCount val="1"/>
                <c:pt idx="0">
                  <c:v>2026</c:v>
                </c:pt>
              </c:strCache>
            </c:strRef>
          </c:tx>
          <c:spPr>
            <a:solidFill>
              <a:schemeClr val="accent2"/>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SERVICIO'!$J$41:$J$49</c:f>
              <c:numCache>
                <c:formatCode>General</c:formatCode>
                <c:ptCount val="9"/>
                <c:pt idx="0">
                  <c:v>40</c:v>
                </c:pt>
                <c:pt idx="1">
                  <c:v>32</c:v>
                </c:pt>
                <c:pt idx="2">
                  <c:v>58</c:v>
                </c:pt>
                <c:pt idx="3">
                  <c:v>81</c:v>
                </c:pt>
                <c:pt idx="4">
                  <c:v>58</c:v>
                </c:pt>
                <c:pt idx="5">
                  <c:v>54</c:v>
                </c:pt>
                <c:pt idx="6">
                  <c:v>86</c:v>
                </c:pt>
                <c:pt idx="7">
                  <c:v>55</c:v>
                </c:pt>
                <c:pt idx="8">
                  <c:v>464</c:v>
                </c:pt>
              </c:numCache>
            </c:numRef>
          </c:val>
          <c:extLst>
            <c:ext xmlns:c16="http://schemas.microsoft.com/office/drawing/2014/chart" uri="{C3380CC4-5D6E-409C-BE32-E72D297353CC}">
              <c16:uniqueId val="{00000001-A2FA-402C-AEE4-B5BEE3D993EF}"/>
            </c:ext>
          </c:extLst>
        </c:ser>
        <c:dLbls>
          <c:showLegendKey val="0"/>
          <c:showVal val="0"/>
          <c:showCatName val="0"/>
          <c:showSerName val="0"/>
          <c:showPercent val="0"/>
          <c:showBubbleSize val="0"/>
        </c:dLbls>
        <c:gapWidth val="219"/>
        <c:overlap val="-27"/>
        <c:axId val="1266665792"/>
        <c:axId val="1266653792"/>
      </c:barChart>
      <c:catAx>
        <c:axId val="12666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66653792"/>
        <c:crosses val="autoZero"/>
        <c:auto val="1"/>
        <c:lblAlgn val="ctr"/>
        <c:lblOffset val="100"/>
        <c:noMultiLvlLbl val="0"/>
      </c:catAx>
      <c:valAx>
        <c:axId val="1266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crossAx val="126666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s-CO" b="1">
                <a:solidFill>
                  <a:schemeClr val="tx1"/>
                </a:solidFill>
              </a:rPr>
              <a:t>PQR'S</a:t>
            </a:r>
            <a:r>
              <a:rPr lang="es-CO" b="1" baseline="0">
                <a:solidFill>
                  <a:schemeClr val="tx1"/>
                </a:solidFill>
              </a:rPr>
              <a:t> ACUMULADOS A AGOSTO </a:t>
            </a:r>
          </a:p>
          <a:p>
            <a:pPr>
              <a:defRPr b="1">
                <a:solidFill>
                  <a:schemeClr val="tx1"/>
                </a:solidFill>
              </a:defRPr>
            </a:pPr>
            <a:r>
              <a:rPr lang="es-CO" b="1">
                <a:solidFill>
                  <a:schemeClr val="tx1"/>
                </a:solidFill>
              </a:rPr>
              <a:t> COMPARATIVO 2025 VS 2026</a:t>
            </a:r>
          </a:p>
        </c:rich>
      </c:tx>
      <c:layout>
        <c:manualLayout>
          <c:xMode val="edge"/>
          <c:yMode val="edge"/>
          <c:x val="0.2597012248468941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3368482064741907"/>
          <c:y val="0.19064814814814818"/>
          <c:w val="0.8357596237970254"/>
          <c:h val="0.48344160104986877"/>
        </c:manualLayout>
      </c:layout>
      <c:barChart>
        <c:barDir val="col"/>
        <c:grouping val="clustered"/>
        <c:varyColors val="0"/>
        <c:ser>
          <c:idx val="0"/>
          <c:order val="0"/>
          <c:tx>
            <c:strRef>
              <c:f>'PQR POR SERVICIO'!$K$40</c:f>
              <c:strCache>
                <c:ptCount val="1"/>
                <c:pt idx="0">
                  <c:v>2025</c:v>
                </c:pt>
              </c:strCache>
            </c:strRef>
          </c:tx>
          <c:spPr>
            <a:solidFill>
              <a:schemeClr val="accent1"/>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SERVICIO'!$K$41:$K$49</c:f>
              <c:numCache>
                <c:formatCode>General</c:formatCode>
                <c:ptCount val="9"/>
                <c:pt idx="0">
                  <c:v>324</c:v>
                </c:pt>
                <c:pt idx="1">
                  <c:v>373</c:v>
                </c:pt>
                <c:pt idx="2">
                  <c:v>391</c:v>
                </c:pt>
                <c:pt idx="3">
                  <c:v>626</c:v>
                </c:pt>
                <c:pt idx="4">
                  <c:v>329</c:v>
                </c:pt>
                <c:pt idx="5">
                  <c:v>316</c:v>
                </c:pt>
                <c:pt idx="6">
                  <c:v>394</c:v>
                </c:pt>
                <c:pt idx="7">
                  <c:v>331</c:v>
                </c:pt>
                <c:pt idx="8">
                  <c:v>3084</c:v>
                </c:pt>
              </c:numCache>
            </c:numRef>
          </c:val>
          <c:extLst>
            <c:ext xmlns:c16="http://schemas.microsoft.com/office/drawing/2014/chart" uri="{C3380CC4-5D6E-409C-BE32-E72D297353CC}">
              <c16:uniqueId val="{00000000-F0D7-4006-AC2E-276C003A4A94}"/>
            </c:ext>
          </c:extLst>
        </c:ser>
        <c:ser>
          <c:idx val="1"/>
          <c:order val="1"/>
          <c:tx>
            <c:strRef>
              <c:f>'PQR POR SERVICIO'!$F$40</c:f>
              <c:strCache>
                <c:ptCount val="1"/>
                <c:pt idx="0">
                  <c:v>2026</c:v>
                </c:pt>
              </c:strCache>
            </c:strRef>
          </c:tx>
          <c:spPr>
            <a:solidFill>
              <a:schemeClr val="accent2"/>
            </a:solidFill>
            <a:ln>
              <a:noFill/>
            </a:ln>
            <a:effectLst/>
          </c:spPr>
          <c:invertIfNegative val="0"/>
          <c:cat>
            <c:strRef>
              <c:f>'PQR POR SERVICIO'!$D$41:$D$49</c:f>
              <c:strCache>
                <c:ptCount val="9"/>
                <c:pt idx="0">
                  <c:v>ENERO </c:v>
                </c:pt>
                <c:pt idx="1">
                  <c:v>FEBRERO</c:v>
                </c:pt>
                <c:pt idx="2">
                  <c:v>MARZO</c:v>
                </c:pt>
                <c:pt idx="3">
                  <c:v>ABRIL </c:v>
                </c:pt>
                <c:pt idx="4">
                  <c:v>MAYO</c:v>
                </c:pt>
                <c:pt idx="5">
                  <c:v>JUNIO</c:v>
                </c:pt>
                <c:pt idx="6">
                  <c:v>JULIO </c:v>
                </c:pt>
                <c:pt idx="7">
                  <c:v>AGOSTO</c:v>
                </c:pt>
                <c:pt idx="8">
                  <c:v>TOTAL </c:v>
                </c:pt>
              </c:strCache>
            </c:strRef>
          </c:cat>
          <c:val>
            <c:numRef>
              <c:f>'PQR POR SERVICIO'!$L$41:$L$49</c:f>
              <c:numCache>
                <c:formatCode>General</c:formatCode>
                <c:ptCount val="9"/>
                <c:pt idx="0">
                  <c:v>340</c:v>
                </c:pt>
                <c:pt idx="1">
                  <c:v>403</c:v>
                </c:pt>
                <c:pt idx="2">
                  <c:v>369</c:v>
                </c:pt>
                <c:pt idx="3">
                  <c:v>463</c:v>
                </c:pt>
                <c:pt idx="4">
                  <c:v>372</c:v>
                </c:pt>
                <c:pt idx="5">
                  <c:v>347</c:v>
                </c:pt>
                <c:pt idx="6">
                  <c:v>554</c:v>
                </c:pt>
                <c:pt idx="7">
                  <c:v>377</c:v>
                </c:pt>
                <c:pt idx="8">
                  <c:v>3225</c:v>
                </c:pt>
              </c:numCache>
            </c:numRef>
          </c:val>
          <c:extLst>
            <c:ext xmlns:c16="http://schemas.microsoft.com/office/drawing/2014/chart" uri="{C3380CC4-5D6E-409C-BE32-E72D297353CC}">
              <c16:uniqueId val="{00000001-F0D7-4006-AC2E-276C003A4A94}"/>
            </c:ext>
          </c:extLst>
        </c:ser>
        <c:dLbls>
          <c:showLegendKey val="0"/>
          <c:showVal val="0"/>
          <c:showCatName val="0"/>
          <c:showSerName val="0"/>
          <c:showPercent val="0"/>
          <c:showBubbleSize val="0"/>
        </c:dLbls>
        <c:gapWidth val="219"/>
        <c:overlap val="-27"/>
        <c:axId val="1266665792"/>
        <c:axId val="1266653792"/>
      </c:barChart>
      <c:catAx>
        <c:axId val="12666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66653792"/>
        <c:crosses val="autoZero"/>
        <c:auto val="1"/>
        <c:lblAlgn val="ctr"/>
        <c:lblOffset val="100"/>
        <c:noMultiLvlLbl val="0"/>
      </c:catAx>
      <c:valAx>
        <c:axId val="126665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CO"/>
          </a:p>
        </c:txPr>
        <c:crossAx val="1266665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a:t>PQR'S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0.20746356889062012"/>
          <c:y val="0.10492538217536208"/>
          <c:w val="0.77429757687284317"/>
          <c:h val="0.48902149512287185"/>
        </c:manualLayout>
      </c:layout>
      <c:barChart>
        <c:barDir val="col"/>
        <c:grouping val="clustered"/>
        <c:varyColors val="0"/>
        <c:ser>
          <c:idx val="0"/>
          <c:order val="0"/>
          <c:tx>
            <c:strRef>
              <c:f>'PQR POR SERVICIO'!$L$20</c:f>
              <c:strCache>
                <c:ptCount val="1"/>
                <c:pt idx="0">
                  <c:v>PETICIONES</c:v>
                </c:pt>
              </c:strCache>
            </c:strRef>
          </c:tx>
          <c:spPr>
            <a:solidFill>
              <a:schemeClr val="accent1"/>
            </a:solidFill>
            <a:ln>
              <a:noFill/>
            </a:ln>
            <a:effectLst/>
          </c:spPr>
          <c:invertIfNegative val="0"/>
          <c:cat>
            <c:multiLvlStrRef>
              <c:extLst>
                <c:ext xmlns:c15="http://schemas.microsoft.com/office/drawing/2012/chart" uri="{02D57815-91ED-43cb-92C2-25804820EDAC}">
                  <c15:fullRef>
                    <c15:sqref>'PQR POR SERVICIO'!$M$18:$R$19</c15:sqref>
                  </c15:fullRef>
                </c:ext>
              </c:extLst>
              <c:f>'PQR POR SERVICIO'!$M$18:$R$19</c:f>
              <c:multiLvlStrCache>
                <c:ptCount val="4"/>
                <c:lvl>
                  <c:pt idx="0">
                    <c:v>2025</c:v>
                  </c:pt>
                  <c:pt idx="1">
                    <c:v>2026</c:v>
                  </c:pt>
                  <c:pt idx="2">
                    <c:v>2025</c:v>
                  </c:pt>
                  <c:pt idx="3">
                    <c:v>2026</c:v>
                  </c:pt>
                </c:lvl>
                <c:lvl>
                  <c:pt idx="0">
                    <c:v>PRIMER TRIMESTRE </c:v>
                  </c:pt>
                  <c:pt idx="2">
                    <c:v>SEGUNDO TRIMESTRE </c:v>
                  </c:pt>
                </c:lvl>
              </c:multiLvlStrCache>
            </c:multiLvlStrRef>
          </c:cat>
          <c:val>
            <c:numRef>
              <c:extLst>
                <c:ext xmlns:c15="http://schemas.microsoft.com/office/drawing/2012/chart" uri="{02D57815-91ED-43cb-92C2-25804820EDAC}">
                  <c15:fullRef>
                    <c15:sqref>'PQR POR SERVICIO'!$M$20:$R$20</c15:sqref>
                  </c15:fullRef>
                </c:ext>
              </c:extLst>
              <c:f>'PQR POR SERVICIO'!$M$20:$P$20</c:f>
              <c:numCache>
                <c:formatCode>General</c:formatCode>
                <c:ptCount val="4"/>
                <c:pt idx="0">
                  <c:v>555</c:v>
                </c:pt>
                <c:pt idx="1">
                  <c:v>615</c:v>
                </c:pt>
                <c:pt idx="2">
                  <c:v>837</c:v>
                </c:pt>
                <c:pt idx="3">
                  <c:v>611</c:v>
                </c:pt>
              </c:numCache>
            </c:numRef>
          </c:val>
          <c:extLst>
            <c:ext xmlns:c16="http://schemas.microsoft.com/office/drawing/2014/chart" uri="{C3380CC4-5D6E-409C-BE32-E72D297353CC}">
              <c16:uniqueId val="{00000000-C821-48D8-98B0-49C3535E90D6}"/>
            </c:ext>
          </c:extLst>
        </c:ser>
        <c:ser>
          <c:idx val="1"/>
          <c:order val="1"/>
          <c:tx>
            <c:strRef>
              <c:f>'PQR POR SERVICIO'!$L$21</c:f>
              <c:strCache>
                <c:ptCount val="1"/>
                <c:pt idx="0">
                  <c:v>QUEJAS </c:v>
                </c:pt>
              </c:strCache>
            </c:strRef>
          </c:tx>
          <c:spPr>
            <a:solidFill>
              <a:schemeClr val="accent2"/>
            </a:solidFill>
            <a:ln>
              <a:noFill/>
            </a:ln>
            <a:effectLst/>
          </c:spPr>
          <c:invertIfNegative val="0"/>
          <c:cat>
            <c:multiLvlStrRef>
              <c:extLst>
                <c:ext xmlns:c15="http://schemas.microsoft.com/office/drawing/2012/chart" uri="{02D57815-91ED-43cb-92C2-25804820EDAC}">
                  <c15:fullRef>
                    <c15:sqref>'PQR POR SERVICIO'!$M$18:$R$19</c15:sqref>
                  </c15:fullRef>
                </c:ext>
              </c:extLst>
              <c:f>'PQR POR SERVICIO'!$M$18:$R$19</c:f>
              <c:multiLvlStrCache>
                <c:ptCount val="4"/>
                <c:lvl>
                  <c:pt idx="0">
                    <c:v>2025</c:v>
                  </c:pt>
                  <c:pt idx="1">
                    <c:v>2026</c:v>
                  </c:pt>
                  <c:pt idx="2">
                    <c:v>2025</c:v>
                  </c:pt>
                  <c:pt idx="3">
                    <c:v>2026</c:v>
                  </c:pt>
                </c:lvl>
                <c:lvl>
                  <c:pt idx="0">
                    <c:v>PRIMER TRIMESTRE </c:v>
                  </c:pt>
                  <c:pt idx="2">
                    <c:v>SEGUNDO TRIMESTRE </c:v>
                  </c:pt>
                </c:lvl>
              </c:multiLvlStrCache>
            </c:multiLvlStrRef>
          </c:cat>
          <c:val>
            <c:numRef>
              <c:extLst>
                <c:ext xmlns:c15="http://schemas.microsoft.com/office/drawing/2012/chart" uri="{02D57815-91ED-43cb-92C2-25804820EDAC}">
                  <c15:fullRef>
                    <c15:sqref>'PQR POR SERVICIO'!$M$21:$R$21</c15:sqref>
                  </c15:fullRef>
                </c:ext>
              </c:extLst>
              <c:f>'PQR POR SERVICIO'!$M$21:$P$21</c:f>
              <c:numCache>
                <c:formatCode>General</c:formatCode>
                <c:ptCount val="4"/>
                <c:pt idx="0">
                  <c:v>459</c:v>
                </c:pt>
                <c:pt idx="1">
                  <c:v>367</c:v>
                </c:pt>
                <c:pt idx="2">
                  <c:v>349</c:v>
                </c:pt>
                <c:pt idx="3">
                  <c:v>378</c:v>
                </c:pt>
              </c:numCache>
            </c:numRef>
          </c:val>
          <c:extLst>
            <c:ext xmlns:c16="http://schemas.microsoft.com/office/drawing/2014/chart" uri="{C3380CC4-5D6E-409C-BE32-E72D297353CC}">
              <c16:uniqueId val="{00000001-C821-48D8-98B0-49C3535E90D6}"/>
            </c:ext>
          </c:extLst>
        </c:ser>
        <c:ser>
          <c:idx val="2"/>
          <c:order val="2"/>
          <c:tx>
            <c:strRef>
              <c:f>'PQR POR SERVICIO'!$L$22</c:f>
              <c:strCache>
                <c:ptCount val="1"/>
                <c:pt idx="0">
                  <c:v>RECLAMOS </c:v>
                </c:pt>
              </c:strCache>
            </c:strRef>
          </c:tx>
          <c:spPr>
            <a:solidFill>
              <a:schemeClr val="accent3"/>
            </a:solidFill>
            <a:ln>
              <a:noFill/>
            </a:ln>
            <a:effectLst/>
          </c:spPr>
          <c:invertIfNegative val="0"/>
          <c:cat>
            <c:multiLvlStrRef>
              <c:extLst>
                <c:ext xmlns:c15="http://schemas.microsoft.com/office/drawing/2012/chart" uri="{02D57815-91ED-43cb-92C2-25804820EDAC}">
                  <c15:fullRef>
                    <c15:sqref>'PQR POR SERVICIO'!$M$18:$R$19</c15:sqref>
                  </c15:fullRef>
                </c:ext>
              </c:extLst>
              <c:f>'PQR POR SERVICIO'!$M$18:$R$19</c:f>
              <c:multiLvlStrCache>
                <c:ptCount val="4"/>
                <c:lvl>
                  <c:pt idx="0">
                    <c:v>2025</c:v>
                  </c:pt>
                  <c:pt idx="1">
                    <c:v>2026</c:v>
                  </c:pt>
                  <c:pt idx="2">
                    <c:v>2025</c:v>
                  </c:pt>
                  <c:pt idx="3">
                    <c:v>2026</c:v>
                  </c:pt>
                </c:lvl>
                <c:lvl>
                  <c:pt idx="0">
                    <c:v>PRIMER TRIMESTRE </c:v>
                  </c:pt>
                  <c:pt idx="2">
                    <c:v>SEGUNDO TRIMESTRE </c:v>
                  </c:pt>
                </c:lvl>
              </c:multiLvlStrCache>
            </c:multiLvlStrRef>
          </c:cat>
          <c:val>
            <c:numRef>
              <c:extLst>
                <c:ext xmlns:c15="http://schemas.microsoft.com/office/drawing/2012/chart" uri="{02D57815-91ED-43cb-92C2-25804820EDAC}">
                  <c15:fullRef>
                    <c15:sqref>'PQR POR SERVICIO'!$M$22:$R$22</c15:sqref>
                  </c15:fullRef>
                </c:ext>
              </c:extLst>
              <c:f>'PQR POR SERVICIO'!$M$22:$P$22</c:f>
              <c:numCache>
                <c:formatCode>General</c:formatCode>
                <c:ptCount val="4"/>
                <c:pt idx="0">
                  <c:v>74</c:v>
                </c:pt>
                <c:pt idx="1">
                  <c:v>130</c:v>
                </c:pt>
                <c:pt idx="2">
                  <c:v>85</c:v>
                </c:pt>
                <c:pt idx="3">
                  <c:v>193</c:v>
                </c:pt>
              </c:numCache>
            </c:numRef>
          </c:val>
          <c:extLst>
            <c:ext xmlns:c16="http://schemas.microsoft.com/office/drawing/2014/chart" uri="{C3380CC4-5D6E-409C-BE32-E72D297353CC}">
              <c16:uniqueId val="{00000002-C821-48D8-98B0-49C3535E90D6}"/>
            </c:ext>
          </c:extLst>
        </c:ser>
        <c:dLbls>
          <c:showLegendKey val="0"/>
          <c:showVal val="0"/>
          <c:showCatName val="0"/>
          <c:showSerName val="0"/>
          <c:showPercent val="0"/>
          <c:showBubbleSize val="0"/>
        </c:dLbls>
        <c:gapWidth val="219"/>
        <c:overlap val="-27"/>
        <c:axId val="1988415727"/>
        <c:axId val="1988416687"/>
      </c:barChart>
      <c:catAx>
        <c:axId val="198841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6687"/>
        <c:crosses val="autoZero"/>
        <c:auto val="1"/>
        <c:lblAlgn val="ctr"/>
        <c:lblOffset val="100"/>
        <c:noMultiLvlLbl val="0"/>
      </c:cat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solidFill>
            <a:schemeClr val="accent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PQR'S  2025 VS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0.20746356889062012"/>
          <c:y val="0.10492538217536208"/>
          <c:w val="0.77429757687284317"/>
          <c:h val="0.48902149512287185"/>
        </c:manualLayout>
      </c:layout>
      <c:barChart>
        <c:barDir val="col"/>
        <c:grouping val="clustered"/>
        <c:varyColors val="0"/>
        <c:ser>
          <c:idx val="0"/>
          <c:order val="0"/>
          <c:tx>
            <c:strRef>
              <c:f>'PQR POR SERVICIO'!$D$141</c:f>
              <c:strCache>
                <c:ptCount val="1"/>
                <c:pt idx="0">
                  <c:v>2025</c:v>
                </c:pt>
              </c:strCache>
            </c:strRef>
          </c:tx>
          <c:spPr>
            <a:solidFill>
              <a:schemeClr val="accent1"/>
            </a:solidFill>
            <a:ln>
              <a:noFill/>
            </a:ln>
            <a:effectLst/>
          </c:spPr>
          <c:invertIfNegative val="0"/>
          <c:cat>
            <c:strRef>
              <c:f>'PQR POR SERVICIO'!$E$140:$H$140</c:f>
              <c:strCache>
                <c:ptCount val="4"/>
                <c:pt idx="0">
                  <c:v>PETICIONES</c:v>
                </c:pt>
                <c:pt idx="1">
                  <c:v>QUEJAS</c:v>
                </c:pt>
                <c:pt idx="2">
                  <c:v>RECLAMOS</c:v>
                </c:pt>
                <c:pt idx="3">
                  <c:v>TOTAL PQR'S</c:v>
                </c:pt>
              </c:strCache>
            </c:strRef>
          </c:cat>
          <c:val>
            <c:numRef>
              <c:f>'PQR POR SERVICIO'!$E$141:$H$141</c:f>
              <c:numCache>
                <c:formatCode>General</c:formatCode>
                <c:ptCount val="4"/>
                <c:pt idx="0">
                  <c:v>1759</c:v>
                </c:pt>
                <c:pt idx="1">
                  <c:v>1103</c:v>
                </c:pt>
                <c:pt idx="2">
                  <c:v>222</c:v>
                </c:pt>
                <c:pt idx="3">
                  <c:v>3084</c:v>
                </c:pt>
              </c:numCache>
            </c:numRef>
          </c:val>
          <c:extLst>
            <c:ext xmlns:c16="http://schemas.microsoft.com/office/drawing/2014/chart" uri="{C3380CC4-5D6E-409C-BE32-E72D297353CC}">
              <c16:uniqueId val="{00000000-C8B4-4454-8F28-928C414EE71E}"/>
            </c:ext>
          </c:extLst>
        </c:ser>
        <c:ser>
          <c:idx val="1"/>
          <c:order val="1"/>
          <c:tx>
            <c:strRef>
              <c:f>'PQR POR SERVICIO'!$D$142</c:f>
              <c:strCache>
                <c:ptCount val="1"/>
                <c:pt idx="0">
                  <c:v>2026</c:v>
                </c:pt>
              </c:strCache>
            </c:strRef>
          </c:tx>
          <c:spPr>
            <a:solidFill>
              <a:schemeClr val="accent2"/>
            </a:solidFill>
            <a:ln>
              <a:noFill/>
            </a:ln>
            <a:effectLst/>
          </c:spPr>
          <c:invertIfNegative val="0"/>
          <c:cat>
            <c:strRef>
              <c:f>'PQR POR SERVICIO'!$E$140:$H$140</c:f>
              <c:strCache>
                <c:ptCount val="4"/>
                <c:pt idx="0">
                  <c:v>PETICIONES</c:v>
                </c:pt>
                <c:pt idx="1">
                  <c:v>QUEJAS</c:v>
                </c:pt>
                <c:pt idx="2">
                  <c:v>RECLAMOS</c:v>
                </c:pt>
                <c:pt idx="3">
                  <c:v>TOTAL PQR'S</c:v>
                </c:pt>
              </c:strCache>
            </c:strRef>
          </c:cat>
          <c:val>
            <c:numRef>
              <c:f>'PQR POR SERVICIO'!$E$142:$H$142</c:f>
              <c:numCache>
                <c:formatCode>General</c:formatCode>
                <c:ptCount val="4"/>
                <c:pt idx="0">
                  <c:v>1660</c:v>
                </c:pt>
                <c:pt idx="1">
                  <c:v>1101</c:v>
                </c:pt>
                <c:pt idx="2">
                  <c:v>464</c:v>
                </c:pt>
                <c:pt idx="3">
                  <c:v>3225</c:v>
                </c:pt>
              </c:numCache>
            </c:numRef>
          </c:val>
          <c:extLst>
            <c:ext xmlns:c16="http://schemas.microsoft.com/office/drawing/2014/chart" uri="{C3380CC4-5D6E-409C-BE32-E72D297353CC}">
              <c16:uniqueId val="{00000001-C8B4-4454-8F28-928C414EE71E}"/>
            </c:ext>
          </c:extLst>
        </c:ser>
        <c:ser>
          <c:idx val="2"/>
          <c:order val="2"/>
          <c:tx>
            <c:strRef>
              <c:f>'PQR POR SERVICIO'!$D$143</c:f>
              <c:strCache>
                <c:ptCount val="1"/>
                <c:pt idx="0">
                  <c:v>VARIACIÓN</c:v>
                </c:pt>
              </c:strCache>
            </c:strRef>
          </c:tx>
          <c:spPr>
            <a:solidFill>
              <a:schemeClr val="accent3"/>
            </a:solidFill>
            <a:ln>
              <a:noFill/>
            </a:ln>
            <a:effectLst/>
          </c:spPr>
          <c:invertIfNegative val="0"/>
          <c:trendline>
            <c:spPr>
              <a:ln w="19050" cap="rnd">
                <a:solidFill>
                  <a:schemeClr val="accent3"/>
                </a:solidFill>
                <a:prstDash val="sysDot"/>
              </a:ln>
              <a:effectLst/>
            </c:spPr>
            <c:trendlineType val="movingAvg"/>
            <c:period val="2"/>
            <c:dispRSqr val="0"/>
            <c:dispEq val="0"/>
          </c:trendline>
          <c:cat>
            <c:strRef>
              <c:f>'PQR POR SERVICIO'!$E$140:$H$140</c:f>
              <c:strCache>
                <c:ptCount val="4"/>
                <c:pt idx="0">
                  <c:v>PETICIONES</c:v>
                </c:pt>
                <c:pt idx="1">
                  <c:v>QUEJAS</c:v>
                </c:pt>
                <c:pt idx="2">
                  <c:v>RECLAMOS</c:v>
                </c:pt>
                <c:pt idx="3">
                  <c:v>TOTAL PQR'S</c:v>
                </c:pt>
              </c:strCache>
            </c:strRef>
          </c:cat>
          <c:val>
            <c:numRef>
              <c:f>'PQR POR SERVICIO'!$E$143:$H$143</c:f>
              <c:numCache>
                <c:formatCode>0.00%</c:formatCode>
                <c:ptCount val="4"/>
                <c:pt idx="0">
                  <c:v>-5.6281978396816368E-2</c:v>
                </c:pt>
                <c:pt idx="1">
                  <c:v>-1.8132366273798661E-3</c:v>
                </c:pt>
                <c:pt idx="2">
                  <c:v>1.0900900900900901</c:v>
                </c:pt>
                <c:pt idx="3">
                  <c:v>4.5719844357976713E-2</c:v>
                </c:pt>
              </c:numCache>
            </c:numRef>
          </c:val>
          <c:extLst>
            <c:ext xmlns:c16="http://schemas.microsoft.com/office/drawing/2014/chart" uri="{C3380CC4-5D6E-409C-BE32-E72D297353CC}">
              <c16:uniqueId val="{00000004-C8B4-4454-8F28-928C414EE71E}"/>
            </c:ext>
          </c:extLst>
        </c:ser>
        <c:dLbls>
          <c:showLegendKey val="0"/>
          <c:showVal val="0"/>
          <c:showCatName val="0"/>
          <c:showSerName val="0"/>
          <c:showPercent val="0"/>
          <c:showBubbleSize val="0"/>
        </c:dLbls>
        <c:gapWidth val="219"/>
        <c:overlap val="-27"/>
        <c:axId val="1988415727"/>
        <c:axId val="1988416687"/>
      </c:barChart>
      <c:catAx>
        <c:axId val="1988415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6687"/>
        <c:crosses val="autoZero"/>
        <c:auto val="0"/>
        <c:lblAlgn val="ctr"/>
        <c:lblOffset val="100"/>
        <c:noMultiLvlLbl val="0"/>
      </c:cat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2647995021958436E-2"/>
          <c:y val="0.46394743414456857"/>
          <c:w val="0.90297462817147855"/>
          <c:h val="0.48702335287127552"/>
        </c:manualLayout>
      </c:layout>
      <c:barChart>
        <c:barDir val="col"/>
        <c:grouping val="clustered"/>
        <c:varyColors val="0"/>
        <c:ser>
          <c:idx val="0"/>
          <c:order val="0"/>
          <c:tx>
            <c:strRef>
              <c:f>'PROMEDIO RESPUESTA'!$AB$6:$AB$7</c:f>
              <c:strCache>
                <c:ptCount val="2"/>
                <c:pt idx="0">
                  <c:v>PROMEDIO TIEMPO DE RESPUESTA SICESP</c:v>
                </c:pt>
                <c:pt idx="1">
                  <c:v>SERVICIO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'PROMEDIO RESPUESTA'!$AA$8:$AA$19</c15:sqref>
                  </c15:fullRef>
                </c:ext>
              </c:extLst>
              <c:f>('PROMEDIO RESPUESTA'!$AA$8,'PROMEDIO RESPUESTA'!$AA$11,'PROMEDIO RESPUESTA'!$AA$14,'PROMEDIO RESPUESTA'!$AA$16,'PROMEDIO RESPUESTA'!$AA$19)</c:f>
              <c:strCache>
                <c:ptCount val="5"/>
                <c:pt idx="0">
                  <c:v>PETICIONES </c:v>
                </c:pt>
                <c:pt idx="1">
                  <c:v>QUEJA</c:v>
                </c:pt>
                <c:pt idx="2">
                  <c:v>DAÑOS </c:v>
                </c:pt>
                <c:pt idx="3">
                  <c:v>RECLAMOS</c:v>
                </c:pt>
                <c:pt idx="4">
                  <c:v>PROMEDIO TIEMPO </c:v>
                </c:pt>
              </c:strCache>
            </c:strRef>
          </c:cat>
          <c:val>
            <c:numRef>
              <c:extLst>
                <c:ext xmlns:c15="http://schemas.microsoft.com/office/drawing/2012/chart" uri="{02D57815-91ED-43cb-92C2-25804820EDAC}">
                  <c15:fullRef>
                    <c15:sqref>'PROMEDIO RESPUESTA'!$AB$8:$AB$19</c15:sqref>
                  </c15:fullRef>
                </c:ext>
              </c:extLst>
              <c:f>('PROMEDIO RESPUESTA'!$AB$8,'PROMEDIO RESPUESTA'!$AB$11,'PROMEDIO RESPUESTA'!$AB$14,'PROMEDIO RESPUESTA'!$AB$16,'PROMEDIO RESPUESTA'!$AB$19)</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00-8901-44AC-878B-42116D82AA44}"/>
            </c:ext>
          </c:extLst>
        </c:ser>
        <c:ser>
          <c:idx val="1"/>
          <c:order val="1"/>
          <c:tx>
            <c:strRef>
              <c:f>'PROMEDIO RESPUESTA'!$AC$6:$AC$7</c:f>
              <c:strCache>
                <c:ptCount val="2"/>
                <c:pt idx="0">
                  <c:v>PROMEDIO TIEMPO DE RESPUESTA SICESP</c:v>
                </c:pt>
                <c:pt idx="1">
                  <c:v>ene-25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'PROMEDIO RESPUESTA'!$AA$8:$AA$19</c15:sqref>
                  </c15:fullRef>
                </c:ext>
              </c:extLst>
              <c:f>('PROMEDIO RESPUESTA'!$AA$8,'PROMEDIO RESPUESTA'!$AA$11,'PROMEDIO RESPUESTA'!$AA$14,'PROMEDIO RESPUESTA'!$AA$16,'PROMEDIO RESPUESTA'!$AA$19)</c:f>
              <c:strCache>
                <c:ptCount val="5"/>
                <c:pt idx="0">
                  <c:v>PETICIONES </c:v>
                </c:pt>
                <c:pt idx="1">
                  <c:v>QUEJA</c:v>
                </c:pt>
                <c:pt idx="2">
                  <c:v>DAÑOS </c:v>
                </c:pt>
                <c:pt idx="3">
                  <c:v>RECLAMOS</c:v>
                </c:pt>
                <c:pt idx="4">
                  <c:v>PROMEDIO TIEMPO </c:v>
                </c:pt>
              </c:strCache>
            </c:strRef>
          </c:cat>
          <c:val>
            <c:numRef>
              <c:extLst>
                <c:ext xmlns:c15="http://schemas.microsoft.com/office/drawing/2012/chart" uri="{02D57815-91ED-43cb-92C2-25804820EDAC}">
                  <c15:fullRef>
                    <c15:sqref>'PROMEDIO RESPUESTA'!$AC$8:$AC$19</c15:sqref>
                  </c15:fullRef>
                </c:ext>
              </c:extLst>
              <c:f>('PROMEDIO RESPUESTA'!$AC$8,'PROMEDIO RESPUESTA'!$AC$11,'PROMEDIO RESPUESTA'!$AC$14,'PROMEDIO RESPUESTA'!$AC$16,'PROMEDIO RESPUESTA'!$AC$19)</c:f>
              <c:numCache>
                <c:formatCode>0.00</c:formatCode>
                <c:ptCount val="5"/>
                <c:pt idx="0">
                  <c:v>5.8460000000000001</c:v>
                </c:pt>
                <c:pt idx="1">
                  <c:v>13.587999999999999</c:v>
                </c:pt>
                <c:pt idx="2">
                  <c:v>7.5389999999999997</c:v>
                </c:pt>
                <c:pt idx="3">
                  <c:v>8.8789999999999996</c:v>
                </c:pt>
                <c:pt idx="4">
                  <c:v>10.931363636363638</c:v>
                </c:pt>
              </c:numCache>
            </c:numRef>
          </c:val>
          <c:extLst>
            <c:ext xmlns:c16="http://schemas.microsoft.com/office/drawing/2014/chart" uri="{C3380CC4-5D6E-409C-BE32-E72D297353CC}">
              <c16:uniqueId val="{00000001-8901-44AC-878B-42116D82AA44}"/>
            </c:ext>
          </c:extLst>
        </c:ser>
        <c:ser>
          <c:idx val="2"/>
          <c:order val="2"/>
          <c:tx>
            <c:strRef>
              <c:f>'PROMEDIO RESPUESTA'!$AD$6:$AD$7</c:f>
              <c:strCache>
                <c:ptCount val="2"/>
                <c:pt idx="0">
                  <c:v>PROMEDIO TIEMPO DE RESPUESTA SICESP</c:v>
                </c:pt>
                <c:pt idx="1">
                  <c:v>ene-26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'PROMEDIO RESPUESTA'!$AA$8:$AA$19</c15:sqref>
                  </c15:fullRef>
                </c:ext>
              </c:extLst>
              <c:f>('PROMEDIO RESPUESTA'!$AA$8,'PROMEDIO RESPUESTA'!$AA$11,'PROMEDIO RESPUESTA'!$AA$14,'PROMEDIO RESPUESTA'!$AA$16,'PROMEDIO RESPUESTA'!$AA$19)</c:f>
              <c:strCache>
                <c:ptCount val="5"/>
                <c:pt idx="0">
                  <c:v>PETICIONES </c:v>
                </c:pt>
                <c:pt idx="1">
                  <c:v>QUEJA</c:v>
                </c:pt>
                <c:pt idx="2">
                  <c:v>DAÑOS </c:v>
                </c:pt>
                <c:pt idx="3">
                  <c:v>RECLAMOS</c:v>
                </c:pt>
                <c:pt idx="4">
                  <c:v>PROMEDIO TIEMPO </c:v>
                </c:pt>
              </c:strCache>
            </c:strRef>
          </c:cat>
          <c:val>
            <c:numRef>
              <c:extLst>
                <c:ext xmlns:c15="http://schemas.microsoft.com/office/drawing/2012/chart" uri="{02D57815-91ED-43cb-92C2-25804820EDAC}">
                  <c15:fullRef>
                    <c15:sqref>'PROMEDIO RESPUESTA'!$AD$8:$AD$19</c15:sqref>
                  </c15:fullRef>
                </c:ext>
              </c:extLst>
              <c:f>('PROMEDIO RESPUESTA'!$AD$8,'PROMEDIO RESPUESTA'!$AD$11,'PROMEDIO RESPUESTA'!$AD$14,'PROMEDIO RESPUESTA'!$AD$16,'PROMEDIO RESPUESTA'!$AD$19)</c:f>
              <c:numCache>
                <c:formatCode>0.00</c:formatCode>
                <c:ptCount val="5"/>
                <c:pt idx="0">
                  <c:v>5.7789999999999999</c:v>
                </c:pt>
                <c:pt idx="1">
                  <c:v>7.8170000000000002</c:v>
                </c:pt>
                <c:pt idx="2">
                  <c:v>7.5919999999999996</c:v>
                </c:pt>
                <c:pt idx="3">
                  <c:v>18.925000000000001</c:v>
                </c:pt>
                <c:pt idx="4">
                  <c:v>12.131090909090908</c:v>
                </c:pt>
              </c:numCache>
            </c:numRef>
          </c:val>
          <c:extLst>
            <c:ext xmlns:c16="http://schemas.microsoft.com/office/drawing/2014/chart" uri="{C3380CC4-5D6E-409C-BE32-E72D297353CC}">
              <c16:uniqueId val="{00000002-8901-44AC-878B-42116D82AA44}"/>
            </c:ext>
          </c:extLst>
        </c:ser>
        <c:ser>
          <c:idx val="3"/>
          <c:order val="3"/>
          <c:tx>
            <c:strRef>
              <c:f>'PROMEDIO RESPUESTA'!$AK$6:$AK$7</c:f>
              <c:strCache>
                <c:ptCount val="2"/>
                <c:pt idx="0">
                  <c:v>PROMEDIO TIEMPO DE RESPUESTA SICESP</c:v>
                </c:pt>
                <c:pt idx="1">
                  <c:v>may-25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'PROMEDIO RESPUESTA'!$AA$8:$AA$19</c15:sqref>
                  </c15:fullRef>
                </c:ext>
              </c:extLst>
              <c:f>('PROMEDIO RESPUESTA'!$AA$8,'PROMEDIO RESPUESTA'!$AA$11,'PROMEDIO RESPUESTA'!$AA$14,'PROMEDIO RESPUESTA'!$AA$16,'PROMEDIO RESPUESTA'!$AA$19)</c:f>
              <c:strCache>
                <c:ptCount val="5"/>
                <c:pt idx="0">
                  <c:v>PETICIONES </c:v>
                </c:pt>
                <c:pt idx="1">
                  <c:v>QUEJA</c:v>
                </c:pt>
                <c:pt idx="2">
                  <c:v>DAÑOS </c:v>
                </c:pt>
                <c:pt idx="3">
                  <c:v>RECLAMOS</c:v>
                </c:pt>
                <c:pt idx="4">
                  <c:v>PROMEDIO TIEMPO </c:v>
                </c:pt>
              </c:strCache>
            </c:strRef>
          </c:cat>
          <c:val>
            <c:numRef>
              <c:extLst>
                <c:ext xmlns:c15="http://schemas.microsoft.com/office/drawing/2012/chart" uri="{02D57815-91ED-43cb-92C2-25804820EDAC}">
                  <c15:fullRef>
                    <c15:sqref>'PROMEDIO RESPUESTA'!$AK$8:$AK$19</c15:sqref>
                  </c15:fullRef>
                </c:ext>
              </c:extLst>
              <c:f>('PROMEDIO RESPUESTA'!$AK$8,'PROMEDIO RESPUESTA'!$AK$11,'PROMEDIO RESPUESTA'!$AK$14,'PROMEDIO RESPUESTA'!$AK$16,'PROMEDIO RESPUESTA'!$AK$19)</c:f>
              <c:numCache>
                <c:formatCode>0.00</c:formatCode>
                <c:ptCount val="5"/>
                <c:pt idx="0">
                  <c:v>9.57</c:v>
                </c:pt>
                <c:pt idx="1">
                  <c:v>8.7560000000000002</c:v>
                </c:pt>
                <c:pt idx="2">
                  <c:v>10.162000000000001</c:v>
                </c:pt>
                <c:pt idx="3">
                  <c:v>21.343</c:v>
                </c:pt>
                <c:pt idx="4">
                  <c:v>13.657818181818181</c:v>
                </c:pt>
              </c:numCache>
            </c:numRef>
          </c:val>
          <c:extLst>
            <c:ext xmlns:c16="http://schemas.microsoft.com/office/drawing/2014/chart" uri="{C3380CC4-5D6E-409C-BE32-E72D297353CC}">
              <c16:uniqueId val="{00000003-8901-44AC-878B-42116D82AA44}"/>
            </c:ext>
          </c:extLst>
        </c:ser>
        <c:ser>
          <c:idx val="4"/>
          <c:order val="4"/>
          <c:tx>
            <c:strRef>
              <c:f>'PROMEDIO RESPUESTA'!$AL$6:$AL$7</c:f>
              <c:strCache>
                <c:ptCount val="2"/>
                <c:pt idx="0">
                  <c:v>PROMEDIO TIEMPO DE RESPUESTA SICESP</c:v>
                </c:pt>
                <c:pt idx="1">
                  <c:v>may-26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'PROMEDIO RESPUESTA'!$AA$8:$AA$19</c15:sqref>
                  </c15:fullRef>
                </c:ext>
              </c:extLst>
              <c:f>('PROMEDIO RESPUESTA'!$AA$8,'PROMEDIO RESPUESTA'!$AA$11,'PROMEDIO RESPUESTA'!$AA$14,'PROMEDIO RESPUESTA'!$AA$16,'PROMEDIO RESPUESTA'!$AA$19)</c:f>
              <c:strCache>
                <c:ptCount val="5"/>
                <c:pt idx="0">
                  <c:v>PETICIONES </c:v>
                </c:pt>
                <c:pt idx="1">
                  <c:v>QUEJA</c:v>
                </c:pt>
                <c:pt idx="2">
                  <c:v>DAÑOS </c:v>
                </c:pt>
                <c:pt idx="3">
                  <c:v>RECLAMOS</c:v>
                </c:pt>
                <c:pt idx="4">
                  <c:v>PROMEDIO TIEMPO </c:v>
                </c:pt>
              </c:strCache>
            </c:strRef>
          </c:cat>
          <c:val>
            <c:numRef>
              <c:extLst>
                <c:ext xmlns:c15="http://schemas.microsoft.com/office/drawing/2012/chart" uri="{02D57815-91ED-43cb-92C2-25804820EDAC}">
                  <c15:fullRef>
                    <c15:sqref>'PROMEDIO RESPUESTA'!$AL$8:$AL$19</c15:sqref>
                  </c15:fullRef>
                </c:ext>
              </c:extLst>
              <c:f>('PROMEDIO RESPUESTA'!$AL$8,'PROMEDIO RESPUESTA'!$AL$11,'PROMEDIO RESPUESTA'!$AL$14,'PROMEDIO RESPUESTA'!$AL$16,'PROMEDIO RESPUESTA'!$AL$19)</c:f>
              <c:numCache>
                <c:formatCode>0.00</c:formatCode>
                <c:ptCount val="5"/>
                <c:pt idx="0">
                  <c:v>9.7929999999999993</c:v>
                </c:pt>
                <c:pt idx="1">
                  <c:v>14.420999999999999</c:v>
                </c:pt>
                <c:pt idx="2">
                  <c:v>13.867000000000001</c:v>
                </c:pt>
                <c:pt idx="3">
                  <c:v>18.925000000000001</c:v>
                </c:pt>
                <c:pt idx="4">
                  <c:v>15.790699999999998</c:v>
                </c:pt>
              </c:numCache>
            </c:numRef>
          </c:val>
          <c:extLst>
            <c:ext xmlns:c16="http://schemas.microsoft.com/office/drawing/2014/chart" uri="{C3380CC4-5D6E-409C-BE32-E72D297353CC}">
              <c16:uniqueId val="{00000004-8901-44AC-878B-42116D82AA44}"/>
            </c:ext>
          </c:extLst>
        </c:ser>
        <c:dLbls>
          <c:dLblPos val="outEnd"/>
          <c:showLegendKey val="0"/>
          <c:showVal val="1"/>
          <c:showCatName val="0"/>
          <c:showSerName val="0"/>
          <c:showPercent val="0"/>
          <c:showBubbleSize val="0"/>
        </c:dLbls>
        <c:gapWidth val="219"/>
        <c:overlap val="-27"/>
        <c:axId val="1987154783"/>
        <c:axId val="1987151423"/>
      </c:barChart>
      <c:catAx>
        <c:axId val="198715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7151423"/>
        <c:crosses val="autoZero"/>
        <c:auto val="1"/>
        <c:lblAlgn val="ctr"/>
        <c:lblOffset val="100"/>
        <c:noMultiLvlLbl val="0"/>
      </c:catAx>
      <c:valAx>
        <c:axId val="198715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987154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PROMEDIO  TIEMPO DE RESPUESTA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8.6913396831685349E-2"/>
          <c:y val="0.1695795065616798"/>
          <c:w val="0.90335597112860888"/>
          <c:h val="0.6153546952464275"/>
        </c:manualLayout>
      </c:layout>
      <c:barChart>
        <c:barDir val="col"/>
        <c:grouping val="clustered"/>
        <c:varyColors val="0"/>
        <c:ser>
          <c:idx val="1"/>
          <c:order val="1"/>
          <c:tx>
            <c:strRef>
              <c:f>'PROMEDIO RESPUESTA'!$BB$6:$BB$7</c:f>
              <c:strCache>
                <c:ptCount val="2"/>
                <c:pt idx="0">
                  <c:v>PROMEDIO </c:v>
                </c:pt>
                <c:pt idx="1">
                  <c:v>ene-25</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RESPUESTA'!$BB$8</c:f>
              <c:numCache>
                <c:formatCode>0.00</c:formatCode>
                <c:ptCount val="1"/>
                <c:pt idx="0">
                  <c:v>10.93</c:v>
                </c:pt>
              </c:numCache>
            </c:numRef>
          </c:val>
          <c:extLst>
            <c:ext xmlns:c16="http://schemas.microsoft.com/office/drawing/2014/chart" uri="{C3380CC4-5D6E-409C-BE32-E72D297353CC}">
              <c16:uniqueId val="{00000001-3451-46FB-807E-970FE188960D}"/>
            </c:ext>
          </c:extLst>
        </c:ser>
        <c:ser>
          <c:idx val="2"/>
          <c:order val="2"/>
          <c:tx>
            <c:strRef>
              <c:f>'PROMEDIO RESPUESTA'!$BC$6:$BC$7</c:f>
              <c:strCache>
                <c:ptCount val="2"/>
                <c:pt idx="0">
                  <c:v>PROMEDIO </c:v>
                </c:pt>
                <c:pt idx="1">
                  <c:v>ene-26</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RESPUESTA'!$BC$8</c:f>
              <c:numCache>
                <c:formatCode>0.00</c:formatCode>
                <c:ptCount val="1"/>
                <c:pt idx="0">
                  <c:v>10.93</c:v>
                </c:pt>
              </c:numCache>
            </c:numRef>
          </c:val>
          <c:extLst>
            <c:ext xmlns:c16="http://schemas.microsoft.com/office/drawing/2014/chart" uri="{C3380CC4-5D6E-409C-BE32-E72D297353CC}">
              <c16:uniqueId val="{00000002-3451-46FB-807E-970FE188960D}"/>
            </c:ext>
          </c:extLst>
        </c:ser>
        <c:ser>
          <c:idx val="3"/>
          <c:order val="3"/>
          <c:tx>
            <c:strRef>
              <c:f>'PROMEDIO RESPUESTA'!$BD$6:$BD$7</c:f>
              <c:strCache>
                <c:ptCount val="2"/>
                <c:pt idx="0">
                  <c:v>PROMEDIO </c:v>
                </c:pt>
                <c:pt idx="1">
                  <c:v>feb-25</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RESPUESTA'!$BD$8</c:f>
              <c:numCache>
                <c:formatCode>0.00</c:formatCode>
                <c:ptCount val="1"/>
                <c:pt idx="0">
                  <c:v>14.18</c:v>
                </c:pt>
              </c:numCache>
            </c:numRef>
          </c:val>
          <c:extLst>
            <c:ext xmlns:c16="http://schemas.microsoft.com/office/drawing/2014/chart" uri="{C3380CC4-5D6E-409C-BE32-E72D297353CC}">
              <c16:uniqueId val="{00000003-3451-46FB-807E-970FE188960D}"/>
            </c:ext>
          </c:extLst>
        </c:ser>
        <c:ser>
          <c:idx val="4"/>
          <c:order val="4"/>
          <c:tx>
            <c:strRef>
              <c:f>'PROMEDIO RESPUESTA'!$BE$6:$BE$7</c:f>
              <c:strCache>
                <c:ptCount val="2"/>
                <c:pt idx="0">
                  <c:v>PROMEDIO </c:v>
                </c:pt>
                <c:pt idx="1">
                  <c:v>feb-26</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RESPUESTA'!$BE$8</c:f>
              <c:numCache>
                <c:formatCode>0.00</c:formatCode>
                <c:ptCount val="1"/>
                <c:pt idx="0">
                  <c:v>12.15</c:v>
                </c:pt>
              </c:numCache>
            </c:numRef>
          </c:val>
          <c:extLst>
            <c:ext xmlns:c16="http://schemas.microsoft.com/office/drawing/2014/chart" uri="{C3380CC4-5D6E-409C-BE32-E72D297353CC}">
              <c16:uniqueId val="{00000004-3451-46FB-807E-970FE188960D}"/>
            </c:ext>
          </c:extLst>
        </c:ser>
        <c:ser>
          <c:idx val="5"/>
          <c:order val="5"/>
          <c:tx>
            <c:strRef>
              <c:f>'PROMEDIO RESPUESTA'!$BF$6:$BF$7</c:f>
              <c:strCache>
                <c:ptCount val="2"/>
                <c:pt idx="0">
                  <c:v>PROMEDIO </c:v>
                </c:pt>
                <c:pt idx="1">
                  <c:v>mar-25</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RESPUESTA'!$BF$8</c:f>
              <c:numCache>
                <c:formatCode>0.00</c:formatCode>
                <c:ptCount val="1"/>
                <c:pt idx="0">
                  <c:v>11.81</c:v>
                </c:pt>
              </c:numCache>
            </c:numRef>
          </c:val>
          <c:extLst>
            <c:ext xmlns:c16="http://schemas.microsoft.com/office/drawing/2014/chart" uri="{C3380CC4-5D6E-409C-BE32-E72D297353CC}">
              <c16:uniqueId val="{00000000-4D29-42F1-953B-1CF2E073C7AE}"/>
            </c:ext>
          </c:extLst>
        </c:ser>
        <c:ser>
          <c:idx val="6"/>
          <c:order val="6"/>
          <c:tx>
            <c:strRef>
              <c:f>'PROMEDIO RESPUESTA'!$BG$6:$BG$7</c:f>
              <c:strCache>
                <c:ptCount val="2"/>
                <c:pt idx="0">
                  <c:v>PROMEDIO </c:v>
                </c:pt>
                <c:pt idx="1">
                  <c:v>mar-26</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RESPUESTA'!$BG$8</c:f>
              <c:numCache>
                <c:formatCode>0.00</c:formatCode>
                <c:ptCount val="1"/>
                <c:pt idx="0">
                  <c:v>13.12</c:v>
                </c:pt>
              </c:numCache>
            </c:numRef>
          </c:val>
          <c:extLst>
            <c:ext xmlns:c16="http://schemas.microsoft.com/office/drawing/2014/chart" uri="{C3380CC4-5D6E-409C-BE32-E72D297353CC}">
              <c16:uniqueId val="{00000001-4D29-42F1-953B-1CF2E073C7AE}"/>
            </c:ext>
          </c:extLst>
        </c:ser>
        <c:ser>
          <c:idx val="7"/>
          <c:order val="7"/>
          <c:tx>
            <c:strRef>
              <c:f>'PROMEDIO RESPUESTA'!$BH$6:$BH$7</c:f>
              <c:strCache>
                <c:ptCount val="2"/>
                <c:pt idx="0">
                  <c:v>PROMEDIO </c:v>
                </c:pt>
                <c:pt idx="1">
                  <c:v>abr-25</c:v>
                </c:pt>
              </c:strCache>
              <c:extLst xmlns:c15="http://schemas.microsoft.com/office/drawing/2012/chart"/>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RESPUESTA'!$BH$8</c:f>
              <c:numCache>
                <c:formatCode>0.00</c:formatCode>
                <c:ptCount val="1"/>
                <c:pt idx="0">
                  <c:v>16.086936363636365</c:v>
                </c:pt>
              </c:numCache>
              <c:extLst xmlns:c15="http://schemas.microsoft.com/office/drawing/2012/chart"/>
            </c:numRef>
          </c:val>
          <c:extLst xmlns:c15="http://schemas.microsoft.com/office/drawing/2012/chart">
            <c:ext xmlns:c16="http://schemas.microsoft.com/office/drawing/2014/chart" uri="{C3380CC4-5D6E-409C-BE32-E72D297353CC}">
              <c16:uniqueId val="{00000000-5A42-412D-8B95-9DF6D2F38C67}"/>
            </c:ext>
          </c:extLst>
        </c:ser>
        <c:ser>
          <c:idx val="8"/>
          <c:order val="8"/>
          <c:tx>
            <c:strRef>
              <c:f>'PROMEDIO RESPUESTA'!$BI$6:$BI$7</c:f>
              <c:strCache>
                <c:ptCount val="2"/>
                <c:pt idx="0">
                  <c:v>PROMEDIO </c:v>
                </c:pt>
                <c:pt idx="1">
                  <c:v>abr-26</c:v>
                </c:pt>
              </c:strCache>
              <c:extLst xmlns:c15="http://schemas.microsoft.com/office/drawing/2012/chart"/>
            </c:strRef>
          </c:tx>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RESPUESTA'!$BI$8</c:f>
              <c:numCache>
                <c:formatCode>0.00</c:formatCode>
                <c:ptCount val="1"/>
                <c:pt idx="0">
                  <c:v>15.504545454545456</c:v>
                </c:pt>
              </c:numCache>
              <c:extLst xmlns:c15="http://schemas.microsoft.com/office/drawing/2012/chart"/>
            </c:numRef>
          </c:val>
          <c:extLst xmlns:c15="http://schemas.microsoft.com/office/drawing/2012/chart">
            <c:ext xmlns:c16="http://schemas.microsoft.com/office/drawing/2014/chart" uri="{C3380CC4-5D6E-409C-BE32-E72D297353CC}">
              <c16:uniqueId val="{00000001-5A42-412D-8B95-9DF6D2F38C67}"/>
            </c:ext>
          </c:extLst>
        </c:ser>
        <c:ser>
          <c:idx val="9"/>
          <c:order val="9"/>
          <c:tx>
            <c:strRef>
              <c:f>'PROMEDIO RESPUESTA'!$BJ$6:$BJ$7</c:f>
              <c:strCache>
                <c:ptCount val="2"/>
                <c:pt idx="0">
                  <c:v>PROMEDIO </c:v>
                </c:pt>
                <c:pt idx="1">
                  <c:v>may-25</c:v>
                </c:pt>
              </c:strCache>
              <c:extLst xmlns:c15="http://schemas.microsoft.com/office/drawing/2012/chart"/>
            </c:strRef>
          </c:tx>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RESPUESTA'!$BJ$8</c:f>
              <c:numCache>
                <c:formatCode>0.00</c:formatCode>
                <c:ptCount val="1"/>
                <c:pt idx="0">
                  <c:v>13.657818181818181</c:v>
                </c:pt>
              </c:numCache>
              <c:extLst xmlns:c15="http://schemas.microsoft.com/office/drawing/2012/chart"/>
            </c:numRef>
          </c:val>
          <c:extLst xmlns:c15="http://schemas.microsoft.com/office/drawing/2012/chart">
            <c:ext xmlns:c16="http://schemas.microsoft.com/office/drawing/2014/chart" uri="{C3380CC4-5D6E-409C-BE32-E72D297353CC}">
              <c16:uniqueId val="{00000000-F0D1-4D14-BAA3-7D11135AC9EA}"/>
            </c:ext>
          </c:extLst>
        </c:ser>
        <c:ser>
          <c:idx val="10"/>
          <c:order val="10"/>
          <c:tx>
            <c:strRef>
              <c:f>'PROMEDIO RESPUESTA'!$BK$6:$BK$7</c:f>
              <c:strCache>
                <c:ptCount val="2"/>
                <c:pt idx="0">
                  <c:v>PROMEDIO </c:v>
                </c:pt>
                <c:pt idx="1">
                  <c:v>may-26</c:v>
                </c:pt>
              </c:strCache>
              <c:extLst xmlns:c15="http://schemas.microsoft.com/office/drawing/2012/chart"/>
            </c:strRef>
          </c:tx>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RESPUESTA'!$BK$8</c:f>
              <c:numCache>
                <c:formatCode>0.00</c:formatCode>
                <c:ptCount val="1"/>
                <c:pt idx="0">
                  <c:v>15.790699999999998</c:v>
                </c:pt>
              </c:numCache>
              <c:extLst xmlns:c15="http://schemas.microsoft.com/office/drawing/2012/chart"/>
            </c:numRef>
          </c:val>
          <c:extLst xmlns:c15="http://schemas.microsoft.com/office/drawing/2012/chart">
            <c:ext xmlns:c16="http://schemas.microsoft.com/office/drawing/2014/chart" uri="{C3380CC4-5D6E-409C-BE32-E72D297353CC}">
              <c16:uniqueId val="{00000001-F0D1-4D14-BAA3-7D11135AC9EA}"/>
            </c:ext>
          </c:extLst>
        </c:ser>
        <c:ser>
          <c:idx val="11"/>
          <c:order val="11"/>
          <c:tx>
            <c:strRef>
              <c:f>'PROMEDIO RESPUESTA'!$BL$6:$BL$7</c:f>
              <c:strCache>
                <c:ptCount val="2"/>
                <c:pt idx="0">
                  <c:v>PROMEDIO </c:v>
                </c:pt>
                <c:pt idx="1">
                  <c:v>jun-25</c:v>
                </c:pt>
              </c:strCache>
              <c:extLst xmlns:c15="http://schemas.microsoft.com/office/drawing/2012/chart"/>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RESPUESTA'!$BL$8</c:f>
              <c:numCache>
                <c:formatCode>0.00</c:formatCode>
                <c:ptCount val="1"/>
                <c:pt idx="0">
                  <c:v>14.928272727272725</c:v>
                </c:pt>
              </c:numCache>
              <c:extLst xmlns:c15="http://schemas.microsoft.com/office/drawing/2012/chart"/>
            </c:numRef>
          </c:val>
          <c:extLst xmlns:c15="http://schemas.microsoft.com/office/drawing/2012/chart">
            <c:ext xmlns:c16="http://schemas.microsoft.com/office/drawing/2014/chart" uri="{C3380CC4-5D6E-409C-BE32-E72D297353CC}">
              <c16:uniqueId val="{00000000-EEFC-440E-B65D-0A3AAB05904D}"/>
            </c:ext>
          </c:extLst>
        </c:ser>
        <c:ser>
          <c:idx val="12"/>
          <c:order val="12"/>
          <c:tx>
            <c:strRef>
              <c:f>'PROMEDIO RESPUESTA'!$BM$6:$BM$7</c:f>
              <c:strCache>
                <c:ptCount val="2"/>
                <c:pt idx="0">
                  <c:v>PROMEDIO </c:v>
                </c:pt>
                <c:pt idx="1">
                  <c:v>jun-26</c:v>
                </c:pt>
              </c:strCache>
              <c:extLst xmlns:c15="http://schemas.microsoft.com/office/drawing/2012/chart"/>
            </c:strRef>
          </c:tx>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extLst xmlns:c15="http://schemas.microsoft.com/office/drawing/2012/chart"/>
            </c:strRef>
          </c:cat>
          <c:val>
            <c:numRef>
              <c:f>'PROMEDIO RESPUESTA'!$BM$8</c:f>
              <c:numCache>
                <c:formatCode>0.00</c:formatCode>
                <c:ptCount val="1"/>
                <c:pt idx="0">
                  <c:v>16.888000000000002</c:v>
                </c:pt>
              </c:numCache>
              <c:extLst xmlns:c15="http://schemas.microsoft.com/office/drawing/2012/chart"/>
            </c:numRef>
          </c:val>
          <c:extLst xmlns:c15="http://schemas.microsoft.com/office/drawing/2012/chart">
            <c:ext xmlns:c16="http://schemas.microsoft.com/office/drawing/2014/chart" uri="{C3380CC4-5D6E-409C-BE32-E72D297353CC}">
              <c16:uniqueId val="{00000001-EEFC-440E-B65D-0A3AAB05904D}"/>
            </c:ext>
          </c:extLst>
        </c:ser>
        <c:dLbls>
          <c:dLblPos val="outEnd"/>
          <c:showLegendKey val="0"/>
          <c:showVal val="1"/>
          <c:showCatName val="0"/>
          <c:showSerName val="0"/>
          <c:showPercent val="0"/>
          <c:showBubbleSize val="0"/>
        </c:dLbls>
        <c:gapWidth val="100"/>
        <c:overlap val="-24"/>
        <c:axId val="1987131743"/>
        <c:axId val="1987110143"/>
        <c:extLst>
          <c:ext xmlns:c15="http://schemas.microsoft.com/office/drawing/2012/chart" uri="{02D57815-91ED-43cb-92C2-25804820EDAC}">
            <c15:filteredBarSeries>
              <c15:ser>
                <c:idx val="0"/>
                <c:order val="0"/>
                <c:tx>
                  <c:strRef>
                    <c:extLst>
                      <c:ext uri="{02D57815-91ED-43cb-92C2-25804820EDAC}">
                        <c15:formulaRef>
                          <c15:sqref>'PROMEDIO RESPUESTA'!$BA$6:$BA$7</c15:sqref>
                        </c15:formulaRef>
                      </c:ext>
                    </c:extLst>
                    <c:strCache>
                      <c:ptCount val="2"/>
                      <c:pt idx="0">
                        <c:v>PROMEDIO </c:v>
                      </c:pt>
                      <c:pt idx="1">
                        <c:v>MES/AÑO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'PROMEDIO RESPUESTA'!$AZ$8</c15:sqref>
                        </c15:formulaRef>
                      </c:ext>
                    </c:extLst>
                    <c:strCache>
                      <c:ptCount val="1"/>
                      <c:pt idx="0">
                        <c:v>PROMEDIO TIEMPO </c:v>
                      </c:pt>
                    </c:strCache>
                  </c:strRef>
                </c:cat>
                <c:val>
                  <c:numRef>
                    <c:extLst>
                      <c:ext uri="{02D57815-91ED-43cb-92C2-25804820EDAC}">
                        <c15:formulaRef>
                          <c15:sqref>'PROMEDIO RESPUESTA'!$BA$8</c15:sqref>
                        </c15:formulaRef>
                      </c:ext>
                    </c:extLst>
                    <c:numCache>
                      <c:formatCode>General</c:formatCode>
                      <c:ptCount val="1"/>
                    </c:numCache>
                  </c:numRef>
                </c:val>
                <c:extLst>
                  <c:ext xmlns:c16="http://schemas.microsoft.com/office/drawing/2014/chart" uri="{C3380CC4-5D6E-409C-BE32-E72D297353CC}">
                    <c16:uniqueId val="{00000000-3451-46FB-807E-970FE188960D}"/>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'PROMEDIO RESPUESTA'!$BN$6:$BN$7</c15:sqref>
                        </c15:formulaRef>
                      </c:ext>
                    </c:extLst>
                    <c:strCache>
                      <c:ptCount val="2"/>
                      <c:pt idx="0">
                        <c:v>PROMEDIO </c:v>
                      </c:pt>
                      <c:pt idx="1">
                        <c:v>jul-24</c:v>
                      </c:pt>
                    </c:strCache>
                  </c:strRef>
                </c:tx>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RESPUESTA'!$BN$8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2-EEFC-440E-B65D-0A3AAB05904D}"/>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'PROMEDIO RESPUESTA'!$BO$6:$BO$7</c15:sqref>
                        </c15:formulaRef>
                      </c:ext>
                    </c:extLst>
                    <c:strCache>
                      <c:ptCount val="2"/>
                      <c:pt idx="0">
                        <c:v>PROMEDIO </c:v>
                      </c:pt>
                      <c:pt idx="1">
                        <c:v>jul-25</c:v>
                      </c:pt>
                    </c:strCache>
                  </c:strRef>
                </c:tx>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RESPUESTA'!$BO$8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3-EEFC-440E-B65D-0A3AAB05904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'PROMEDIO RESPUESTA'!$BR$6:$BR$7</c15:sqref>
                        </c15:formulaRef>
                      </c:ext>
                    </c:extLst>
                    <c:strCache>
                      <c:ptCount val="2"/>
                      <c:pt idx="0">
                        <c:v>PROMEDIO </c:v>
                      </c:pt>
                      <c:pt idx="1">
                        <c:v>sep-24</c:v>
                      </c:pt>
                    </c:strCache>
                  </c:strRef>
                </c:tx>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RESPUESTA'!$BR$8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0-C8A4-4BB2-90E3-B2813C46A403}"/>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'PROMEDIO RESPUESTA'!$BS$6:$BS$7</c15:sqref>
                        </c15:formulaRef>
                      </c:ext>
                    </c:extLst>
                    <c:strCache>
                      <c:ptCount val="2"/>
                      <c:pt idx="0">
                        <c:v>PROMEDIO </c:v>
                      </c:pt>
                      <c:pt idx="1">
                        <c:v>sep-25</c:v>
                      </c:pt>
                    </c:strCache>
                  </c:strRef>
                </c:tx>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RESPUESTA'!$BS$8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1-C8A4-4BB2-90E3-B2813C46A403}"/>
                  </c:ext>
                </c:extLst>
              </c15:ser>
            </c15:filteredBarSeries>
          </c:ext>
        </c:extLst>
      </c:barChart>
      <c:catAx>
        <c:axId val="19871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987110143"/>
        <c:crosses val="autoZero"/>
        <c:auto val="1"/>
        <c:lblAlgn val="ctr"/>
        <c:lblOffset val="100"/>
        <c:noMultiLvlLbl val="0"/>
      </c:catAx>
      <c:valAx>
        <c:axId val="1987110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987131743"/>
        <c:crosses val="autoZero"/>
        <c:crossBetween val="between"/>
      </c:valAx>
      <c:spPr>
        <a:noFill/>
        <a:ln>
          <a:noFill/>
        </a:ln>
        <a:effectLst/>
      </c:spPr>
    </c:plotArea>
    <c:legend>
      <c:legendPos val="b"/>
      <c:layout>
        <c:manualLayout>
          <c:xMode val="edge"/>
          <c:yMode val="edge"/>
          <c:x val="0.1642882847191271"/>
          <c:y val="0.83169086165114314"/>
          <c:w val="0.67913567407847608"/>
          <c:h val="0.104800755905511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PROMEDIO  TIEMPO DE RESPUESTA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manualLayout>
          <c:layoutTarget val="inner"/>
          <c:xMode val="edge"/>
          <c:yMode val="edge"/>
          <c:x val="8.6913396831685349E-2"/>
          <c:y val="0.1695795065616798"/>
          <c:w val="0.90335597112860888"/>
          <c:h val="0.6153546952464275"/>
        </c:manualLayout>
      </c:layout>
      <c:barChart>
        <c:barDir val="col"/>
        <c:grouping val="clustered"/>
        <c:varyColors val="0"/>
        <c:ser>
          <c:idx val="1"/>
          <c:order val="1"/>
          <c:tx>
            <c:strRef>
              <c:f>'PROMEDIO RESPUESTA'!$BB$6:$BB$7</c:f>
              <c:strCache>
                <c:ptCount val="2"/>
                <c:pt idx="0">
                  <c:v>PROMEDIO </c:v>
                </c:pt>
                <c:pt idx="1">
                  <c:v>ene-25</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RESPUESTA'!$BB$8</c:f>
              <c:numCache>
                <c:formatCode>0.00</c:formatCode>
                <c:ptCount val="1"/>
                <c:pt idx="0">
                  <c:v>10.93</c:v>
                </c:pt>
              </c:numCache>
            </c:numRef>
          </c:val>
          <c:extLst>
            <c:ext xmlns:c16="http://schemas.microsoft.com/office/drawing/2014/chart" uri="{C3380CC4-5D6E-409C-BE32-E72D297353CC}">
              <c16:uniqueId val="{00000001-3451-46FB-807E-970FE188960D}"/>
            </c:ext>
          </c:extLst>
        </c:ser>
        <c:ser>
          <c:idx val="2"/>
          <c:order val="2"/>
          <c:tx>
            <c:strRef>
              <c:f>'PROMEDIO RESPUESTA'!$BC$6:$BC$7</c:f>
              <c:strCache>
                <c:ptCount val="2"/>
                <c:pt idx="0">
                  <c:v>PROMEDIO </c:v>
                </c:pt>
                <c:pt idx="1">
                  <c:v>ene-26</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RESPUESTA'!$BC$8</c:f>
              <c:numCache>
                <c:formatCode>0.00</c:formatCode>
                <c:ptCount val="1"/>
                <c:pt idx="0">
                  <c:v>10.93</c:v>
                </c:pt>
              </c:numCache>
            </c:numRef>
          </c:val>
          <c:extLst>
            <c:ext xmlns:c16="http://schemas.microsoft.com/office/drawing/2014/chart" uri="{C3380CC4-5D6E-409C-BE32-E72D297353CC}">
              <c16:uniqueId val="{00000002-3451-46FB-807E-970FE188960D}"/>
            </c:ext>
          </c:extLst>
        </c:ser>
        <c:ser>
          <c:idx val="3"/>
          <c:order val="3"/>
          <c:tx>
            <c:strRef>
              <c:f>'PROMEDIO RESPUESTA'!$BD$6:$BD$7</c:f>
              <c:strCache>
                <c:ptCount val="2"/>
                <c:pt idx="0">
                  <c:v>PROMEDIO </c:v>
                </c:pt>
                <c:pt idx="1">
                  <c:v>feb-25</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RESPUESTA'!$BD$8</c:f>
              <c:numCache>
                <c:formatCode>0.00</c:formatCode>
                <c:ptCount val="1"/>
                <c:pt idx="0">
                  <c:v>14.18</c:v>
                </c:pt>
              </c:numCache>
            </c:numRef>
          </c:val>
          <c:extLst>
            <c:ext xmlns:c16="http://schemas.microsoft.com/office/drawing/2014/chart" uri="{C3380CC4-5D6E-409C-BE32-E72D297353CC}">
              <c16:uniqueId val="{00000003-3451-46FB-807E-970FE188960D}"/>
            </c:ext>
          </c:extLst>
        </c:ser>
        <c:ser>
          <c:idx val="4"/>
          <c:order val="4"/>
          <c:tx>
            <c:strRef>
              <c:f>'PROMEDIO RESPUESTA'!$BE$6:$BE$7</c:f>
              <c:strCache>
                <c:ptCount val="2"/>
                <c:pt idx="0">
                  <c:v>PROMEDIO </c:v>
                </c:pt>
                <c:pt idx="1">
                  <c:v>feb-26</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RESPUESTA'!$BE$8</c:f>
              <c:numCache>
                <c:formatCode>0.00</c:formatCode>
                <c:ptCount val="1"/>
                <c:pt idx="0">
                  <c:v>12.15</c:v>
                </c:pt>
              </c:numCache>
            </c:numRef>
          </c:val>
          <c:extLst>
            <c:ext xmlns:c16="http://schemas.microsoft.com/office/drawing/2014/chart" uri="{C3380CC4-5D6E-409C-BE32-E72D297353CC}">
              <c16:uniqueId val="{00000004-3451-46FB-807E-970FE188960D}"/>
            </c:ext>
          </c:extLst>
        </c:ser>
        <c:ser>
          <c:idx val="5"/>
          <c:order val="5"/>
          <c:tx>
            <c:strRef>
              <c:f>'PROMEDIO RESPUESTA'!$BF$6:$BF$7</c:f>
              <c:strCache>
                <c:ptCount val="2"/>
                <c:pt idx="0">
                  <c:v>PROMEDIO </c:v>
                </c:pt>
                <c:pt idx="1">
                  <c:v>mar-25</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RESPUESTA'!$BF$8</c:f>
              <c:numCache>
                <c:formatCode>0.00</c:formatCode>
                <c:ptCount val="1"/>
                <c:pt idx="0">
                  <c:v>11.81</c:v>
                </c:pt>
              </c:numCache>
            </c:numRef>
          </c:val>
          <c:extLst>
            <c:ext xmlns:c16="http://schemas.microsoft.com/office/drawing/2014/chart" uri="{C3380CC4-5D6E-409C-BE32-E72D297353CC}">
              <c16:uniqueId val="{00000000-4D29-42F1-953B-1CF2E073C7AE}"/>
            </c:ext>
          </c:extLst>
        </c:ser>
        <c:ser>
          <c:idx val="6"/>
          <c:order val="6"/>
          <c:tx>
            <c:strRef>
              <c:f>'PROMEDIO RESPUESTA'!$BG$6:$BG$7</c:f>
              <c:strCache>
                <c:ptCount val="2"/>
                <c:pt idx="0">
                  <c:v>PROMEDIO </c:v>
                </c:pt>
                <c:pt idx="1">
                  <c:v>mar-26</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RESPUESTA'!$BG$8</c:f>
              <c:numCache>
                <c:formatCode>0.00</c:formatCode>
                <c:ptCount val="1"/>
                <c:pt idx="0">
                  <c:v>13.12</c:v>
                </c:pt>
              </c:numCache>
            </c:numRef>
          </c:val>
          <c:extLst>
            <c:ext xmlns:c16="http://schemas.microsoft.com/office/drawing/2014/chart" uri="{C3380CC4-5D6E-409C-BE32-E72D297353CC}">
              <c16:uniqueId val="{00000001-4D29-42F1-953B-1CF2E073C7AE}"/>
            </c:ext>
          </c:extLst>
        </c:ser>
        <c:ser>
          <c:idx val="7"/>
          <c:order val="7"/>
          <c:tx>
            <c:strRef>
              <c:f>'PROMEDIO RESPUESTA'!$BH$6:$BH$7</c:f>
              <c:strCache>
                <c:ptCount val="2"/>
                <c:pt idx="0">
                  <c:v>PROMEDIO </c:v>
                </c:pt>
                <c:pt idx="1">
                  <c:v>abr-25</c:v>
                </c:pt>
              </c:strCache>
            </c:strRef>
          </c:tx>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RESPUESTA'!$BH$8</c:f>
              <c:numCache>
                <c:formatCode>0.00</c:formatCode>
                <c:ptCount val="1"/>
                <c:pt idx="0">
                  <c:v>16.086936363636365</c:v>
                </c:pt>
              </c:numCache>
            </c:numRef>
          </c:val>
          <c:extLst>
            <c:ext xmlns:c16="http://schemas.microsoft.com/office/drawing/2014/chart" uri="{C3380CC4-5D6E-409C-BE32-E72D297353CC}">
              <c16:uniqueId val="{00000000-5A42-412D-8B95-9DF6D2F38C67}"/>
            </c:ext>
          </c:extLst>
        </c:ser>
        <c:ser>
          <c:idx val="8"/>
          <c:order val="8"/>
          <c:tx>
            <c:strRef>
              <c:f>'PROMEDIO RESPUESTA'!$BI$6:$BI$7</c:f>
              <c:strCache>
                <c:ptCount val="2"/>
                <c:pt idx="0">
                  <c:v>PROMEDIO </c:v>
                </c:pt>
                <c:pt idx="1">
                  <c:v>abr-26</c:v>
                </c:pt>
              </c:strCache>
            </c:strRef>
          </c:tx>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RESPUESTA'!$BI$8</c:f>
              <c:numCache>
                <c:formatCode>0.00</c:formatCode>
                <c:ptCount val="1"/>
                <c:pt idx="0">
                  <c:v>15.504545454545456</c:v>
                </c:pt>
              </c:numCache>
            </c:numRef>
          </c:val>
          <c:extLst>
            <c:ext xmlns:c16="http://schemas.microsoft.com/office/drawing/2014/chart" uri="{C3380CC4-5D6E-409C-BE32-E72D297353CC}">
              <c16:uniqueId val="{00000001-5A42-412D-8B95-9DF6D2F38C67}"/>
            </c:ext>
          </c:extLst>
        </c:ser>
        <c:ser>
          <c:idx val="9"/>
          <c:order val="9"/>
          <c:tx>
            <c:strRef>
              <c:f>'PROMEDIO RESPUESTA'!$BJ$6:$BJ$7</c:f>
              <c:strCache>
                <c:ptCount val="2"/>
                <c:pt idx="0">
                  <c:v>PROMEDIO </c:v>
                </c:pt>
                <c:pt idx="1">
                  <c:v>may-25</c:v>
                </c:pt>
              </c:strCache>
            </c:strRef>
          </c:tx>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RESPUESTA'!$BJ$8</c:f>
              <c:numCache>
                <c:formatCode>0.00</c:formatCode>
                <c:ptCount val="1"/>
                <c:pt idx="0">
                  <c:v>13.657818181818181</c:v>
                </c:pt>
              </c:numCache>
            </c:numRef>
          </c:val>
          <c:extLst>
            <c:ext xmlns:c16="http://schemas.microsoft.com/office/drawing/2014/chart" uri="{C3380CC4-5D6E-409C-BE32-E72D297353CC}">
              <c16:uniqueId val="{00000000-F0D1-4D14-BAA3-7D11135AC9EA}"/>
            </c:ext>
          </c:extLst>
        </c:ser>
        <c:ser>
          <c:idx val="10"/>
          <c:order val="10"/>
          <c:tx>
            <c:strRef>
              <c:f>'PROMEDIO RESPUESTA'!$BK$6:$BK$7</c:f>
              <c:strCache>
                <c:ptCount val="2"/>
                <c:pt idx="0">
                  <c:v>PROMEDIO </c:v>
                </c:pt>
                <c:pt idx="1">
                  <c:v>may-26</c:v>
                </c:pt>
              </c:strCache>
            </c:strRef>
          </c:tx>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RESPUESTA'!$BK$8</c:f>
              <c:numCache>
                <c:formatCode>0.00</c:formatCode>
                <c:ptCount val="1"/>
                <c:pt idx="0">
                  <c:v>15.790699999999998</c:v>
                </c:pt>
              </c:numCache>
            </c:numRef>
          </c:val>
          <c:extLst>
            <c:ext xmlns:c16="http://schemas.microsoft.com/office/drawing/2014/chart" uri="{C3380CC4-5D6E-409C-BE32-E72D297353CC}">
              <c16:uniqueId val="{00000001-F0D1-4D14-BAA3-7D11135AC9EA}"/>
            </c:ext>
          </c:extLst>
        </c:ser>
        <c:ser>
          <c:idx val="11"/>
          <c:order val="11"/>
          <c:tx>
            <c:strRef>
              <c:f>'PROMEDIO RESPUESTA'!$BL$6:$BL$7</c:f>
              <c:strCache>
                <c:ptCount val="2"/>
                <c:pt idx="0">
                  <c:v>PROMEDIO </c:v>
                </c:pt>
                <c:pt idx="1">
                  <c:v>jun-25</c:v>
                </c:pt>
              </c:strCache>
            </c:strRef>
          </c:tx>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RESPUESTA'!$BL$8</c:f>
              <c:numCache>
                <c:formatCode>0.00</c:formatCode>
                <c:ptCount val="1"/>
                <c:pt idx="0">
                  <c:v>14.928272727272725</c:v>
                </c:pt>
              </c:numCache>
            </c:numRef>
          </c:val>
          <c:extLst>
            <c:ext xmlns:c16="http://schemas.microsoft.com/office/drawing/2014/chart" uri="{C3380CC4-5D6E-409C-BE32-E72D297353CC}">
              <c16:uniqueId val="{00000000-EEFC-440E-B65D-0A3AAB05904D}"/>
            </c:ext>
          </c:extLst>
        </c:ser>
        <c:ser>
          <c:idx val="12"/>
          <c:order val="12"/>
          <c:tx>
            <c:strRef>
              <c:f>'PROMEDIO RESPUESTA'!$BM$6:$BM$7</c:f>
              <c:strCache>
                <c:ptCount val="2"/>
                <c:pt idx="0">
                  <c:v>PROMEDIO </c:v>
                </c:pt>
                <c:pt idx="1">
                  <c:v>jun-26</c:v>
                </c:pt>
              </c:strCache>
            </c:strRef>
          </c:tx>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'PROMEDIO RESPUESTA'!$AZ$8</c:f>
              <c:strCache>
                <c:ptCount val="1"/>
                <c:pt idx="0">
                  <c:v>PROMEDIO TIEMPO </c:v>
                </c:pt>
              </c:strCache>
            </c:strRef>
          </c:cat>
          <c:val>
            <c:numRef>
              <c:f>'PROMEDIO RESPUESTA'!$BM$8</c:f>
              <c:numCache>
                <c:formatCode>0.00</c:formatCode>
                <c:ptCount val="1"/>
                <c:pt idx="0">
                  <c:v>16.888000000000002</c:v>
                </c:pt>
              </c:numCache>
            </c:numRef>
          </c:val>
          <c:extLst>
            <c:ext xmlns:c16="http://schemas.microsoft.com/office/drawing/2014/chart" uri="{C3380CC4-5D6E-409C-BE32-E72D297353CC}">
              <c16:uniqueId val="{00000001-EEFC-440E-B65D-0A3AAB05904D}"/>
            </c:ext>
          </c:extLst>
        </c:ser>
        <c:dLbls>
          <c:dLblPos val="outEnd"/>
          <c:showLegendKey val="0"/>
          <c:showVal val="1"/>
          <c:showCatName val="0"/>
          <c:showSerName val="0"/>
          <c:showPercent val="0"/>
          <c:showBubbleSize val="0"/>
        </c:dLbls>
        <c:gapWidth val="100"/>
        <c:overlap val="-24"/>
        <c:axId val="1987131743"/>
        <c:axId val="1987110143"/>
        <c:extLst>
          <c:ext xmlns:c15="http://schemas.microsoft.com/office/drawing/2012/chart" uri="{02D57815-91ED-43cb-92C2-25804820EDAC}">
            <c15:filteredBarSeries>
              <c15:ser>
                <c:idx val="0"/>
                <c:order val="0"/>
                <c:tx>
                  <c:strRef>
                    <c:extLst>
                      <c:ext uri="{02D57815-91ED-43cb-92C2-25804820EDAC}">
                        <c15:formulaRef>
                          <c15:sqref>'PROMEDIO RESPUESTA'!$BA$6:$BA$7</c15:sqref>
                        </c15:formulaRef>
                      </c:ext>
                    </c:extLst>
                    <c:strCache>
                      <c:ptCount val="2"/>
                      <c:pt idx="0">
                        <c:v>PROMEDIO </c:v>
                      </c:pt>
                      <c:pt idx="1">
                        <c:v>MES/AÑO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'PROMEDIO RESPUESTA'!$AZ$8</c15:sqref>
                        </c15:formulaRef>
                      </c:ext>
                    </c:extLst>
                    <c:strCache>
                      <c:ptCount val="1"/>
                      <c:pt idx="0">
                        <c:v>PROMEDIO TIEMPO </c:v>
                      </c:pt>
                    </c:strCache>
                  </c:strRef>
                </c:cat>
                <c:val>
                  <c:numRef>
                    <c:extLst>
                      <c:ext uri="{02D57815-91ED-43cb-92C2-25804820EDAC}">
                        <c15:formulaRef>
                          <c15:sqref>'PROMEDIO RESPUESTA'!$BA$8</c15:sqref>
                        </c15:formulaRef>
                      </c:ext>
                    </c:extLst>
                    <c:numCache>
                      <c:formatCode>General</c:formatCode>
                      <c:ptCount val="1"/>
                    </c:numCache>
                  </c:numRef>
                </c:val>
                <c:extLst>
                  <c:ext xmlns:c16="http://schemas.microsoft.com/office/drawing/2014/chart" uri="{C3380CC4-5D6E-409C-BE32-E72D297353CC}">
                    <c16:uniqueId val="{00000000-3451-46FB-807E-970FE188960D}"/>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'PROMEDIO RESPUESTA'!$BN$6:$BN$7</c15:sqref>
                        </c15:formulaRef>
                      </c:ext>
                    </c:extLst>
                    <c:strCache>
                      <c:ptCount val="2"/>
                      <c:pt idx="0">
                        <c:v>PROMEDIO </c:v>
                      </c:pt>
                      <c:pt idx="1">
                        <c:v>jul-24</c:v>
                      </c:pt>
                    </c:strCache>
                  </c:strRef>
                </c:tx>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RESPUESTA'!$BN$8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2-EEFC-440E-B65D-0A3AAB05904D}"/>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'PROMEDIO RESPUESTA'!$BO$6:$BO$7</c15:sqref>
                        </c15:formulaRef>
                      </c:ext>
                    </c:extLst>
                    <c:strCache>
                      <c:ptCount val="2"/>
                      <c:pt idx="0">
                        <c:v>PROMEDIO </c:v>
                      </c:pt>
                      <c:pt idx="1">
                        <c:v>jul-25</c:v>
                      </c:pt>
                    </c:strCache>
                  </c:strRef>
                </c:tx>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RESPUESTA'!$BO$8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3-EEFC-440E-B65D-0A3AAB05904D}"/>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'PROMEDIO RESPUESTA'!$BR$6:$BR$7</c15:sqref>
                        </c15:formulaRef>
                      </c:ext>
                    </c:extLst>
                    <c:strCache>
                      <c:ptCount val="2"/>
                      <c:pt idx="0">
                        <c:v>PROMEDIO </c:v>
                      </c:pt>
                      <c:pt idx="1">
                        <c:v>sep-24</c:v>
                      </c:pt>
                    </c:strCache>
                  </c:strRef>
                </c:tx>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RESPUESTA'!$BR$8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0-C8A4-4BB2-90E3-B2813C46A403}"/>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'PROMEDIO RESPUESTA'!$BS$6:$BS$7</c15:sqref>
                        </c15:formulaRef>
                      </c:ext>
                    </c:extLst>
                    <c:strCache>
                      <c:ptCount val="2"/>
                      <c:pt idx="0">
                        <c:v>PROMEDIO </c:v>
                      </c:pt>
                      <c:pt idx="1">
                        <c:v>sep-25</c:v>
                      </c:pt>
                    </c:strCache>
                  </c:strRef>
                </c:tx>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'PROMEDIO RESPUESTA'!$AZ$8</c15:sqref>
                        </c15:formulaRef>
                      </c:ext>
                    </c:extLst>
                    <c:strCache>
                      <c:ptCount val="1"/>
                      <c:pt idx="0">
                        <c:v>PROMEDIO TIEMPO </c:v>
                      </c:pt>
                    </c:strCache>
                  </c:strRef>
                </c:cat>
                <c:val>
                  <c:numRef>
                    <c:extLst xmlns:c15="http://schemas.microsoft.com/office/drawing/2012/chart">
                      <c:ext xmlns:c15="http://schemas.microsoft.com/office/drawing/2012/chart" uri="{02D57815-91ED-43cb-92C2-25804820EDAC}">
                        <c15:formulaRef>
                          <c15:sqref>'PROMEDIO RESPUESTA'!$BS$8</c15:sqref>
                        </c15:formulaRef>
                      </c:ext>
                    </c:extLst>
                    <c:numCache>
                      <c:formatCode>0.00</c:formatCode>
                      <c:ptCount val="1"/>
                    </c:numCache>
                  </c:numRef>
                </c:val>
                <c:extLst xmlns:c15="http://schemas.microsoft.com/office/drawing/2012/chart">
                  <c:ext xmlns:c16="http://schemas.microsoft.com/office/drawing/2014/chart" uri="{C3380CC4-5D6E-409C-BE32-E72D297353CC}">
                    <c16:uniqueId val="{00000001-C8A4-4BB2-90E3-B2813C46A403}"/>
                  </c:ext>
                </c:extLst>
              </c15:ser>
            </c15:filteredBarSeries>
          </c:ext>
        </c:extLst>
      </c:barChart>
      <c:catAx>
        <c:axId val="19871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987110143"/>
        <c:crosses val="autoZero"/>
        <c:auto val="1"/>
        <c:lblAlgn val="ctr"/>
        <c:lblOffset val="100"/>
        <c:noMultiLvlLbl val="0"/>
      </c:catAx>
      <c:valAx>
        <c:axId val="1987110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987131743"/>
        <c:crosses val="autoZero"/>
        <c:crossBetween val="between"/>
      </c:valAx>
      <c:spPr>
        <a:noFill/>
        <a:ln>
          <a:noFill/>
        </a:ln>
        <a:effectLst/>
      </c:spPr>
    </c:plotArea>
    <c:legend>
      <c:legendPos val="b"/>
      <c:layout>
        <c:manualLayout>
          <c:xMode val="edge"/>
          <c:yMode val="edge"/>
          <c:x val="9.1520163753115759E-3"/>
          <c:y val="0.82972422047244099"/>
          <c:w val="0.67913567407847608"/>
          <c:h val="0.104800755905511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PQR ALCANTARILLADO 2025 VS 2026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manualLayout>
          <c:layoutTarget val="inner"/>
          <c:xMode val="edge"/>
          <c:yMode val="edge"/>
          <c:x val="5.4691414990895526E-2"/>
          <c:y val="8.3391709656982518E-2"/>
          <c:w val="0.90631284968382508"/>
          <c:h val="0.6624001166520852"/>
        </c:manualLayout>
      </c:layout>
      <c:barChart>
        <c:barDir val="col"/>
        <c:grouping val="clustered"/>
        <c:varyColors val="0"/>
        <c:ser>
          <c:idx val="2"/>
          <c:order val="2"/>
          <c:tx>
            <c:strRef>
              <c:f>pqqqqr!$H$38</c:f>
              <c:strCache>
                <c:ptCount val="1"/>
                <c:pt idx="0">
                  <c:v>TOTAL </c:v>
                </c:pt>
              </c:strCache>
            </c:strRef>
          </c:tx>
          <c:spPr>
            <a:solidFill>
              <a:schemeClr val="accent1">
                <a:lumMod val="60000"/>
                <a:lumOff val="40000"/>
              </a:schemeClr>
            </a:solidFill>
            <a:ln w="9525" cap="flat" cmpd="sng" algn="ctr">
              <a:solidFill>
                <a:schemeClr val="lt1">
                  <a:alpha val="50000"/>
                </a:schemeClr>
              </a:solidFill>
              <a:round/>
            </a:ln>
            <a:effectLst/>
          </c:spPr>
          <c:invertIfNegative val="0"/>
          <c:dPt>
            <c:idx val="2"/>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E-C3BB-4A32-AA36-ADB8A11A540E}"/>
              </c:ext>
            </c:extLst>
          </c:dPt>
          <c:dPt>
            <c:idx val="3"/>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F-C3BB-4A32-AA36-ADB8A11A540E}"/>
              </c:ext>
            </c:extLst>
          </c:dPt>
          <c:dPt>
            <c:idx val="4"/>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0-C3BB-4A32-AA36-ADB8A11A540E}"/>
              </c:ext>
            </c:extLst>
          </c:dPt>
          <c:dPt>
            <c:idx val="5"/>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11-C3BB-4A32-AA36-ADB8A11A54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pqqqqr!$I$27:$N$29</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pqqqqr!$I$38:$N$38</c:f>
              <c:numCache>
                <c:formatCode>General</c:formatCode>
                <c:ptCount val="6"/>
                <c:pt idx="0">
                  <c:v>858</c:v>
                </c:pt>
                <c:pt idx="1">
                  <c:v>614</c:v>
                </c:pt>
                <c:pt idx="2">
                  <c:v>432</c:v>
                </c:pt>
                <c:pt idx="3">
                  <c:v>419</c:v>
                </c:pt>
                <c:pt idx="4">
                  <c:v>174</c:v>
                </c:pt>
                <c:pt idx="5">
                  <c:v>383</c:v>
                </c:pt>
              </c:numCache>
            </c:numRef>
          </c:val>
          <c:extLst>
            <c:ext xmlns:c16="http://schemas.microsoft.com/office/drawing/2014/chart" uri="{C3380CC4-5D6E-409C-BE32-E72D297353CC}">
              <c16:uniqueId val="{0000000D-C3BB-4A32-AA36-ADB8A11A540E}"/>
            </c:ext>
          </c:extLst>
        </c:ser>
        <c:dLbls>
          <c:dLblPos val="inEnd"/>
          <c:showLegendKey val="0"/>
          <c:showVal val="1"/>
          <c:showCatName val="0"/>
          <c:showSerName val="0"/>
          <c:showPercent val="0"/>
          <c:showBubbleSize val="0"/>
        </c:dLbls>
        <c:gapWidth val="65"/>
        <c:axId val="1527427903"/>
        <c:axId val="1527412543"/>
        <c:extLst>
          <c:ext xmlns:c15="http://schemas.microsoft.com/office/drawing/2012/chart" uri="{02D57815-91ED-43cb-92C2-25804820EDAC}">
            <c15:filteredBarSeries>
              <c15:ser>
                <c:idx val="0"/>
                <c:order val="0"/>
                <c:tx>
                  <c:strRef>
                    <c:extLst>
                      <c:ext uri="{02D57815-91ED-43cb-92C2-25804820EDAC}">
                        <c15:formulaRef>
                          <c15:sqref>pqqqqr!$H$30</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8-854B-4E70-890E-19C47D25CFB6}"/>
                    </c:ext>
                  </c:extLst>
                </c:dPt>
                <c:dPt>
                  <c:idx val="1"/>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9-854B-4E70-890E-19C47D25CFB6}"/>
                    </c:ext>
                  </c:extLst>
                </c:dPt>
                <c:dPt>
                  <c:idx val="2"/>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A-854B-4E70-890E-19C47D25CFB6}"/>
                    </c:ext>
                  </c:extLst>
                </c:dPt>
                <c:dPt>
                  <c:idx val="3"/>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B-854B-4E70-890E-19C47D25CFB6}"/>
                    </c:ext>
                  </c:extLst>
                </c:dPt>
                <c:dPt>
                  <c:idx val="4"/>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C-854B-4E70-890E-19C47D25CFB6}"/>
                    </c:ext>
                  </c:extLst>
                </c:dPt>
                <c:dPt>
                  <c:idx val="5"/>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D-854B-4E70-890E-19C47D25CF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pqqqqr!$I$27:$N$29</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pqqqqr!$I$30:$N$30</c15:sqref>
                        </c15:formulaRef>
                      </c:ext>
                    </c:extLst>
                    <c:numCache>
                      <c:formatCode>General</c:formatCode>
                      <c:ptCount val="6"/>
                      <c:pt idx="0">
                        <c:v>69</c:v>
                      </c:pt>
                      <c:pt idx="1">
                        <c:v>84</c:v>
                      </c:pt>
                      <c:pt idx="2">
                        <c:v>29</c:v>
                      </c:pt>
                      <c:pt idx="3">
                        <c:v>34</c:v>
                      </c:pt>
                      <c:pt idx="4">
                        <c:v>26</c:v>
                      </c:pt>
                      <c:pt idx="5">
                        <c:v>29</c:v>
                      </c:pt>
                    </c:numCache>
                  </c:numRef>
                </c:val>
                <c:extLst>
                  <c:ext xmlns:c16="http://schemas.microsoft.com/office/drawing/2014/chart" uri="{C3380CC4-5D6E-409C-BE32-E72D297353CC}">
                    <c16:uniqueId val="{00000000-288C-4801-B3D0-B9675693032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pqqqqr!$H$37</c15:sqref>
                        </c15:formulaRef>
                      </c:ext>
                    </c:extLst>
                    <c:strCache>
                      <c:ptCount val="1"/>
                      <c:pt idx="0">
                        <c:v>AGOSTO</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extLst xmlns:c15="http://schemas.microsoft.com/office/drawing/2012/chart">
                      <c:ext xmlns:c15="http://schemas.microsoft.com/office/drawing/2012/chart" uri="{02D57815-91ED-43cb-92C2-25804820EDAC}">
                        <c15:formulaRef>
                          <c15:sqref>pqqqqr!$I$27:$N$29</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xmlns:c15="http://schemas.microsoft.com/office/drawing/2012/chart">
                      <c:ext xmlns:c15="http://schemas.microsoft.com/office/drawing/2012/chart" uri="{02D57815-91ED-43cb-92C2-25804820EDAC}">
                        <c15:formulaRef>
                          <c15:sqref>pqqqqr!$I$37:$N$37</c15:sqref>
                        </c15:formulaRef>
                      </c:ext>
                    </c:extLst>
                    <c:numCache>
                      <c:formatCode>General</c:formatCode>
                      <c:ptCount val="6"/>
                      <c:pt idx="0">
                        <c:v>96</c:v>
                      </c:pt>
                      <c:pt idx="1">
                        <c:v>56</c:v>
                      </c:pt>
                      <c:pt idx="2">
                        <c:v>42</c:v>
                      </c:pt>
                      <c:pt idx="3">
                        <c:v>55</c:v>
                      </c:pt>
                      <c:pt idx="4">
                        <c:v>12</c:v>
                      </c:pt>
                      <c:pt idx="5">
                        <c:v>47</c:v>
                      </c:pt>
                    </c:numCache>
                  </c:numRef>
                </c:val>
                <c:extLst xmlns:c15="http://schemas.microsoft.com/office/drawing/2012/chart">
                  <c:ext xmlns:c16="http://schemas.microsoft.com/office/drawing/2014/chart" uri="{C3380CC4-5D6E-409C-BE32-E72D297353CC}">
                    <c16:uniqueId val="{0000000C-C3BB-4A32-AA36-ADB8A11A540E}"/>
                  </c:ext>
                </c:extLst>
              </c15:ser>
            </c15:filteredBarSeries>
          </c:ext>
        </c:extLst>
      </c:barChart>
      <c:catAx>
        <c:axId val="1527427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27412543"/>
        <c:crosses val="autoZero"/>
        <c:auto val="1"/>
        <c:lblAlgn val="ctr"/>
        <c:lblOffset val="100"/>
        <c:noMultiLvlLbl val="0"/>
      </c:catAx>
      <c:valAx>
        <c:axId val="15274125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2742790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PQR SERVICIOS INMOBILIARIOS 2025</a:t>
            </a:r>
            <a:r>
              <a:rPr lang="en-US" baseline="0"/>
              <a:t> VS 2026</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3.4761018001241463E-2"/>
          <c:y val="0.21704771425252525"/>
          <c:w val="0.94537554314090622"/>
          <c:h val="0.63670075819552829"/>
        </c:manualLayout>
      </c:layout>
      <c:barChart>
        <c:barDir val="col"/>
        <c:grouping val="clustered"/>
        <c:varyColors val="0"/>
        <c:ser>
          <c:idx val="4"/>
          <c:order val="1"/>
          <c:tx>
            <c:strRef>
              <c:f>pqqqqr!$H$106</c:f>
              <c:strCache>
                <c:ptCount val="1"/>
                <c:pt idx="0">
                  <c:v>TOTAL </c:v>
                </c:pt>
              </c:strCache>
            </c:strRef>
          </c:tx>
          <c:spPr>
            <a:solidFill>
              <a:schemeClr val="accent5">
                <a:alpha val="85000"/>
              </a:schemeClr>
            </a:solidFill>
            <a:ln w="9525" cap="flat" cmpd="sng" algn="ctr">
              <a:solidFill>
                <a:schemeClr val="lt1">
                  <a:alpha val="50000"/>
                </a:schemeClr>
              </a:solidFill>
              <a:round/>
            </a:ln>
            <a:effectLst/>
          </c:spPr>
          <c:invertIfNegative val="0"/>
          <c:dPt>
            <c:idx val="0"/>
            <c:invertIfNegative val="0"/>
            <c:bubble3D val="0"/>
            <c:spPr>
              <a:solidFill>
                <a:srgbClr val="00B0F0"/>
              </a:solidFill>
              <a:ln w="9525" cap="flat" cmpd="sng" algn="ctr">
                <a:solidFill>
                  <a:schemeClr val="lt1">
                    <a:alpha val="50000"/>
                  </a:schemeClr>
                </a:solidFill>
                <a:round/>
              </a:ln>
              <a:effectLst/>
            </c:spPr>
            <c:extLst>
              <c:ext xmlns:c16="http://schemas.microsoft.com/office/drawing/2014/chart" uri="{C3380CC4-5D6E-409C-BE32-E72D297353CC}">
                <c16:uniqueId val="{00000006-51B8-4284-9B62-21DD53BCED68}"/>
              </c:ext>
            </c:extLst>
          </c:dPt>
          <c:dPt>
            <c:idx val="1"/>
            <c:invertIfNegative val="0"/>
            <c:bubble3D val="0"/>
            <c:spPr>
              <a:solidFill>
                <a:srgbClr val="00B0F0"/>
              </a:solidFill>
              <a:ln w="9525" cap="flat" cmpd="sng" algn="ctr">
                <a:solidFill>
                  <a:schemeClr val="lt1">
                    <a:alpha val="50000"/>
                  </a:schemeClr>
                </a:solidFill>
                <a:round/>
              </a:ln>
              <a:effectLst/>
            </c:spPr>
            <c:extLst>
              <c:ext xmlns:c16="http://schemas.microsoft.com/office/drawing/2014/chart" uri="{C3380CC4-5D6E-409C-BE32-E72D297353CC}">
                <c16:uniqueId val="{00000007-51B8-4284-9B62-21DD53BCED68}"/>
              </c:ext>
            </c:extLst>
          </c:dPt>
          <c:dPt>
            <c:idx val="2"/>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8-51B8-4284-9B62-21DD53BCED68}"/>
              </c:ext>
            </c:extLst>
          </c:dPt>
          <c:dPt>
            <c:idx val="3"/>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7-BC94-4892-BDBB-5E7CEB53C9C2}"/>
              </c:ext>
            </c:extLst>
          </c:dPt>
          <c:dPt>
            <c:idx val="4"/>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9-BC94-4892-BDBB-5E7CEB53C9C2}"/>
              </c:ext>
            </c:extLst>
          </c:dPt>
          <c:dPt>
            <c:idx val="5"/>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B-51B8-4284-9B62-21DD53BCED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pqqqqr!$I$96:$N$97</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pqqqqr!$I$106:$N$106</c:f>
              <c:numCache>
                <c:formatCode>General</c:formatCode>
                <c:ptCount val="6"/>
                <c:pt idx="0">
                  <c:v>53</c:v>
                </c:pt>
                <c:pt idx="1">
                  <c:v>46</c:v>
                </c:pt>
                <c:pt idx="2">
                  <c:v>14</c:v>
                </c:pt>
                <c:pt idx="3">
                  <c:v>7</c:v>
                </c:pt>
                <c:pt idx="4">
                  <c:v>2</c:v>
                </c:pt>
                <c:pt idx="5">
                  <c:v>0</c:v>
                </c:pt>
              </c:numCache>
            </c:numRef>
          </c:val>
          <c:extLst>
            <c:ext xmlns:c16="http://schemas.microsoft.com/office/drawing/2014/chart" uri="{C3380CC4-5D6E-409C-BE32-E72D297353CC}">
              <c16:uniqueId val="{00000004-51B8-4284-9B62-21DD53BCED68}"/>
            </c:ext>
          </c:extLst>
        </c:ser>
        <c:dLbls>
          <c:dLblPos val="inEnd"/>
          <c:showLegendKey val="0"/>
          <c:showVal val="1"/>
          <c:showCatName val="0"/>
          <c:showSerName val="0"/>
          <c:showPercent val="0"/>
          <c:showBubbleSize val="0"/>
        </c:dLbls>
        <c:gapWidth val="65"/>
        <c:axId val="1365358111"/>
        <c:axId val="1365361471"/>
        <c:extLst>
          <c:ext xmlns:c15="http://schemas.microsoft.com/office/drawing/2012/chart" uri="{02D57815-91ED-43cb-92C2-25804820EDAC}">
            <c15:filteredBarSeries>
              <c15:ser>
                <c:idx val="0"/>
                <c:order val="0"/>
                <c:tx>
                  <c:strRef>
                    <c:extLst>
                      <c:ext uri="{02D57815-91ED-43cb-92C2-25804820EDAC}">
                        <c15:formulaRef>
                          <c15:sqref>pqqqqr!$H$98</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pqqqqr!$I$96:$N$97</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pqqqqr!$I$98:$N$98</c15:sqref>
                        </c15:formulaRef>
                      </c:ext>
                    </c:extLst>
                    <c:numCache>
                      <c:formatCode>General</c:formatCode>
                      <c:ptCount val="6"/>
                      <c:pt idx="0">
                        <c:v>6</c:v>
                      </c:pt>
                      <c:pt idx="1">
                        <c:v>11</c:v>
                      </c:pt>
                      <c:pt idx="2">
                        <c:v>1</c:v>
                      </c:pt>
                      <c:pt idx="3">
                        <c:v>2</c:v>
                      </c:pt>
                      <c:pt idx="4">
                        <c:v>2</c:v>
                      </c:pt>
                      <c:pt idx="5">
                        <c:v>0</c:v>
                      </c:pt>
                    </c:numCache>
                  </c:numRef>
                </c:val>
                <c:extLst>
                  <c:ext xmlns:c16="http://schemas.microsoft.com/office/drawing/2014/chart" uri="{C3380CC4-5D6E-409C-BE32-E72D297353CC}">
                    <c16:uniqueId val="{00000000-51B8-4284-9B62-21DD53BCED68}"/>
                  </c:ext>
                </c:extLst>
              </c15:ser>
            </c15:filteredBarSeries>
          </c:ext>
        </c:extLst>
      </c:barChart>
      <c:catAx>
        <c:axId val="1365358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65361471"/>
        <c:crosses val="autoZero"/>
        <c:auto val="1"/>
        <c:lblAlgn val="ctr"/>
        <c:lblOffset val="100"/>
        <c:noMultiLvlLbl val="0"/>
      </c:catAx>
      <c:valAx>
        <c:axId val="13653614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6535811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SERVICIOS</a:t>
            </a:r>
            <a:r>
              <a:rPr lang="en-US" b="1" baseline="0"/>
              <a:t> PÚBLICOS NO DOMICILIARIOS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0.32632047576331441"/>
          <c:y val="0.12900900435015589"/>
          <c:w val="0.74419083690488053"/>
          <c:h val="0.49868715213045661"/>
        </c:manualLayout>
      </c:layout>
      <c:barChart>
        <c:barDir val="col"/>
        <c:grouping val="clustered"/>
        <c:varyColors val="0"/>
        <c:ser>
          <c:idx val="0"/>
          <c:order val="0"/>
          <c:tx>
            <c:strRef>
              <c:f>pqqqqr!$C$242</c:f>
              <c:strCache>
                <c:ptCount val="1"/>
                <c:pt idx="0">
                  <c:v>ALUMBRADO PÚBLICO </c:v>
                </c:pt>
              </c:strCache>
            </c:strRef>
          </c:tx>
          <c:spPr>
            <a:solidFill>
              <a:schemeClr val="accent1"/>
            </a:solidFill>
            <a:ln>
              <a:noFill/>
            </a:ln>
            <a:effectLst/>
          </c:spPr>
          <c:invertIfNegative val="0"/>
          <c:cat>
            <c:numRef>
              <c:extLst>
                <c:ext xmlns:c15="http://schemas.microsoft.com/office/drawing/2012/chart" uri="{02D57815-91ED-43cb-92C2-25804820EDAC}">
                  <c15:fullRef>
                    <c15:sqref>pqqqqr!$D$241:$W$241</c15:sqref>
                  </c15:fullRef>
                </c:ext>
              </c:extLst>
              <c:f>(pqqqqr!$D$241:$E$241,pqqqqr!$R$241:$W$241)</c:f>
              <c:numCache>
                <c:formatCode>mmm\-yy</c:formatCode>
                <c:ptCount val="2"/>
                <c:pt idx="0">
                  <c:v>45658</c:v>
                </c:pt>
                <c:pt idx="1">
                  <c:v>46023</c:v>
                </c:pt>
              </c:numCache>
            </c:numRef>
          </c:cat>
          <c:val>
            <c:numRef>
              <c:extLst>
                <c:ext xmlns:c15="http://schemas.microsoft.com/office/drawing/2012/chart" uri="{02D57815-91ED-43cb-92C2-25804820EDAC}">
                  <c15:fullRef>
                    <c15:sqref>pqqqqr!$D$242:$W$242</c15:sqref>
                  </c15:fullRef>
                </c:ext>
              </c:extLst>
              <c:f>(pqqqqr!$D$242:$E$242,pqqqqr!$R$242:$W$242)</c:f>
              <c:numCache>
                <c:formatCode>General</c:formatCode>
                <c:ptCount val="2"/>
                <c:pt idx="0">
                  <c:v>204</c:v>
                </c:pt>
                <c:pt idx="1">
                  <c:v>157</c:v>
                </c:pt>
              </c:numCache>
            </c:numRef>
          </c:val>
          <c:extLst>
            <c:ext xmlns:c16="http://schemas.microsoft.com/office/drawing/2014/chart" uri="{C3380CC4-5D6E-409C-BE32-E72D297353CC}">
              <c16:uniqueId val="{00000000-3EE5-49B4-9AB7-1FC51932BBE3}"/>
            </c:ext>
          </c:extLst>
        </c:ser>
        <c:ser>
          <c:idx val="1"/>
          <c:order val="1"/>
          <c:tx>
            <c:strRef>
              <c:f>pqqqqr!$C$243</c:f>
              <c:strCache>
                <c:ptCount val="1"/>
                <c:pt idx="0">
                  <c:v>SERVICIOS INMOBILIARIOS</c:v>
                </c:pt>
              </c:strCache>
            </c:strRef>
          </c:tx>
          <c:spPr>
            <a:solidFill>
              <a:schemeClr val="accent2"/>
            </a:solidFill>
            <a:ln>
              <a:noFill/>
            </a:ln>
            <a:effectLst/>
          </c:spPr>
          <c:invertIfNegative val="0"/>
          <c:cat>
            <c:numRef>
              <c:extLst>
                <c:ext xmlns:c15="http://schemas.microsoft.com/office/drawing/2012/chart" uri="{02D57815-91ED-43cb-92C2-25804820EDAC}">
                  <c15:fullRef>
                    <c15:sqref>pqqqqr!$D$241:$W$241</c15:sqref>
                  </c15:fullRef>
                </c:ext>
              </c:extLst>
              <c:f>(pqqqqr!$D$241:$E$241,pqqqqr!$R$241:$W$241)</c:f>
              <c:numCache>
                <c:formatCode>mmm\-yy</c:formatCode>
                <c:ptCount val="2"/>
                <c:pt idx="0">
                  <c:v>45658</c:v>
                </c:pt>
                <c:pt idx="1">
                  <c:v>46023</c:v>
                </c:pt>
              </c:numCache>
            </c:numRef>
          </c:cat>
          <c:val>
            <c:numRef>
              <c:extLst>
                <c:ext xmlns:c15="http://schemas.microsoft.com/office/drawing/2012/chart" uri="{02D57815-91ED-43cb-92C2-25804820EDAC}">
                  <c15:fullRef>
                    <c15:sqref>pqqqqr!$D$243:$W$243</c15:sqref>
                  </c15:fullRef>
                </c:ext>
              </c:extLst>
              <c:f>(pqqqqr!$D$243:$E$243,pqqqqr!$R$243:$W$243)</c:f>
              <c:numCache>
                <c:formatCode>General</c:formatCode>
                <c:ptCount val="2"/>
                <c:pt idx="0">
                  <c:v>69</c:v>
                </c:pt>
                <c:pt idx="1">
                  <c:v>53</c:v>
                </c:pt>
              </c:numCache>
            </c:numRef>
          </c:val>
          <c:extLst>
            <c:ext xmlns:c16="http://schemas.microsoft.com/office/drawing/2014/chart" uri="{C3380CC4-5D6E-409C-BE32-E72D297353CC}">
              <c16:uniqueId val="{00000001-3EE5-49B4-9AB7-1FC51932BBE3}"/>
            </c:ext>
          </c:extLst>
        </c:ser>
        <c:ser>
          <c:idx val="2"/>
          <c:order val="2"/>
          <c:tx>
            <c:strRef>
              <c:f>pqqqqr!$C$244</c:f>
              <c:strCache>
                <c:ptCount val="1"/>
                <c:pt idx="0">
                  <c:v>SERVICIOS COMPLEMENTARIOS</c:v>
                </c:pt>
              </c:strCache>
            </c:strRef>
          </c:tx>
          <c:spPr>
            <a:solidFill>
              <a:schemeClr val="accent3"/>
            </a:solidFill>
            <a:ln>
              <a:noFill/>
            </a:ln>
            <a:effectLst/>
          </c:spPr>
          <c:invertIfNegative val="0"/>
          <c:cat>
            <c:numRef>
              <c:extLst>
                <c:ext xmlns:c15="http://schemas.microsoft.com/office/drawing/2012/chart" uri="{02D57815-91ED-43cb-92C2-25804820EDAC}">
                  <c15:fullRef>
                    <c15:sqref>pqqqqr!$D$241:$W$241</c15:sqref>
                  </c15:fullRef>
                </c:ext>
              </c:extLst>
              <c:f>(pqqqqr!$D$241:$E$241,pqqqqr!$R$241:$W$241)</c:f>
              <c:numCache>
                <c:formatCode>mmm\-yy</c:formatCode>
                <c:ptCount val="2"/>
                <c:pt idx="0">
                  <c:v>45658</c:v>
                </c:pt>
                <c:pt idx="1">
                  <c:v>46023</c:v>
                </c:pt>
              </c:numCache>
            </c:numRef>
          </c:cat>
          <c:val>
            <c:numRef>
              <c:extLst>
                <c:ext xmlns:c15="http://schemas.microsoft.com/office/drawing/2012/chart" uri="{02D57815-91ED-43cb-92C2-25804820EDAC}">
                  <c15:fullRef>
                    <c15:sqref>pqqqqr!$D$244:$W$244</c15:sqref>
                  </c15:fullRef>
                </c:ext>
              </c:extLst>
              <c:f>(pqqqqr!$D$244:$E$244,pqqqqr!$R$244:$W$244)</c:f>
              <c:numCache>
                <c:formatCode>General</c:formatCode>
                <c:ptCount val="2"/>
                <c:pt idx="0">
                  <c:v>62</c:v>
                </c:pt>
                <c:pt idx="1">
                  <c:v>64</c:v>
                </c:pt>
              </c:numCache>
            </c:numRef>
          </c:val>
          <c:extLst>
            <c:ext xmlns:c16="http://schemas.microsoft.com/office/drawing/2014/chart" uri="{C3380CC4-5D6E-409C-BE32-E72D297353CC}">
              <c16:uniqueId val="{00000002-3EE5-49B4-9AB7-1FC51932BBE3}"/>
            </c:ext>
          </c:extLst>
        </c:ser>
        <c:dLbls>
          <c:showLegendKey val="0"/>
          <c:showVal val="0"/>
          <c:showCatName val="0"/>
          <c:showSerName val="0"/>
          <c:showPercent val="0"/>
          <c:showBubbleSize val="0"/>
        </c:dLbls>
        <c:gapWidth val="219"/>
        <c:overlap val="-27"/>
        <c:axId val="1988415727"/>
        <c:axId val="1988416687"/>
      </c:barChart>
      <c:lineChart>
        <c:grouping val="standard"/>
        <c:varyColors val="0"/>
        <c:ser>
          <c:idx val="3"/>
          <c:order val="3"/>
          <c:tx>
            <c:strRef>
              <c:f>pqqqqr!$C$245</c:f>
              <c:strCache>
                <c:ptCount val="1"/>
                <c:pt idx="0">
                  <c:v>TOTAL </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pqqqqr!$D$241:$W$241</c15:sqref>
                  </c15:fullRef>
                </c:ext>
              </c:extLst>
              <c:f>(pqqqqr!$D$241:$E$241,pqqqqr!$R$241:$W$241)</c:f>
              <c:numCache>
                <c:formatCode>mmm\-yy</c:formatCode>
                <c:ptCount val="2"/>
                <c:pt idx="0">
                  <c:v>45658</c:v>
                </c:pt>
                <c:pt idx="1">
                  <c:v>46023</c:v>
                </c:pt>
              </c:numCache>
            </c:numRef>
          </c:cat>
          <c:val>
            <c:numRef>
              <c:extLst>
                <c:ext xmlns:c15="http://schemas.microsoft.com/office/drawing/2012/chart" uri="{02D57815-91ED-43cb-92C2-25804820EDAC}">
                  <c15:fullRef>
                    <c15:sqref>pqqqqr!$D$245:$W$245</c15:sqref>
                  </c15:fullRef>
                </c:ext>
              </c:extLst>
              <c:f>(pqqqqr!$D$245:$E$245,pqqqqr!$R$245:$W$245)</c:f>
              <c:numCache>
                <c:formatCode>General</c:formatCode>
                <c:ptCount val="2"/>
                <c:pt idx="0">
                  <c:v>335</c:v>
                </c:pt>
                <c:pt idx="1">
                  <c:v>274</c:v>
                </c:pt>
              </c:numCache>
            </c:numRef>
          </c:val>
          <c:smooth val="0"/>
          <c:extLst>
            <c:ext xmlns:c16="http://schemas.microsoft.com/office/drawing/2014/chart" uri="{C3380CC4-5D6E-409C-BE32-E72D297353CC}">
              <c16:uniqueId val="{00000003-3EE5-49B4-9AB7-1FC51932BBE3}"/>
            </c:ext>
          </c:extLst>
        </c:ser>
        <c:dLbls>
          <c:showLegendKey val="0"/>
          <c:showVal val="0"/>
          <c:showCatName val="0"/>
          <c:showSerName val="0"/>
          <c:showPercent val="0"/>
          <c:showBubbleSize val="0"/>
        </c:dLbls>
        <c:marker val="1"/>
        <c:smooth val="0"/>
        <c:axId val="1988415727"/>
        <c:axId val="1988416687"/>
      </c:lineChart>
      <c:catAx>
        <c:axId val="198841572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6687"/>
        <c:crosses val="autoZero"/>
        <c:auto val="0"/>
        <c:lblAlgn val="ctr"/>
        <c:lblOffset val="100"/>
        <c:noMultiLvlLbl val="0"/>
      </c:cat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SERVICIOS</a:t>
            </a:r>
            <a:r>
              <a:rPr lang="en-US" b="1" baseline="0"/>
              <a:t> PÚBLICOS DOMICILIARIOS</a:t>
            </a:r>
            <a:endParaRPr lang="en-US" b="1"/>
          </a:p>
        </c:rich>
      </c:tx>
      <c:layout>
        <c:manualLayout>
          <c:xMode val="edge"/>
          <c:yMode val="edge"/>
          <c:x val="0.23344144144144144"/>
          <c:y val="2.9387069689336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706350139068437"/>
          <c:y val="0.17171302595674123"/>
          <c:w val="0.8357596237970254"/>
          <c:h val="0.502376786235054"/>
        </c:manualLayout>
      </c:layout>
      <c:barChart>
        <c:barDir val="col"/>
        <c:grouping val="clustered"/>
        <c:varyColors val="0"/>
        <c:ser>
          <c:idx val="0"/>
          <c:order val="0"/>
          <c:tx>
            <c:strRef>
              <c:f>pqqqqr!$B$177</c:f>
              <c:strCache>
                <c:ptCount val="1"/>
                <c:pt idx="0">
                  <c:v>2025</c:v>
                </c:pt>
              </c:strCache>
            </c:strRef>
          </c:tx>
          <c:spPr>
            <a:solidFill>
              <a:schemeClr val="accent1"/>
            </a:solidFill>
            <a:ln>
              <a:noFill/>
            </a:ln>
            <a:effectLst/>
          </c:spPr>
          <c:invertIfNegative val="0"/>
          <c:cat>
            <c:strRef>
              <c:f>pqqqqr!$C$176:$E$176</c:f>
              <c:strCache>
                <c:ptCount val="3"/>
                <c:pt idx="0">
                  <c:v>ACUEDUCTO </c:v>
                </c:pt>
                <c:pt idx="1">
                  <c:v>ALCANTARILLADO </c:v>
                </c:pt>
                <c:pt idx="2">
                  <c:v>ASEO </c:v>
                </c:pt>
              </c:strCache>
            </c:strRef>
          </c:cat>
          <c:val>
            <c:numRef>
              <c:f>pqqqqr!$C$177:$E$177</c:f>
              <c:numCache>
                <c:formatCode>General</c:formatCode>
                <c:ptCount val="3"/>
                <c:pt idx="0">
                  <c:v>1616</c:v>
                </c:pt>
                <c:pt idx="1">
                  <c:v>1464</c:v>
                </c:pt>
                <c:pt idx="2">
                  <c:v>1721</c:v>
                </c:pt>
              </c:numCache>
            </c:numRef>
          </c:val>
          <c:extLst>
            <c:ext xmlns:c16="http://schemas.microsoft.com/office/drawing/2014/chart" uri="{C3380CC4-5D6E-409C-BE32-E72D297353CC}">
              <c16:uniqueId val="{00000000-5AB0-458D-B63F-34522E45E58B}"/>
            </c:ext>
          </c:extLst>
        </c:ser>
        <c:ser>
          <c:idx val="1"/>
          <c:order val="1"/>
          <c:tx>
            <c:strRef>
              <c:f>pqqqqr!$B$178</c:f>
              <c:strCache>
                <c:ptCount val="1"/>
                <c:pt idx="0">
                  <c:v>2026</c:v>
                </c:pt>
              </c:strCache>
            </c:strRef>
          </c:tx>
          <c:spPr>
            <a:solidFill>
              <a:schemeClr val="accent2"/>
            </a:solidFill>
            <a:ln>
              <a:noFill/>
            </a:ln>
            <a:effectLst/>
          </c:spPr>
          <c:invertIfNegative val="0"/>
          <c:cat>
            <c:strRef>
              <c:f>pqqqqr!$C$176:$E$176</c:f>
              <c:strCache>
                <c:ptCount val="3"/>
                <c:pt idx="0">
                  <c:v>ACUEDUCTO </c:v>
                </c:pt>
                <c:pt idx="1">
                  <c:v>ALCANTARILLADO </c:v>
                </c:pt>
                <c:pt idx="2">
                  <c:v>ASEO </c:v>
                </c:pt>
              </c:strCache>
            </c:strRef>
          </c:cat>
          <c:val>
            <c:numRef>
              <c:f>pqqqqr!$C$178:$E$178</c:f>
              <c:numCache>
                <c:formatCode>General</c:formatCode>
                <c:ptCount val="3"/>
                <c:pt idx="0">
                  <c:v>1725</c:v>
                </c:pt>
                <c:pt idx="1">
                  <c:v>1436</c:v>
                </c:pt>
                <c:pt idx="2">
                  <c:v>1617</c:v>
                </c:pt>
              </c:numCache>
            </c:numRef>
          </c:val>
          <c:extLst>
            <c:ext xmlns:c16="http://schemas.microsoft.com/office/drawing/2014/chart" uri="{C3380CC4-5D6E-409C-BE32-E72D297353CC}">
              <c16:uniqueId val="{00000001-5AB0-458D-B63F-34522E45E58B}"/>
            </c:ext>
          </c:extLst>
        </c:ser>
        <c:dLbls>
          <c:showLegendKey val="0"/>
          <c:showVal val="0"/>
          <c:showCatName val="0"/>
          <c:showSerName val="0"/>
          <c:showPercent val="0"/>
          <c:showBubbleSize val="0"/>
        </c:dLbls>
        <c:gapWidth val="219"/>
        <c:overlap val="-27"/>
        <c:axId val="242796047"/>
        <c:axId val="242788847"/>
      </c:barChart>
      <c:catAx>
        <c:axId val="2427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788847"/>
        <c:crosses val="autoZero"/>
        <c:auto val="1"/>
        <c:lblAlgn val="ctr"/>
        <c:lblOffset val="100"/>
        <c:noMultiLvlLbl val="0"/>
      </c:catAx>
      <c:valAx>
        <c:axId val="2427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796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SERVICIOS</a:t>
            </a:r>
            <a:r>
              <a:rPr lang="en-US" b="1" baseline="0"/>
              <a:t> PÚBLICOS  NO DOMICILIARIOS</a:t>
            </a:r>
            <a:endParaRPr lang="en-US" b="1"/>
          </a:p>
        </c:rich>
      </c:tx>
      <c:layout>
        <c:manualLayout>
          <c:xMode val="edge"/>
          <c:yMode val="edge"/>
          <c:x val="0.22034026465028356"/>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79593175853017"/>
          <c:y val="0.17171296296296298"/>
          <c:w val="0.8357596237970254"/>
          <c:h val="0.502376786235054"/>
        </c:manualLayout>
      </c:layout>
      <c:barChart>
        <c:barDir val="col"/>
        <c:grouping val="clustered"/>
        <c:varyColors val="0"/>
        <c:ser>
          <c:idx val="0"/>
          <c:order val="0"/>
          <c:tx>
            <c:strRef>
              <c:f>pqqqqr!$B$197</c:f>
              <c:strCache>
                <c:ptCount val="1"/>
                <c:pt idx="0">
                  <c:v>2025</c:v>
                </c:pt>
              </c:strCache>
            </c:strRef>
          </c:tx>
          <c:spPr>
            <a:solidFill>
              <a:schemeClr val="accent1"/>
            </a:solidFill>
            <a:ln>
              <a:noFill/>
            </a:ln>
            <a:effectLst/>
          </c:spPr>
          <c:invertIfNegative val="0"/>
          <c:cat>
            <c:strRef>
              <c:f>pqqqqr!$C$196:$E$196</c:f>
              <c:strCache>
                <c:ptCount val="3"/>
                <c:pt idx="0">
                  <c:v>ALUMBRADO
PÚBLICO </c:v>
                </c:pt>
                <c:pt idx="1">
                  <c:v>SERVICIOS
 INMOBILIARIOS</c:v>
                </c:pt>
                <c:pt idx="2">
                  <c:v>SERVICIOS COMPLEMENTARIOS</c:v>
                </c:pt>
              </c:strCache>
            </c:strRef>
          </c:cat>
          <c:val>
            <c:numRef>
              <c:f>pqqqqr!$C$197:$E$197</c:f>
              <c:numCache>
                <c:formatCode>General</c:formatCode>
                <c:ptCount val="3"/>
                <c:pt idx="0">
                  <c:v>204</c:v>
                </c:pt>
                <c:pt idx="1">
                  <c:v>69</c:v>
                </c:pt>
                <c:pt idx="2">
                  <c:v>62</c:v>
                </c:pt>
              </c:numCache>
            </c:numRef>
          </c:val>
          <c:extLst>
            <c:ext xmlns:c16="http://schemas.microsoft.com/office/drawing/2014/chart" uri="{C3380CC4-5D6E-409C-BE32-E72D297353CC}">
              <c16:uniqueId val="{00000000-9266-49B8-818A-26800F4B7897}"/>
            </c:ext>
          </c:extLst>
        </c:ser>
        <c:ser>
          <c:idx val="1"/>
          <c:order val="1"/>
          <c:tx>
            <c:strRef>
              <c:f>pqqqqr!$B$198</c:f>
              <c:strCache>
                <c:ptCount val="1"/>
                <c:pt idx="0">
                  <c:v>2026</c:v>
                </c:pt>
              </c:strCache>
            </c:strRef>
          </c:tx>
          <c:spPr>
            <a:solidFill>
              <a:schemeClr val="accent2"/>
            </a:solidFill>
            <a:ln>
              <a:noFill/>
            </a:ln>
            <a:effectLst/>
          </c:spPr>
          <c:invertIfNegative val="0"/>
          <c:cat>
            <c:strRef>
              <c:f>pqqqqr!$C$196:$E$196</c:f>
              <c:strCache>
                <c:ptCount val="3"/>
                <c:pt idx="0">
                  <c:v>ALUMBRADO
PÚBLICO </c:v>
                </c:pt>
                <c:pt idx="1">
                  <c:v>SERVICIOS
 INMOBILIARIOS</c:v>
                </c:pt>
                <c:pt idx="2">
                  <c:v>SERVICIOS COMPLEMENTARIOS</c:v>
                </c:pt>
              </c:strCache>
            </c:strRef>
          </c:cat>
          <c:val>
            <c:numRef>
              <c:f>pqqqqr!$C$198:$E$198</c:f>
              <c:numCache>
                <c:formatCode>General</c:formatCode>
                <c:ptCount val="3"/>
                <c:pt idx="0">
                  <c:v>157</c:v>
                </c:pt>
                <c:pt idx="1">
                  <c:v>53</c:v>
                </c:pt>
                <c:pt idx="2">
                  <c:v>64</c:v>
                </c:pt>
              </c:numCache>
            </c:numRef>
          </c:val>
          <c:extLst>
            <c:ext xmlns:c16="http://schemas.microsoft.com/office/drawing/2014/chart" uri="{C3380CC4-5D6E-409C-BE32-E72D297353CC}">
              <c16:uniqueId val="{00000001-9266-49B8-818A-26800F4B7897}"/>
            </c:ext>
          </c:extLst>
        </c:ser>
        <c:dLbls>
          <c:showLegendKey val="0"/>
          <c:showVal val="0"/>
          <c:showCatName val="0"/>
          <c:showSerName val="0"/>
          <c:showPercent val="0"/>
          <c:showBubbleSize val="0"/>
        </c:dLbls>
        <c:gapWidth val="219"/>
        <c:overlap val="-27"/>
        <c:axId val="242796047"/>
        <c:axId val="242788847"/>
      </c:barChart>
      <c:catAx>
        <c:axId val="24279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788847"/>
        <c:crosses val="autoZero"/>
        <c:auto val="1"/>
        <c:lblAlgn val="ctr"/>
        <c:lblOffset val="100"/>
        <c:noMultiLvlLbl val="0"/>
      </c:catAx>
      <c:valAx>
        <c:axId val="2427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2796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PQR ASEO 2025 VS 2026</a:t>
            </a:r>
            <a:r>
              <a:rPr lang="en-US"/>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1"/>
          <c:order val="1"/>
          <c:tx>
            <c:strRef>
              <c:f>pqqqqr!$H$59</c:f>
              <c:strCache>
                <c:ptCount val="1"/>
                <c:pt idx="0">
                  <c:v>TOTAL </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9-E0F9-4150-B795-04764D6D9BBD}"/>
              </c:ext>
            </c:extLst>
          </c:dPt>
          <c:dPt>
            <c:idx val="1"/>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A-E0F9-4150-B795-04764D6D9BBD}"/>
              </c:ext>
            </c:extLst>
          </c:dPt>
          <c:dPt>
            <c:idx val="2"/>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B-E0F9-4150-B795-04764D6D9BBD}"/>
              </c:ext>
            </c:extLst>
          </c:dPt>
          <c:dPt>
            <c:idx val="3"/>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C-E0F9-4150-B795-04764D6D9B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pqqqqr!$I$48:$N$50</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pqqqqr!$I$59:$N$59</c:f>
              <c:numCache>
                <c:formatCode>General</c:formatCode>
                <c:ptCount val="6"/>
                <c:pt idx="0">
                  <c:v>1530</c:v>
                </c:pt>
                <c:pt idx="1">
                  <c:v>1403</c:v>
                </c:pt>
                <c:pt idx="2">
                  <c:v>127</c:v>
                </c:pt>
                <c:pt idx="3">
                  <c:v>101</c:v>
                </c:pt>
                <c:pt idx="4">
                  <c:v>64</c:v>
                </c:pt>
                <c:pt idx="5">
                  <c:v>113</c:v>
                </c:pt>
              </c:numCache>
            </c:numRef>
          </c:val>
          <c:extLst>
            <c:ext xmlns:c16="http://schemas.microsoft.com/office/drawing/2014/chart" uri="{C3380CC4-5D6E-409C-BE32-E72D297353CC}">
              <c16:uniqueId val="{00000001-E0F9-4150-B795-04764D6D9BBD}"/>
            </c:ext>
          </c:extLst>
        </c:ser>
        <c:dLbls>
          <c:dLblPos val="inEnd"/>
          <c:showLegendKey val="0"/>
          <c:showVal val="1"/>
          <c:showCatName val="0"/>
          <c:showSerName val="0"/>
          <c:showPercent val="0"/>
          <c:showBubbleSize val="0"/>
        </c:dLbls>
        <c:gapWidth val="65"/>
        <c:axId val="119934623"/>
        <c:axId val="119929823"/>
        <c:extLst>
          <c:ext xmlns:c15="http://schemas.microsoft.com/office/drawing/2012/chart" uri="{02D57815-91ED-43cb-92C2-25804820EDAC}">
            <c15:filteredBarSeries>
              <c15:ser>
                <c:idx val="0"/>
                <c:order val="0"/>
                <c:tx>
                  <c:strRef>
                    <c:extLst>
                      <c:ext uri="{02D57815-91ED-43cb-92C2-25804820EDAC}">
                        <c15:formulaRef>
                          <c15:sqref>pqqqqr!$H$51</c15:sqref>
                        </c15:formulaRef>
                      </c:ext>
                    </c:extLst>
                    <c:strCache>
                      <c:ptCount val="1"/>
                      <c:pt idx="0">
                        <c:v>ENERO </c:v>
                      </c:pt>
                    </c:strCache>
                  </c:strRef>
                </c:tx>
                <c:spPr>
                  <a:solidFill>
                    <a:schemeClr val="accent4"/>
                  </a:solidFill>
                  <a:ln w="9525" cap="flat" cmpd="sng" algn="ctr">
                    <a:solidFill>
                      <a:schemeClr val="lt1">
                        <a:alpha val="50000"/>
                      </a:schemeClr>
                    </a:solidFill>
                    <a:round/>
                  </a:ln>
                  <a:effectLst/>
                </c:spPr>
                <c:invertIfNegative val="0"/>
                <c:dPt>
                  <c:idx val="2"/>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5-E0F9-4150-B795-04764D6D9BBD}"/>
                    </c:ext>
                  </c:extLst>
                </c:dPt>
                <c:dPt>
                  <c:idx val="3"/>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6-E0F9-4150-B795-04764D6D9BBD}"/>
                    </c:ext>
                  </c:extLst>
                </c:dPt>
                <c:dPt>
                  <c:idx val="4"/>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7-E0F9-4150-B795-04764D6D9BBD}"/>
                    </c:ext>
                  </c:extLst>
                </c:dPt>
                <c:dPt>
                  <c:idx val="5"/>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8-E0F9-4150-B795-04764D6D9BB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pqqqqr!$I$48:$N$50</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pqqqqr!$I$51:$N$51</c15:sqref>
                        </c15:formulaRef>
                      </c:ext>
                    </c:extLst>
                    <c:numCache>
                      <c:formatCode>General</c:formatCode>
                      <c:ptCount val="6"/>
                      <c:pt idx="0">
                        <c:v>164</c:v>
                      </c:pt>
                      <c:pt idx="1">
                        <c:v>165</c:v>
                      </c:pt>
                      <c:pt idx="2">
                        <c:v>15</c:v>
                      </c:pt>
                      <c:pt idx="3">
                        <c:v>13</c:v>
                      </c:pt>
                      <c:pt idx="4">
                        <c:v>8</c:v>
                      </c:pt>
                      <c:pt idx="5">
                        <c:v>10</c:v>
                      </c:pt>
                    </c:numCache>
                  </c:numRef>
                </c:val>
                <c:extLst>
                  <c:ext xmlns:c16="http://schemas.microsoft.com/office/drawing/2014/chart" uri="{C3380CC4-5D6E-409C-BE32-E72D297353CC}">
                    <c16:uniqueId val="{00000000-E0F9-4150-B795-04764D6D9BBD}"/>
                  </c:ext>
                </c:extLst>
              </c15:ser>
            </c15:filteredBarSeries>
          </c:ext>
        </c:extLst>
      </c:barChart>
      <c:catAx>
        <c:axId val="119934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19929823"/>
        <c:crosses val="autoZero"/>
        <c:auto val="1"/>
        <c:lblAlgn val="ctr"/>
        <c:lblOffset val="100"/>
        <c:noMultiLvlLbl val="0"/>
      </c:catAx>
      <c:valAx>
        <c:axId val="1199298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93462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PQR ALUMBRADO PÚBLICO 2025 VS 2026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1"/>
          <c:order val="1"/>
          <c:tx>
            <c:strRef>
              <c:f>pqqqqr!$H$86</c:f>
              <c:strCache>
                <c:ptCount val="1"/>
                <c:pt idx="0">
                  <c:v>TOTAL </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6-BA60-4F09-BE9A-BA184B350C7D}"/>
              </c:ext>
            </c:extLst>
          </c:dPt>
          <c:dPt>
            <c:idx val="1"/>
            <c:invertIfNegative val="0"/>
            <c:bubble3D val="0"/>
            <c:spPr>
              <a:solidFill>
                <a:schemeClr val="accent1">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2F41-47A4-A413-CCDEB9770EDF}"/>
              </c:ext>
            </c:extLst>
          </c:dPt>
          <c:dPt>
            <c:idx val="2"/>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7-BA60-4F09-BE9A-BA184B350C7D}"/>
              </c:ext>
            </c:extLst>
          </c:dPt>
          <c:dPt>
            <c:idx val="3"/>
            <c:invertIfNegative val="0"/>
            <c:bubble3D val="0"/>
            <c:spPr>
              <a:solidFill>
                <a:srgbClr val="00B050"/>
              </a:solidFill>
              <a:ln w="9525" cap="flat" cmpd="sng" algn="ctr">
                <a:solidFill>
                  <a:schemeClr val="lt1">
                    <a:alpha val="50000"/>
                  </a:schemeClr>
                </a:solidFill>
                <a:round/>
              </a:ln>
              <a:effectLst/>
            </c:spPr>
            <c:extLst>
              <c:ext xmlns:c16="http://schemas.microsoft.com/office/drawing/2014/chart" uri="{C3380CC4-5D6E-409C-BE32-E72D297353CC}">
                <c16:uniqueId val="{00000007-2F41-47A4-A413-CCDEB9770E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pqqqqr!$I$75:$N$77</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pqqqqr!$I$86:$N$86</c:f>
              <c:numCache>
                <c:formatCode>General</c:formatCode>
                <c:ptCount val="6"/>
                <c:pt idx="0">
                  <c:v>14</c:v>
                </c:pt>
                <c:pt idx="1">
                  <c:v>21</c:v>
                </c:pt>
                <c:pt idx="2">
                  <c:v>176</c:v>
                </c:pt>
                <c:pt idx="3">
                  <c:v>106</c:v>
                </c:pt>
                <c:pt idx="4">
                  <c:v>14</c:v>
                </c:pt>
                <c:pt idx="5">
                  <c:v>30</c:v>
                </c:pt>
              </c:numCache>
            </c:numRef>
          </c:val>
          <c:extLst>
            <c:ext xmlns:c16="http://schemas.microsoft.com/office/drawing/2014/chart" uri="{C3380CC4-5D6E-409C-BE32-E72D297353CC}">
              <c16:uniqueId val="{00000001-BA60-4F09-BE9A-BA184B350C7D}"/>
            </c:ext>
          </c:extLst>
        </c:ser>
        <c:dLbls>
          <c:dLblPos val="inEnd"/>
          <c:showLegendKey val="0"/>
          <c:showVal val="1"/>
          <c:showCatName val="0"/>
          <c:showSerName val="0"/>
          <c:showPercent val="0"/>
          <c:showBubbleSize val="0"/>
        </c:dLbls>
        <c:gapWidth val="65"/>
        <c:axId val="791961199"/>
        <c:axId val="791957359"/>
        <c:extLst>
          <c:ext xmlns:c15="http://schemas.microsoft.com/office/drawing/2012/chart" uri="{02D57815-91ED-43cb-92C2-25804820EDAC}">
            <c15:filteredBarSeries>
              <c15:ser>
                <c:idx val="0"/>
                <c:order val="0"/>
                <c:tx>
                  <c:strRef>
                    <c:extLst>
                      <c:ext uri="{02D57815-91ED-43cb-92C2-25804820EDAC}">
                        <c15:formulaRef>
                          <c15:sqref>pqqqqr!$H$78</c15:sqref>
                        </c15:formulaRef>
                      </c:ext>
                    </c:extLst>
                    <c:strCache>
                      <c:ptCount val="1"/>
                      <c:pt idx="0">
                        <c:v>ENERO </c:v>
                      </c:pt>
                    </c:strCache>
                  </c:strRef>
                </c:tx>
                <c:spPr>
                  <a:solidFill>
                    <a:schemeClr val="accent4"/>
                  </a:solidFill>
                  <a:ln w="9525" cap="flat" cmpd="sng" algn="ctr">
                    <a:solidFill>
                      <a:schemeClr val="lt1">
                        <a:alpha val="50000"/>
                      </a:schemeClr>
                    </a:solidFill>
                    <a:round/>
                  </a:ln>
                  <a:effectLst/>
                </c:spPr>
                <c:invertIfNegative val="0"/>
                <c:dPt>
                  <c:idx val="2"/>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5-BA60-4F09-BE9A-BA184B350C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pqqqqr!$I$75:$N$77</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pqqqqr!$I$78:$N$78</c15:sqref>
                        </c15:formulaRef>
                      </c:ext>
                    </c:extLst>
                    <c:numCache>
                      <c:formatCode>General</c:formatCode>
                      <c:ptCount val="6"/>
                      <c:pt idx="0">
                        <c:v>3</c:v>
                      </c:pt>
                      <c:pt idx="1">
                        <c:v>3</c:v>
                      </c:pt>
                      <c:pt idx="2">
                        <c:v>16</c:v>
                      </c:pt>
                      <c:pt idx="3">
                        <c:v>10</c:v>
                      </c:pt>
                      <c:pt idx="4">
                        <c:v>0</c:v>
                      </c:pt>
                      <c:pt idx="5">
                        <c:v>5</c:v>
                      </c:pt>
                    </c:numCache>
                  </c:numRef>
                </c:val>
                <c:extLst>
                  <c:ext xmlns:c16="http://schemas.microsoft.com/office/drawing/2014/chart" uri="{C3380CC4-5D6E-409C-BE32-E72D297353CC}">
                    <c16:uniqueId val="{00000000-BA60-4F09-BE9A-BA184B350C7D}"/>
                  </c:ext>
                </c:extLst>
              </c15:ser>
            </c15:filteredBarSeries>
          </c:ext>
        </c:extLst>
      </c:barChart>
      <c:catAx>
        <c:axId val="7919611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791957359"/>
        <c:crosses val="autoZero"/>
        <c:auto val="1"/>
        <c:lblAlgn val="ctr"/>
        <c:lblOffset val="100"/>
        <c:noMultiLvlLbl val="0"/>
      </c:catAx>
      <c:valAx>
        <c:axId val="791957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919611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rPr>
              <a:t>PQR ACUEDUCTO 2025 VS 2026</a:t>
            </a: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col"/>
        <c:grouping val="clustered"/>
        <c:varyColors val="0"/>
        <c:ser>
          <c:idx val="1"/>
          <c:order val="1"/>
          <c:tx>
            <c:strRef>
              <c:f>pqqqqr!$H$16</c:f>
              <c:strCache>
                <c:ptCount val="1"/>
                <c:pt idx="0">
                  <c:v>TOTAL </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5-076E-413C-A2DD-86DA183D9473}"/>
              </c:ext>
            </c:extLst>
          </c:dPt>
          <c:dPt>
            <c:idx val="1"/>
            <c:invertIfNegative val="0"/>
            <c:bubble3D val="0"/>
            <c:spPr>
              <a:solidFill>
                <a:schemeClr val="accent4"/>
              </a:solidFill>
              <a:ln w="9525" cap="flat" cmpd="sng" algn="ctr">
                <a:solidFill>
                  <a:schemeClr val="lt1">
                    <a:alpha val="50000"/>
                  </a:schemeClr>
                </a:solidFill>
                <a:round/>
              </a:ln>
              <a:effectLst/>
            </c:spPr>
            <c:extLst>
              <c:ext xmlns:c16="http://schemas.microsoft.com/office/drawing/2014/chart" uri="{C3380CC4-5D6E-409C-BE32-E72D297353CC}">
                <c16:uniqueId val="{00000006-076E-413C-A2DD-86DA183D9473}"/>
              </c:ext>
            </c:extLst>
          </c:dPt>
          <c:dPt>
            <c:idx val="2"/>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7-076E-413C-A2DD-86DA183D9473}"/>
              </c:ext>
            </c:extLst>
          </c:dPt>
          <c:dPt>
            <c:idx val="3"/>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8-076E-413C-A2DD-86DA183D94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pqqqqr!$I$5:$N$7</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pqqqqr!$I$16:$N$16</c:f>
              <c:numCache>
                <c:formatCode>General</c:formatCode>
                <c:ptCount val="6"/>
                <c:pt idx="0">
                  <c:v>876</c:v>
                </c:pt>
                <c:pt idx="1">
                  <c:v>636</c:v>
                </c:pt>
                <c:pt idx="2">
                  <c:v>561</c:v>
                </c:pt>
                <c:pt idx="3">
                  <c:v>700</c:v>
                </c:pt>
                <c:pt idx="4">
                  <c:v>179</c:v>
                </c:pt>
                <c:pt idx="5">
                  <c:v>389</c:v>
                </c:pt>
              </c:numCache>
            </c:numRef>
          </c:val>
          <c:extLst>
            <c:ext xmlns:c16="http://schemas.microsoft.com/office/drawing/2014/chart" uri="{C3380CC4-5D6E-409C-BE32-E72D297353CC}">
              <c16:uniqueId val="{00000001-076E-413C-A2DD-86DA183D9473}"/>
            </c:ext>
          </c:extLst>
        </c:ser>
        <c:dLbls>
          <c:dLblPos val="inEnd"/>
          <c:showLegendKey val="0"/>
          <c:showVal val="1"/>
          <c:showCatName val="0"/>
          <c:showSerName val="0"/>
          <c:showPercent val="0"/>
          <c:showBubbleSize val="0"/>
        </c:dLbls>
        <c:gapWidth val="65"/>
        <c:axId val="2074770047"/>
        <c:axId val="2074767167"/>
        <c:extLst>
          <c:ext xmlns:c15="http://schemas.microsoft.com/office/drawing/2012/chart" uri="{02D57815-91ED-43cb-92C2-25804820EDAC}">
            <c15:filteredBarSeries>
              <c15:ser>
                <c:idx val="0"/>
                <c:order val="0"/>
                <c:tx>
                  <c:strRef>
                    <c:extLst>
                      <c:ext uri="{02D57815-91ED-43cb-92C2-25804820EDAC}">
                        <c15:formulaRef>
                          <c15:sqref>pqqqqr!$H$8</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pqqqqr!$I$5:$N$7</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pqqqqr!$I$8:$N$8</c15:sqref>
                        </c15:formulaRef>
                      </c:ext>
                    </c:extLst>
                    <c:numCache>
                      <c:formatCode>General</c:formatCode>
                      <c:ptCount val="6"/>
                      <c:pt idx="0">
                        <c:v>77</c:v>
                      </c:pt>
                      <c:pt idx="1">
                        <c:v>83</c:v>
                      </c:pt>
                      <c:pt idx="2">
                        <c:v>60</c:v>
                      </c:pt>
                      <c:pt idx="3">
                        <c:v>67</c:v>
                      </c:pt>
                      <c:pt idx="4">
                        <c:v>26</c:v>
                      </c:pt>
                      <c:pt idx="5">
                        <c:v>28</c:v>
                      </c:pt>
                    </c:numCache>
                  </c:numRef>
                </c:val>
                <c:extLst>
                  <c:ext xmlns:c16="http://schemas.microsoft.com/office/drawing/2014/chart" uri="{C3380CC4-5D6E-409C-BE32-E72D297353CC}">
                    <c16:uniqueId val="{00000000-076E-413C-A2DD-86DA183D9473}"/>
                  </c:ext>
                </c:extLst>
              </c15:ser>
            </c15:filteredBarSeries>
          </c:ext>
        </c:extLst>
      </c:barChart>
      <c:catAx>
        <c:axId val="2074770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2074767167"/>
        <c:crosses val="autoZero"/>
        <c:auto val="1"/>
        <c:lblAlgn val="ctr"/>
        <c:lblOffset val="100"/>
        <c:noMultiLvlLbl val="0"/>
      </c:catAx>
      <c:valAx>
        <c:axId val="20747671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477004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rPr>
              <a:t>PQR SERVICIOS COMPLEMENTARIOS 2025 VS 2026</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barChart>
        <c:barDir val="col"/>
        <c:grouping val="clustered"/>
        <c:varyColors val="0"/>
        <c:ser>
          <c:idx val="1"/>
          <c:order val="1"/>
          <c:tx>
            <c:strRef>
              <c:f>pqqqqr!$H$124</c:f>
              <c:strCache>
                <c:ptCount val="1"/>
                <c:pt idx="0">
                  <c:v>TOTAL </c:v>
                </c:pt>
              </c:strCache>
            </c:strRef>
          </c:tx>
          <c:spPr>
            <a:solidFill>
              <a:schemeClr val="accent4"/>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pqqqqr!$I$113:$N$115</c:f>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f>pqqqqr!$I$124:$N$124</c:f>
              <c:numCache>
                <c:formatCode>General</c:formatCode>
                <c:ptCount val="6"/>
                <c:pt idx="0">
                  <c:v>62</c:v>
                </c:pt>
                <c:pt idx="1">
                  <c:v>64</c:v>
                </c:pt>
                <c:pt idx="2">
                  <c:v>0</c:v>
                </c:pt>
                <c:pt idx="3">
                  <c:v>0</c:v>
                </c:pt>
                <c:pt idx="4">
                  <c:v>0</c:v>
                </c:pt>
                <c:pt idx="5">
                  <c:v>0</c:v>
                </c:pt>
              </c:numCache>
            </c:numRef>
          </c:val>
          <c:extLst>
            <c:ext xmlns:c16="http://schemas.microsoft.com/office/drawing/2014/chart" uri="{C3380CC4-5D6E-409C-BE32-E72D297353CC}">
              <c16:uniqueId val="{00000001-1E36-4C27-9E5A-5973626DCA64}"/>
            </c:ext>
          </c:extLst>
        </c:ser>
        <c:dLbls>
          <c:dLblPos val="inEnd"/>
          <c:showLegendKey val="0"/>
          <c:showVal val="1"/>
          <c:showCatName val="0"/>
          <c:showSerName val="0"/>
          <c:showPercent val="0"/>
          <c:showBubbleSize val="0"/>
        </c:dLbls>
        <c:gapWidth val="65"/>
        <c:axId val="119931263"/>
        <c:axId val="119935583"/>
        <c:extLst>
          <c:ext xmlns:c15="http://schemas.microsoft.com/office/drawing/2012/chart" uri="{02D57815-91ED-43cb-92C2-25804820EDAC}">
            <c15:filteredBarSeries>
              <c15:ser>
                <c:idx val="0"/>
                <c:order val="0"/>
                <c:tx>
                  <c:strRef>
                    <c:extLst>
                      <c:ext uri="{02D57815-91ED-43cb-92C2-25804820EDAC}">
                        <c15:formulaRef>
                          <c15:sqref>pqqqqr!$H$116</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pqqqqr!$I$113:$N$115</c15:sqref>
                        </c15:formulaRef>
                      </c:ext>
                    </c:extLst>
                    <c:multiLvlStrCache>
                      <c:ptCount val="6"/>
                      <c:lvl>
                        <c:pt idx="0">
                          <c:v>2025</c:v>
                        </c:pt>
                        <c:pt idx="1">
                          <c:v>2026</c:v>
                        </c:pt>
                        <c:pt idx="2">
                          <c:v>2025</c:v>
                        </c:pt>
                        <c:pt idx="3">
                          <c:v>2026</c:v>
                        </c:pt>
                        <c:pt idx="4">
                          <c:v>2025</c:v>
                        </c:pt>
                        <c:pt idx="5">
                          <c:v>2026</c:v>
                        </c:pt>
                      </c:lvl>
                      <c:lvl>
                        <c:pt idx="0">
                          <c:v>PETICIONES</c:v>
                        </c:pt>
                        <c:pt idx="2">
                          <c:v>QUEJAS</c:v>
                        </c:pt>
                        <c:pt idx="4">
                          <c:v>RECLAMOS</c:v>
                        </c:pt>
                      </c:lvl>
                    </c:multiLvlStrCache>
                  </c:multiLvlStrRef>
                </c:cat>
                <c:val>
                  <c:numRef>
                    <c:extLst>
                      <c:ext uri="{02D57815-91ED-43cb-92C2-25804820EDAC}">
                        <c15:formulaRef>
                          <c15:sqref>pqqqqr!$I$116:$N$116</c15:sqref>
                        </c15:formulaRef>
                      </c:ext>
                    </c:extLst>
                    <c:numCache>
                      <c:formatCode>General</c:formatCode>
                      <c:ptCount val="6"/>
                      <c:pt idx="0">
                        <c:v>2</c:v>
                      </c:pt>
                      <c:pt idx="1">
                        <c:v>4</c:v>
                      </c:pt>
                      <c:pt idx="2">
                        <c:v>0</c:v>
                      </c:pt>
                      <c:pt idx="3">
                        <c:v>0</c:v>
                      </c:pt>
                      <c:pt idx="4">
                        <c:v>0</c:v>
                      </c:pt>
                      <c:pt idx="5">
                        <c:v>0</c:v>
                      </c:pt>
                    </c:numCache>
                  </c:numRef>
                </c:val>
                <c:extLst>
                  <c:ext xmlns:c16="http://schemas.microsoft.com/office/drawing/2014/chart" uri="{C3380CC4-5D6E-409C-BE32-E72D297353CC}">
                    <c16:uniqueId val="{00000000-1E36-4C27-9E5A-5973626DCA64}"/>
                  </c:ext>
                </c:extLst>
              </c15:ser>
            </c15:filteredBarSeries>
          </c:ext>
        </c:extLst>
      </c:barChart>
      <c:catAx>
        <c:axId val="119931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19935583"/>
        <c:crosses val="autoZero"/>
        <c:auto val="1"/>
        <c:lblAlgn val="ctr"/>
        <c:lblOffset val="100"/>
        <c:noMultiLvlLbl val="0"/>
      </c:catAx>
      <c:valAx>
        <c:axId val="11993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93126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US" sz="1800" b="1" i="0" u="none" strike="noStrike" kern="1200" baseline="0">
                <a:solidFill>
                  <a:sysClr val="windowText" lastClr="000000">
                    <a:lumMod val="75000"/>
                    <a:lumOff val="25000"/>
                  </a:sysClr>
                </a:solidFill>
              </a:rPr>
              <a:t>PQR SERVICIOS PÚBLICOS DOMICILIARIOS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75000"/>
                    <a:lumOff val="25000"/>
                  </a:sysClr>
                </a:solidFill>
              </a:defRPr>
            </a:pPr>
            <a:r>
              <a:rPr lang="en-US"/>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s-CO"/>
        </a:p>
      </c:txPr>
    </c:title>
    <c:autoTitleDeleted val="0"/>
    <c:plotArea>
      <c:layout>
        <c:manualLayout>
          <c:layoutTarget val="inner"/>
          <c:xMode val="edge"/>
          <c:yMode val="edge"/>
          <c:x val="0.1315911811023622"/>
          <c:y val="7.4714397380219261E-2"/>
          <c:w val="0.93888888888888888"/>
          <c:h val="0.51582567804024493"/>
        </c:manualLayout>
      </c:layout>
      <c:barChart>
        <c:barDir val="col"/>
        <c:grouping val="clustered"/>
        <c:varyColors val="0"/>
        <c:ser>
          <c:idx val="1"/>
          <c:order val="1"/>
          <c:tx>
            <c:strRef>
              <c:f>pqqqqr!$H$147</c:f>
              <c:strCache>
                <c:ptCount val="1"/>
                <c:pt idx="0">
                  <c:v>TOTAL </c:v>
                </c:pt>
              </c:strCache>
            </c:strRef>
          </c:tx>
          <c:spPr>
            <a:solidFill>
              <a:schemeClr val="accent4"/>
            </a:solidFill>
            <a:ln w="9525" cap="flat" cmpd="sng" algn="ctr">
              <a:solidFill>
                <a:schemeClr val="lt1">
                  <a:alpha val="50000"/>
                </a:schemeClr>
              </a:solidFill>
              <a:round/>
            </a:ln>
            <a:effectLst/>
          </c:spPr>
          <c:invertIfNegative val="0"/>
          <c:dPt>
            <c:idx val="2"/>
            <c:invertIfNegative val="0"/>
            <c:bubble3D val="0"/>
            <c:spPr>
              <a:solidFill>
                <a:schemeClr val="bg2">
                  <a:lumMod val="1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9AE5-4A59-81AE-C34150F5B4C3}"/>
              </c:ext>
            </c:extLst>
          </c:dPt>
          <c:dPt>
            <c:idx val="3"/>
            <c:invertIfNegative val="0"/>
            <c:bubble3D val="0"/>
            <c:spPr>
              <a:solidFill>
                <a:schemeClr val="tx1">
                  <a:lumMod val="95000"/>
                  <a:lumOff val="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9AE5-4A59-81AE-C34150F5B4C3}"/>
              </c:ext>
            </c:extLst>
          </c:dPt>
          <c:dPt>
            <c:idx val="4"/>
            <c:invertIfNegative val="0"/>
            <c:bubble3D val="0"/>
            <c:spPr>
              <a:solidFill>
                <a:schemeClr val="accent2">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6-9AE5-4A59-81AE-C34150F5B4C3}"/>
              </c:ext>
            </c:extLst>
          </c:dPt>
          <c:dPt>
            <c:idx val="5"/>
            <c:invertIfNegative val="0"/>
            <c:bubble3D val="0"/>
            <c:spPr>
              <a:solidFill>
                <a:schemeClr val="accent2">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9AE5-4A59-81AE-C34150F5B4C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pqqqqr!$I$137:$N$138</c:f>
              <c:multiLvlStrCache>
                <c:ptCount val="6"/>
                <c:lvl>
                  <c:pt idx="0">
                    <c:v>2025</c:v>
                  </c:pt>
                  <c:pt idx="1">
                    <c:v>2026</c:v>
                  </c:pt>
                  <c:pt idx="2">
                    <c:v>2025</c:v>
                  </c:pt>
                  <c:pt idx="3">
                    <c:v>2026</c:v>
                  </c:pt>
                  <c:pt idx="4">
                    <c:v>2025</c:v>
                  </c:pt>
                  <c:pt idx="5">
                    <c:v>2026</c:v>
                  </c:pt>
                </c:lvl>
                <c:lvl>
                  <c:pt idx="0">
                    <c:v>ACUEDUCTO </c:v>
                  </c:pt>
                  <c:pt idx="2">
                    <c:v>ALCANTARILLADO </c:v>
                  </c:pt>
                  <c:pt idx="4">
                    <c:v>ASEO </c:v>
                  </c:pt>
                </c:lvl>
              </c:multiLvlStrCache>
            </c:multiLvlStrRef>
          </c:cat>
          <c:val>
            <c:numRef>
              <c:f>pqqqqr!$I$147:$N$147</c:f>
              <c:numCache>
                <c:formatCode>General</c:formatCode>
                <c:ptCount val="6"/>
                <c:pt idx="0">
                  <c:v>1616</c:v>
                </c:pt>
                <c:pt idx="1">
                  <c:v>1725</c:v>
                </c:pt>
                <c:pt idx="2">
                  <c:v>1464</c:v>
                </c:pt>
                <c:pt idx="3">
                  <c:v>1436</c:v>
                </c:pt>
                <c:pt idx="4">
                  <c:v>1721</c:v>
                </c:pt>
                <c:pt idx="5">
                  <c:v>1617</c:v>
                </c:pt>
              </c:numCache>
            </c:numRef>
          </c:val>
          <c:extLst>
            <c:ext xmlns:c16="http://schemas.microsoft.com/office/drawing/2014/chart" uri="{C3380CC4-5D6E-409C-BE32-E72D297353CC}">
              <c16:uniqueId val="{00000001-9AE5-4A59-81AE-C34150F5B4C3}"/>
            </c:ext>
          </c:extLst>
        </c:ser>
        <c:dLbls>
          <c:dLblPos val="inEnd"/>
          <c:showLegendKey val="0"/>
          <c:showVal val="1"/>
          <c:showCatName val="0"/>
          <c:showSerName val="0"/>
          <c:showPercent val="0"/>
          <c:showBubbleSize val="0"/>
        </c:dLbls>
        <c:gapWidth val="65"/>
        <c:axId val="119685503"/>
        <c:axId val="119691263"/>
        <c:extLst>
          <c:ext xmlns:c15="http://schemas.microsoft.com/office/drawing/2012/chart" uri="{02D57815-91ED-43cb-92C2-25804820EDAC}">
            <c15:filteredBarSeries>
              <c15:ser>
                <c:idx val="0"/>
                <c:order val="0"/>
                <c:tx>
                  <c:strRef>
                    <c:extLst>
                      <c:ext uri="{02D57815-91ED-43cb-92C2-25804820EDAC}">
                        <c15:formulaRef>
                          <c15:sqref>pqqqqr!$H$139</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pqqqqr!$I$137:$N$138</c15:sqref>
                        </c15:formulaRef>
                      </c:ext>
                    </c:extLst>
                    <c:multiLvlStrCache>
                      <c:ptCount val="6"/>
                      <c:lvl>
                        <c:pt idx="0">
                          <c:v>2025</c:v>
                        </c:pt>
                        <c:pt idx="1">
                          <c:v>2026</c:v>
                        </c:pt>
                        <c:pt idx="2">
                          <c:v>2025</c:v>
                        </c:pt>
                        <c:pt idx="3">
                          <c:v>2026</c:v>
                        </c:pt>
                        <c:pt idx="4">
                          <c:v>2025</c:v>
                        </c:pt>
                        <c:pt idx="5">
                          <c:v>2026</c:v>
                        </c:pt>
                      </c:lvl>
                      <c:lvl>
                        <c:pt idx="0">
                          <c:v>ACUEDUCTO </c:v>
                        </c:pt>
                        <c:pt idx="2">
                          <c:v>ALCANTARILLADO </c:v>
                        </c:pt>
                        <c:pt idx="4">
                          <c:v>ASEO </c:v>
                        </c:pt>
                      </c:lvl>
                    </c:multiLvlStrCache>
                  </c:multiLvlStrRef>
                </c:cat>
                <c:val>
                  <c:numRef>
                    <c:extLst>
                      <c:ext uri="{02D57815-91ED-43cb-92C2-25804820EDAC}">
                        <c15:formulaRef>
                          <c15:sqref>pqqqqr!$I$139:$N$139</c15:sqref>
                        </c15:formulaRef>
                      </c:ext>
                    </c:extLst>
                    <c:numCache>
                      <c:formatCode>General</c:formatCode>
                      <c:ptCount val="6"/>
                      <c:pt idx="0">
                        <c:v>163</c:v>
                      </c:pt>
                      <c:pt idx="1">
                        <c:v>178</c:v>
                      </c:pt>
                      <c:pt idx="2">
                        <c:v>124</c:v>
                      </c:pt>
                      <c:pt idx="3">
                        <c:v>147</c:v>
                      </c:pt>
                      <c:pt idx="4">
                        <c:v>187</c:v>
                      </c:pt>
                      <c:pt idx="5">
                        <c:v>188</c:v>
                      </c:pt>
                    </c:numCache>
                  </c:numRef>
                </c:val>
                <c:extLst>
                  <c:ext xmlns:c16="http://schemas.microsoft.com/office/drawing/2014/chart" uri="{C3380CC4-5D6E-409C-BE32-E72D297353CC}">
                    <c16:uniqueId val="{00000000-9AE5-4A59-81AE-C34150F5B4C3}"/>
                  </c:ext>
                </c:extLst>
              </c15:ser>
            </c15:filteredBarSeries>
          </c:ext>
        </c:extLst>
      </c:barChart>
      <c:catAx>
        <c:axId val="1196855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19691263"/>
        <c:crosses val="autoZero"/>
        <c:auto val="1"/>
        <c:lblAlgn val="ctr"/>
        <c:lblOffset val="100"/>
        <c:noMultiLvlLbl val="0"/>
      </c:catAx>
      <c:valAx>
        <c:axId val="1196912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968550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baseline="0">
                <a:solidFill>
                  <a:sysClr val="windowText" lastClr="000000">
                    <a:lumMod val="75000"/>
                    <a:lumOff val="25000"/>
                  </a:sysClr>
                </a:solidFill>
              </a:rPr>
              <a:t>PQR SERVICIOS PÚBLICOS NO  DOMICILIARIOS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1"/>
          <c:order val="1"/>
          <c:tx>
            <c:strRef>
              <c:f>pqqqqr!$H$166</c:f>
              <c:strCache>
                <c:ptCount val="1"/>
                <c:pt idx="0">
                  <c:v>TOTAL </c:v>
                </c:pt>
              </c:strCache>
            </c:strRef>
          </c:tx>
          <c:spPr>
            <a:solidFill>
              <a:srgbClr val="FFC000"/>
            </a:solidFill>
            <a:ln w="9525" cap="flat" cmpd="sng" algn="ctr">
              <a:solidFill>
                <a:schemeClr val="lt1">
                  <a:alpha val="50000"/>
                </a:schemeClr>
              </a:solidFill>
              <a:round/>
            </a:ln>
            <a:effectLst/>
          </c:spPr>
          <c:invertIfNegative val="0"/>
          <c:dPt>
            <c:idx val="2"/>
            <c:invertIfNegative val="0"/>
            <c:bubble3D val="0"/>
            <c:spPr>
              <a:solidFill>
                <a:srgbClr val="FF0000"/>
              </a:solidFill>
              <a:ln w="9525" cap="flat" cmpd="sng" algn="ctr">
                <a:solidFill>
                  <a:schemeClr val="lt1">
                    <a:alpha val="50000"/>
                  </a:schemeClr>
                </a:solidFill>
                <a:round/>
              </a:ln>
              <a:effectLst/>
            </c:spPr>
            <c:extLst>
              <c:ext xmlns:c16="http://schemas.microsoft.com/office/drawing/2014/chart" uri="{C3380CC4-5D6E-409C-BE32-E72D297353CC}">
                <c16:uniqueId val="{00000004-2318-4F7C-8F31-2864734E5581}"/>
              </c:ext>
            </c:extLst>
          </c:dPt>
          <c:dPt>
            <c:idx val="3"/>
            <c:invertIfNegative val="0"/>
            <c:bubble3D val="0"/>
            <c:spPr>
              <a:solidFill>
                <a:srgbClr val="FF0000"/>
              </a:solidFill>
              <a:ln w="9525" cap="flat" cmpd="sng" algn="ctr">
                <a:solidFill>
                  <a:schemeClr val="lt1">
                    <a:alpha val="50000"/>
                  </a:schemeClr>
                </a:solidFill>
                <a:round/>
              </a:ln>
              <a:effectLst/>
            </c:spPr>
            <c:extLst>
              <c:ext xmlns:c16="http://schemas.microsoft.com/office/drawing/2014/chart" uri="{C3380CC4-5D6E-409C-BE32-E72D297353CC}">
                <c16:uniqueId val="{00000005-2318-4F7C-8F31-2864734E5581}"/>
              </c:ext>
            </c:extLst>
          </c:dPt>
          <c:dPt>
            <c:idx val="4"/>
            <c:invertIfNegative val="0"/>
            <c:bubble3D val="0"/>
            <c:spPr>
              <a:solidFill>
                <a:schemeClr val="accent6"/>
              </a:solidFill>
              <a:ln w="9525" cap="flat" cmpd="sng" algn="ctr">
                <a:solidFill>
                  <a:schemeClr val="lt1">
                    <a:alpha val="50000"/>
                  </a:schemeClr>
                </a:solidFill>
                <a:round/>
              </a:ln>
              <a:effectLst/>
            </c:spPr>
            <c:extLst>
              <c:ext xmlns:c16="http://schemas.microsoft.com/office/drawing/2014/chart" uri="{C3380CC4-5D6E-409C-BE32-E72D297353CC}">
                <c16:uniqueId val="{00000006-2318-4F7C-8F31-2864734E5581}"/>
              </c:ext>
            </c:extLst>
          </c:dPt>
          <c:dPt>
            <c:idx val="5"/>
            <c:invertIfNegative val="0"/>
            <c:bubble3D val="0"/>
            <c:spPr>
              <a:solidFill>
                <a:schemeClr val="accent6"/>
              </a:solidFill>
              <a:ln w="9525" cap="flat" cmpd="sng" algn="ctr">
                <a:solidFill>
                  <a:schemeClr val="accent3">
                    <a:lumMod val="40000"/>
                    <a:lumOff val="60000"/>
                    <a:alpha val="50000"/>
                  </a:schemeClr>
                </a:solidFill>
                <a:round/>
              </a:ln>
              <a:effectLst/>
            </c:spPr>
            <c:extLst>
              <c:ext xmlns:c16="http://schemas.microsoft.com/office/drawing/2014/chart" uri="{C3380CC4-5D6E-409C-BE32-E72D297353CC}">
                <c16:uniqueId val="{00000007-2318-4F7C-8F31-2864734E55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pqqqqr!$I$156:$N$157</c15:sqref>
                  </c15:fullRef>
                  <c15:levelRef>
                    <c15:sqref>pqqqqr!$I$156:$N$156</c15:sqref>
                  </c15:levelRef>
                </c:ext>
              </c:extLst>
              <c:f>pqqqqr!$I$156:$N$156</c:f>
              <c:strCache>
                <c:ptCount val="6"/>
                <c:pt idx="0">
                  <c:v>ALUMBRADO PÚBLICO </c:v>
                </c:pt>
                <c:pt idx="2">
                  <c:v>SERVICIOS INMOBILIARIOS </c:v>
                </c:pt>
                <c:pt idx="4">
                  <c:v>SERVICIOS COMPLEMENTARIOS</c:v>
                </c:pt>
              </c:strCache>
            </c:strRef>
          </c:cat>
          <c:val>
            <c:numRef>
              <c:f>pqqqqr!$I$166:$N$166</c:f>
              <c:numCache>
                <c:formatCode>General</c:formatCode>
                <c:ptCount val="6"/>
                <c:pt idx="0">
                  <c:v>204</c:v>
                </c:pt>
                <c:pt idx="1">
                  <c:v>157</c:v>
                </c:pt>
                <c:pt idx="2">
                  <c:v>69</c:v>
                </c:pt>
                <c:pt idx="3">
                  <c:v>53</c:v>
                </c:pt>
                <c:pt idx="4">
                  <c:v>62</c:v>
                </c:pt>
                <c:pt idx="5">
                  <c:v>64</c:v>
                </c:pt>
              </c:numCache>
            </c:numRef>
          </c:val>
          <c:extLst>
            <c:ext xmlns:c16="http://schemas.microsoft.com/office/drawing/2014/chart" uri="{C3380CC4-5D6E-409C-BE32-E72D297353CC}">
              <c16:uniqueId val="{00000001-2318-4F7C-8F31-2864734E5581}"/>
            </c:ext>
          </c:extLst>
        </c:ser>
        <c:dLbls>
          <c:dLblPos val="inEnd"/>
          <c:showLegendKey val="0"/>
          <c:showVal val="1"/>
          <c:showCatName val="0"/>
          <c:showSerName val="0"/>
          <c:showPercent val="0"/>
          <c:showBubbleSize val="0"/>
        </c:dLbls>
        <c:gapWidth val="65"/>
        <c:axId val="757414335"/>
        <c:axId val="757413375"/>
        <c:extLst>
          <c:ext xmlns:c15="http://schemas.microsoft.com/office/drawing/2012/chart" uri="{02D57815-91ED-43cb-92C2-25804820EDAC}">
            <c15:filteredBarSeries>
              <c15:ser>
                <c:idx val="0"/>
                <c:order val="0"/>
                <c:tx>
                  <c:strRef>
                    <c:extLst>
                      <c:ext uri="{02D57815-91ED-43cb-92C2-25804820EDAC}">
                        <c15:formulaRef>
                          <c15:sqref>pqqqqr!$H$158</c15:sqref>
                        </c15:formulaRef>
                      </c:ext>
                    </c:extLst>
                    <c:strCache>
                      <c:ptCount val="1"/>
                      <c:pt idx="0">
                        <c:v>ENERO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ullRef>
                          <c15:sqref>pqqqqr!$I$156:$N$157</c15:sqref>
                        </c15:fullRef>
                        <c15:levelRef>
                          <c15:sqref>pqqqqr!$I$156:$N$156</c15:sqref>
                        </c15:levelRef>
                        <c15:formulaRef>
                          <c15:sqref>pqqqqr!$I$156:$N$156</c15:sqref>
                        </c15:formulaRef>
                      </c:ext>
                    </c:extLst>
                    <c:strCache>
                      <c:ptCount val="6"/>
                      <c:pt idx="0">
                        <c:v>ALUMBRADO PÚBLICO </c:v>
                      </c:pt>
                      <c:pt idx="2">
                        <c:v>SERVICIOS INMOBILIARIOS </c:v>
                      </c:pt>
                      <c:pt idx="4">
                        <c:v>SERVICIOS COMPLEMENTARIOS</c:v>
                      </c:pt>
                    </c:strCache>
                  </c:strRef>
                </c:cat>
                <c:val>
                  <c:numRef>
                    <c:extLst>
                      <c:ext uri="{02D57815-91ED-43cb-92C2-25804820EDAC}">
                        <c15:formulaRef>
                          <c15:sqref>pqqqqr!$I$158:$N$158</c15:sqref>
                        </c15:formulaRef>
                      </c:ext>
                    </c:extLst>
                    <c:numCache>
                      <c:formatCode>General</c:formatCode>
                      <c:ptCount val="6"/>
                      <c:pt idx="0">
                        <c:v>19</c:v>
                      </c:pt>
                      <c:pt idx="1">
                        <c:v>18</c:v>
                      </c:pt>
                      <c:pt idx="2">
                        <c:v>9</c:v>
                      </c:pt>
                      <c:pt idx="3">
                        <c:v>13</c:v>
                      </c:pt>
                      <c:pt idx="4">
                        <c:v>2</c:v>
                      </c:pt>
                      <c:pt idx="5">
                        <c:v>4</c:v>
                      </c:pt>
                    </c:numCache>
                  </c:numRef>
                </c:val>
                <c:extLst>
                  <c:ext xmlns:c16="http://schemas.microsoft.com/office/drawing/2014/chart" uri="{C3380CC4-5D6E-409C-BE32-E72D297353CC}">
                    <c16:uniqueId val="{00000000-2318-4F7C-8F31-2864734E5581}"/>
                  </c:ext>
                </c:extLst>
              </c15:ser>
            </c15:filteredBarSeries>
          </c:ext>
        </c:extLst>
      </c:barChart>
      <c:catAx>
        <c:axId val="7574143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757413375"/>
        <c:crosses val="autoZero"/>
        <c:auto val="1"/>
        <c:lblAlgn val="ctr"/>
        <c:lblOffset val="100"/>
        <c:noMultiLvlLbl val="0"/>
      </c:catAx>
      <c:valAx>
        <c:axId val="7574133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5741433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s-CO"/>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b="1"/>
              <a:t>SERVICIOS</a:t>
            </a:r>
            <a:r>
              <a:rPr lang="en-US" b="1" baseline="0"/>
              <a:t> PÚBLICOS  DOMICILIARIOS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0.32632047576331441"/>
          <c:y val="0.12900900435015589"/>
          <c:w val="0.74419083690488053"/>
          <c:h val="0.49868715213045661"/>
        </c:manualLayout>
      </c:layout>
      <c:barChart>
        <c:barDir val="col"/>
        <c:grouping val="clustered"/>
        <c:varyColors val="0"/>
        <c:ser>
          <c:idx val="0"/>
          <c:order val="0"/>
          <c:tx>
            <c:strRef>
              <c:f>pqqqqr!$C$219</c:f>
              <c:strCache>
                <c:ptCount val="1"/>
                <c:pt idx="0">
                  <c:v>ACUEDUCTO</c:v>
                </c:pt>
              </c:strCache>
            </c:strRef>
          </c:tx>
          <c:spPr>
            <a:solidFill>
              <a:schemeClr val="accent1"/>
            </a:solidFill>
            <a:ln>
              <a:noFill/>
            </a:ln>
            <a:effectLst/>
          </c:spPr>
          <c:invertIfNegative val="0"/>
          <c:cat>
            <c:numRef>
              <c:f>pqqqqr!$D$218:$E$218</c:f>
              <c:numCache>
                <c:formatCode>mmm\-yy</c:formatCode>
                <c:ptCount val="2"/>
                <c:pt idx="0">
                  <c:v>45658</c:v>
                </c:pt>
                <c:pt idx="1">
                  <c:v>46023</c:v>
                </c:pt>
              </c:numCache>
            </c:numRef>
          </c:cat>
          <c:val>
            <c:numRef>
              <c:f>pqqqqr!$D$219:$E$219</c:f>
              <c:numCache>
                <c:formatCode>General</c:formatCode>
                <c:ptCount val="2"/>
                <c:pt idx="0">
                  <c:v>1616</c:v>
                </c:pt>
                <c:pt idx="1">
                  <c:v>1725</c:v>
                </c:pt>
              </c:numCache>
            </c:numRef>
          </c:val>
          <c:extLst>
            <c:ext xmlns:c16="http://schemas.microsoft.com/office/drawing/2014/chart" uri="{C3380CC4-5D6E-409C-BE32-E72D297353CC}">
              <c16:uniqueId val="{00000000-C81D-4DD2-8089-F9D209ED72F2}"/>
            </c:ext>
          </c:extLst>
        </c:ser>
        <c:ser>
          <c:idx val="1"/>
          <c:order val="1"/>
          <c:tx>
            <c:strRef>
              <c:f>pqqqqr!$C$220</c:f>
              <c:strCache>
                <c:ptCount val="1"/>
                <c:pt idx="0">
                  <c:v>ALCANTARILLADO </c:v>
                </c:pt>
              </c:strCache>
            </c:strRef>
          </c:tx>
          <c:spPr>
            <a:solidFill>
              <a:schemeClr val="accent2"/>
            </a:solidFill>
            <a:ln>
              <a:noFill/>
            </a:ln>
            <a:effectLst/>
          </c:spPr>
          <c:invertIfNegative val="0"/>
          <c:cat>
            <c:numRef>
              <c:f>pqqqqr!$D$218:$E$218</c:f>
              <c:numCache>
                <c:formatCode>mmm\-yy</c:formatCode>
                <c:ptCount val="2"/>
                <c:pt idx="0">
                  <c:v>45658</c:v>
                </c:pt>
                <c:pt idx="1">
                  <c:v>46023</c:v>
                </c:pt>
              </c:numCache>
            </c:numRef>
          </c:cat>
          <c:val>
            <c:numRef>
              <c:f>pqqqqr!$D$220:$E$220</c:f>
              <c:numCache>
                <c:formatCode>General</c:formatCode>
                <c:ptCount val="2"/>
                <c:pt idx="0">
                  <c:v>1464</c:v>
                </c:pt>
                <c:pt idx="1">
                  <c:v>1436</c:v>
                </c:pt>
              </c:numCache>
            </c:numRef>
          </c:val>
          <c:extLst>
            <c:ext xmlns:c16="http://schemas.microsoft.com/office/drawing/2014/chart" uri="{C3380CC4-5D6E-409C-BE32-E72D297353CC}">
              <c16:uniqueId val="{00000001-C81D-4DD2-8089-F9D209ED72F2}"/>
            </c:ext>
          </c:extLst>
        </c:ser>
        <c:ser>
          <c:idx val="2"/>
          <c:order val="2"/>
          <c:tx>
            <c:strRef>
              <c:f>pqqqqr!$C$221</c:f>
              <c:strCache>
                <c:ptCount val="1"/>
                <c:pt idx="0">
                  <c:v>ASEO </c:v>
                </c:pt>
              </c:strCache>
            </c:strRef>
          </c:tx>
          <c:spPr>
            <a:solidFill>
              <a:schemeClr val="accent3"/>
            </a:solidFill>
            <a:ln>
              <a:noFill/>
            </a:ln>
            <a:effectLst/>
          </c:spPr>
          <c:invertIfNegative val="0"/>
          <c:cat>
            <c:numRef>
              <c:f>pqqqqr!$D$218:$E$218</c:f>
              <c:numCache>
                <c:formatCode>mmm\-yy</c:formatCode>
                <c:ptCount val="2"/>
                <c:pt idx="0">
                  <c:v>45658</c:v>
                </c:pt>
                <c:pt idx="1">
                  <c:v>46023</c:v>
                </c:pt>
              </c:numCache>
            </c:numRef>
          </c:cat>
          <c:val>
            <c:numRef>
              <c:f>pqqqqr!$D$221:$E$221</c:f>
              <c:numCache>
                <c:formatCode>General</c:formatCode>
                <c:ptCount val="2"/>
                <c:pt idx="0">
                  <c:v>1721</c:v>
                </c:pt>
                <c:pt idx="1">
                  <c:v>1617</c:v>
                </c:pt>
              </c:numCache>
            </c:numRef>
          </c:val>
          <c:extLst>
            <c:ext xmlns:c16="http://schemas.microsoft.com/office/drawing/2014/chart" uri="{C3380CC4-5D6E-409C-BE32-E72D297353CC}">
              <c16:uniqueId val="{00000002-C81D-4DD2-8089-F9D209ED72F2}"/>
            </c:ext>
          </c:extLst>
        </c:ser>
        <c:dLbls>
          <c:showLegendKey val="0"/>
          <c:showVal val="0"/>
          <c:showCatName val="0"/>
          <c:showSerName val="0"/>
          <c:showPercent val="0"/>
          <c:showBubbleSize val="0"/>
        </c:dLbls>
        <c:gapWidth val="219"/>
        <c:overlap val="-27"/>
        <c:axId val="1988415727"/>
        <c:axId val="1988416687"/>
      </c:barChart>
      <c:lineChart>
        <c:grouping val="standard"/>
        <c:varyColors val="0"/>
        <c:ser>
          <c:idx val="3"/>
          <c:order val="3"/>
          <c:tx>
            <c:strRef>
              <c:f>pqqqqr!$C$222</c:f>
              <c:strCache>
                <c:ptCount val="1"/>
                <c:pt idx="0">
                  <c:v>TOTAL </c:v>
                </c:pt>
              </c:strCache>
            </c:strRef>
          </c:tx>
          <c:spPr>
            <a:ln w="28575" cap="rnd">
              <a:solidFill>
                <a:schemeClr val="accent4"/>
              </a:solidFill>
              <a:round/>
            </a:ln>
            <a:effectLst/>
          </c:spPr>
          <c:marker>
            <c:symbol val="none"/>
          </c:marker>
          <c:cat>
            <c:numRef>
              <c:f>pqqqqr!$D$218:$E$218</c:f>
              <c:numCache>
                <c:formatCode>mmm\-yy</c:formatCode>
                <c:ptCount val="2"/>
                <c:pt idx="0">
                  <c:v>45658</c:v>
                </c:pt>
                <c:pt idx="1">
                  <c:v>46023</c:v>
                </c:pt>
              </c:numCache>
            </c:numRef>
          </c:cat>
          <c:val>
            <c:numRef>
              <c:f>pqqqqr!$D$222:$E$222</c:f>
              <c:numCache>
                <c:formatCode>General</c:formatCode>
                <c:ptCount val="2"/>
                <c:pt idx="0">
                  <c:v>4801</c:v>
                </c:pt>
                <c:pt idx="1">
                  <c:v>4778</c:v>
                </c:pt>
              </c:numCache>
            </c:numRef>
          </c:val>
          <c:smooth val="0"/>
          <c:extLst>
            <c:ext xmlns:c16="http://schemas.microsoft.com/office/drawing/2014/chart" uri="{C3380CC4-5D6E-409C-BE32-E72D297353CC}">
              <c16:uniqueId val="{00000003-C81D-4DD2-8089-F9D209ED72F2}"/>
            </c:ext>
          </c:extLst>
        </c:ser>
        <c:dLbls>
          <c:showLegendKey val="0"/>
          <c:showVal val="0"/>
          <c:showCatName val="0"/>
          <c:showSerName val="0"/>
          <c:showPercent val="0"/>
          <c:showBubbleSize val="0"/>
        </c:dLbls>
        <c:marker val="1"/>
        <c:smooth val="0"/>
        <c:axId val="1988415727"/>
        <c:axId val="1988416687"/>
      </c:lineChart>
      <c:catAx>
        <c:axId val="198841572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6687"/>
        <c:crosses val="autoZero"/>
        <c:auto val="0"/>
        <c:lblAlgn val="ctr"/>
        <c:lblOffset val="100"/>
        <c:noMultiLvlLbl val="0"/>
      </c:catAx>
      <c:valAx>
        <c:axId val="198841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19884157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r>
              <a:rPr lang="en-US" b="1" dirty="0">
                <a:solidFill>
                  <a:schemeClr val="tx1"/>
                </a:solidFill>
              </a:rPr>
              <a:t>SERVICIOS</a:t>
            </a:r>
            <a:r>
              <a:rPr lang="en-US" b="1" baseline="0" dirty="0">
                <a:solidFill>
                  <a:schemeClr val="tx1"/>
                </a:solidFill>
              </a:rPr>
              <a:t> PÚBLICOS DOMICILIARIOS</a:t>
            </a:r>
            <a:endParaRPr lang="en-US" b="1" dirty="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lotArea>
      <c:layout/>
      <c:barChart>
        <c:barDir val="col"/>
        <c:grouping val="clustered"/>
        <c:varyColors val="0"/>
        <c:ser>
          <c:idx val="0"/>
          <c:order val="0"/>
          <c:tx>
            <c:strRef>
              <c:f>Hoja2!$D$39</c:f>
              <c:strCache>
                <c:ptCount val="1"/>
                <c:pt idx="0">
                  <c:v>2024</c:v>
                </c:pt>
              </c:strCache>
            </c:strRef>
          </c:tx>
          <c:spPr>
            <a:solidFill>
              <a:schemeClr val="accent1"/>
            </a:solidFill>
            <a:ln>
              <a:noFill/>
            </a:ln>
            <a:effectLst/>
          </c:spPr>
          <c:invertIfNegative val="0"/>
          <c:cat>
            <c:strRef>
              <c:f>Hoja2!$E$38:$G$38</c:f>
              <c:strCache>
                <c:ptCount val="3"/>
                <c:pt idx="0">
                  <c:v>ACUEDUCTO</c:v>
                </c:pt>
                <c:pt idx="1">
                  <c:v>ALCANTARILLADO</c:v>
                </c:pt>
                <c:pt idx="2">
                  <c:v>ASEO</c:v>
                </c:pt>
              </c:strCache>
            </c:strRef>
          </c:cat>
          <c:val>
            <c:numRef>
              <c:f>Hoja2!$E$39:$G$39</c:f>
              <c:numCache>
                <c:formatCode>General</c:formatCode>
                <c:ptCount val="3"/>
                <c:pt idx="0">
                  <c:v>926</c:v>
                </c:pt>
                <c:pt idx="1">
                  <c:v>770</c:v>
                </c:pt>
                <c:pt idx="2">
                  <c:v>1034</c:v>
                </c:pt>
              </c:numCache>
            </c:numRef>
          </c:val>
          <c:extLst>
            <c:ext xmlns:c16="http://schemas.microsoft.com/office/drawing/2014/chart" uri="{C3380CC4-5D6E-409C-BE32-E72D297353CC}">
              <c16:uniqueId val="{00000000-76EA-4D43-9D79-4F98D53AE5B2}"/>
            </c:ext>
          </c:extLst>
        </c:ser>
        <c:ser>
          <c:idx val="1"/>
          <c:order val="1"/>
          <c:tx>
            <c:strRef>
              <c:f>Hoja2!$D$40</c:f>
              <c:strCache>
                <c:ptCount val="1"/>
                <c:pt idx="0">
                  <c:v>2025</c:v>
                </c:pt>
              </c:strCache>
            </c:strRef>
          </c:tx>
          <c:spPr>
            <a:solidFill>
              <a:schemeClr val="accent2"/>
            </a:solidFill>
            <a:ln>
              <a:noFill/>
            </a:ln>
            <a:effectLst/>
          </c:spPr>
          <c:invertIfNegative val="0"/>
          <c:cat>
            <c:strRef>
              <c:f>Hoja2!$E$38:$G$38</c:f>
              <c:strCache>
                <c:ptCount val="3"/>
                <c:pt idx="0">
                  <c:v>ACUEDUCTO</c:v>
                </c:pt>
                <c:pt idx="1">
                  <c:v>ALCANTARILLADO</c:v>
                </c:pt>
                <c:pt idx="2">
                  <c:v>ASEO</c:v>
                </c:pt>
              </c:strCache>
            </c:strRef>
          </c:cat>
          <c:val>
            <c:numRef>
              <c:f>Hoja2!$E$40:$G$40</c:f>
              <c:numCache>
                <c:formatCode>General</c:formatCode>
                <c:ptCount val="3"/>
                <c:pt idx="0">
                  <c:v>1270</c:v>
                </c:pt>
                <c:pt idx="1">
                  <c:v>1164</c:v>
                </c:pt>
                <c:pt idx="2">
                  <c:v>1360</c:v>
                </c:pt>
              </c:numCache>
            </c:numRef>
          </c:val>
          <c:extLst>
            <c:ext xmlns:c16="http://schemas.microsoft.com/office/drawing/2014/chart" uri="{C3380CC4-5D6E-409C-BE32-E72D297353CC}">
              <c16:uniqueId val="{00000001-76EA-4D43-9D79-4F98D53AE5B2}"/>
            </c:ext>
          </c:extLst>
        </c:ser>
        <c:dLbls>
          <c:showLegendKey val="0"/>
          <c:showVal val="0"/>
          <c:showCatName val="0"/>
          <c:showSerName val="0"/>
          <c:showPercent val="0"/>
          <c:showBubbleSize val="0"/>
        </c:dLbls>
        <c:gapWidth val="219"/>
        <c:overlap val="-27"/>
        <c:axId val="79129167"/>
        <c:axId val="79148367"/>
      </c:barChart>
      <c:catAx>
        <c:axId val="7912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79148367"/>
        <c:crosses val="autoZero"/>
        <c:auto val="1"/>
        <c:lblAlgn val="ctr"/>
        <c:lblOffset val="100"/>
        <c:noMultiLvlLbl val="0"/>
      </c:catAx>
      <c:valAx>
        <c:axId val="791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79129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r>
              <a:rPr lang="en-US" b="1" dirty="0">
                <a:solidFill>
                  <a:schemeClr val="tx1"/>
                </a:solidFill>
              </a:rPr>
              <a:t>SERVICIOS</a:t>
            </a:r>
            <a:r>
              <a:rPr lang="en-US" b="1" baseline="0" dirty="0">
                <a:solidFill>
                  <a:schemeClr val="tx1"/>
                </a:solidFill>
              </a:rPr>
              <a:t> PÚBLICOS NO DOMICILIARIOS</a:t>
            </a:r>
            <a:endParaRPr lang="en-US" b="1" dirty="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0.13224431321084867"/>
          <c:y val="0.13478372021679108"/>
          <c:w val="0.83164457567804029"/>
          <c:h val="0.58866618945359106"/>
        </c:manualLayout>
      </c:layout>
      <c:barChart>
        <c:barDir val="col"/>
        <c:grouping val="clustered"/>
        <c:varyColors val="0"/>
        <c:ser>
          <c:idx val="0"/>
          <c:order val="0"/>
          <c:tx>
            <c:strRef>
              <c:f>Hoja2!$D$60</c:f>
              <c:strCache>
                <c:ptCount val="1"/>
                <c:pt idx="0">
                  <c:v>2024</c:v>
                </c:pt>
              </c:strCache>
            </c:strRef>
          </c:tx>
          <c:spPr>
            <a:solidFill>
              <a:schemeClr val="accent1"/>
            </a:solidFill>
            <a:ln>
              <a:noFill/>
            </a:ln>
            <a:effectLst/>
          </c:spPr>
          <c:invertIfNegative val="0"/>
          <c:cat>
            <c:strRef>
              <c:f>Hoja2!$E$59:$G$59</c:f>
              <c:strCache>
                <c:ptCount val="3"/>
                <c:pt idx="0">
                  <c:v>ALUMBRADO PÚBLICO</c:v>
                </c:pt>
                <c:pt idx="1">
                  <c:v>SERVICIOS INMOBILIARIOS</c:v>
                </c:pt>
                <c:pt idx="2">
                  <c:v>SERVICIOS COMPLEMENTARIOS</c:v>
                </c:pt>
              </c:strCache>
            </c:strRef>
          </c:cat>
          <c:val>
            <c:numRef>
              <c:f>Hoja2!$E$60:$G$60</c:f>
              <c:numCache>
                <c:formatCode>General</c:formatCode>
                <c:ptCount val="3"/>
                <c:pt idx="0">
                  <c:v>187</c:v>
                </c:pt>
                <c:pt idx="1">
                  <c:v>55</c:v>
                </c:pt>
                <c:pt idx="2">
                  <c:v>19</c:v>
                </c:pt>
              </c:numCache>
            </c:numRef>
          </c:val>
          <c:extLst>
            <c:ext xmlns:c16="http://schemas.microsoft.com/office/drawing/2014/chart" uri="{C3380CC4-5D6E-409C-BE32-E72D297353CC}">
              <c16:uniqueId val="{00000000-5215-4DBE-9E86-F04689A1A330}"/>
            </c:ext>
          </c:extLst>
        </c:ser>
        <c:ser>
          <c:idx val="1"/>
          <c:order val="1"/>
          <c:tx>
            <c:strRef>
              <c:f>Hoja2!$D$61</c:f>
              <c:strCache>
                <c:ptCount val="1"/>
                <c:pt idx="0">
                  <c:v>2025</c:v>
                </c:pt>
              </c:strCache>
            </c:strRef>
          </c:tx>
          <c:spPr>
            <a:solidFill>
              <a:schemeClr val="accent2"/>
            </a:solidFill>
            <a:ln>
              <a:noFill/>
            </a:ln>
            <a:effectLst/>
          </c:spPr>
          <c:invertIfNegative val="0"/>
          <c:cat>
            <c:strRef>
              <c:f>Hoja2!$E$59:$G$59</c:f>
              <c:strCache>
                <c:ptCount val="3"/>
                <c:pt idx="0">
                  <c:v>ALUMBRADO PÚBLICO</c:v>
                </c:pt>
                <c:pt idx="1">
                  <c:v>SERVICIOS INMOBILIARIOS</c:v>
                </c:pt>
                <c:pt idx="2">
                  <c:v>SERVICIOS COMPLEMENTARIOS</c:v>
                </c:pt>
              </c:strCache>
            </c:strRef>
          </c:cat>
          <c:val>
            <c:numRef>
              <c:f>Hoja2!$E$61:$G$61</c:f>
              <c:numCache>
                <c:formatCode>General</c:formatCode>
                <c:ptCount val="3"/>
                <c:pt idx="0">
                  <c:v>150</c:v>
                </c:pt>
                <c:pt idx="1">
                  <c:v>51</c:v>
                </c:pt>
                <c:pt idx="2">
                  <c:v>41</c:v>
                </c:pt>
              </c:numCache>
            </c:numRef>
          </c:val>
          <c:extLst>
            <c:ext xmlns:c16="http://schemas.microsoft.com/office/drawing/2014/chart" uri="{C3380CC4-5D6E-409C-BE32-E72D297353CC}">
              <c16:uniqueId val="{00000001-5215-4DBE-9E86-F04689A1A330}"/>
            </c:ext>
          </c:extLst>
        </c:ser>
        <c:dLbls>
          <c:showLegendKey val="0"/>
          <c:showVal val="0"/>
          <c:showCatName val="0"/>
          <c:showSerName val="0"/>
          <c:showPercent val="0"/>
          <c:showBubbleSize val="0"/>
        </c:dLbls>
        <c:gapWidth val="219"/>
        <c:overlap val="-27"/>
        <c:axId val="79129167"/>
        <c:axId val="79148367"/>
      </c:barChart>
      <c:catAx>
        <c:axId val="7912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79148367"/>
        <c:crosses val="autoZero"/>
        <c:auto val="1"/>
        <c:lblAlgn val="ctr"/>
        <c:lblOffset val="100"/>
        <c:noMultiLvlLbl val="0"/>
      </c:catAx>
      <c:valAx>
        <c:axId val="7914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crossAx val="79129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entury Gothic" panose="020B0502020202020204" pitchFamily="34" charset="0"/>
                <a:ea typeface="+mn-ea"/>
                <a:cs typeface="+mn-cs"/>
              </a:defRPr>
            </a:pPr>
            <a:endParaRPr lang="es-CO"/>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entury Gothic" panose="020B0502020202020204" pitchFamily="34" charset="0"/>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entury Gothic" panose="020B0502020202020204" pitchFamily="34" charset="0"/>
                <a:ea typeface="+mn-ea"/>
                <a:cs typeface="+mn-cs"/>
              </a:defRPr>
            </a:pPr>
            <a:r>
              <a:rPr lang="es-CO"/>
              <a:t>ACUEDUCTO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2.3161973499795277E-2"/>
          <c:y val="0.12411838869202954"/>
          <c:w val="0.95132646596739978"/>
          <c:h val="0.71577975483761491"/>
        </c:manualLayout>
      </c:layout>
      <c:barChart>
        <c:barDir val="col"/>
        <c:grouping val="clustered"/>
        <c:varyColors val="0"/>
        <c:ser>
          <c:idx val="0"/>
          <c:order val="0"/>
          <c:tx>
            <c:strRef>
              <c:f>Hoja7!$A$14</c:f>
              <c:strCache>
                <c:ptCount val="1"/>
                <c:pt idx="0">
                  <c:v> Peticiones </c:v>
                </c:pt>
              </c:strCache>
            </c:strRef>
          </c:tx>
          <c:spPr>
            <a:solidFill>
              <a:schemeClr val="accent1"/>
            </a:solidFill>
            <a:ln>
              <a:noFill/>
            </a:ln>
            <a:effectLst/>
          </c:spPr>
          <c:invertIfNegative val="0"/>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Hoja7!$B$14:$U$14</c15:sqref>
                  </c15:fullRef>
                </c:ext>
              </c:extLst>
              <c:f>Hoja7!$C$14:$T$14</c:f>
              <c:numCache>
                <c:formatCode>#,##0</c:formatCode>
                <c:ptCount val="8"/>
                <c:pt idx="0">
                  <c:v>83</c:v>
                </c:pt>
                <c:pt idx="1">
                  <c:v>81</c:v>
                </c:pt>
                <c:pt idx="2">
                  <c:v>67</c:v>
                </c:pt>
                <c:pt idx="3">
                  <c:v>112</c:v>
                </c:pt>
                <c:pt idx="4">
                  <c:v>72</c:v>
                </c:pt>
                <c:pt idx="5">
                  <c:v>78</c:v>
                </c:pt>
                <c:pt idx="6">
                  <c:v>88</c:v>
                </c:pt>
                <c:pt idx="7">
                  <c:v>55</c:v>
                </c:pt>
              </c:numCache>
            </c:numRef>
          </c:val>
          <c:extLst>
            <c:ext xmlns:c16="http://schemas.microsoft.com/office/drawing/2014/chart" uri="{C3380CC4-5D6E-409C-BE32-E72D297353CC}">
              <c16:uniqueId val="{00000000-2C24-4069-AA62-BB78FA7C6F79}"/>
            </c:ext>
          </c:extLst>
        </c:ser>
        <c:ser>
          <c:idx val="1"/>
          <c:order val="1"/>
          <c:tx>
            <c:strRef>
              <c:f>Hoja7!$A$15</c:f>
              <c:strCache>
                <c:ptCount val="1"/>
                <c:pt idx="0">
                  <c:v> Quejas </c:v>
                </c:pt>
              </c:strCache>
            </c:strRef>
          </c:tx>
          <c:spPr>
            <a:solidFill>
              <a:schemeClr val="accent3"/>
            </a:solidFill>
            <a:ln>
              <a:noFill/>
            </a:ln>
            <a:effectLst/>
          </c:spPr>
          <c:invertIfNegative val="0"/>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Hoja7!$B$15:$U$15</c15:sqref>
                  </c15:fullRef>
                </c:ext>
              </c:extLst>
              <c:f>Hoja7!$C$15:$T$15</c:f>
              <c:numCache>
                <c:formatCode>#,##0</c:formatCode>
                <c:ptCount val="8"/>
                <c:pt idx="0">
                  <c:v>67</c:v>
                </c:pt>
                <c:pt idx="1">
                  <c:v>72</c:v>
                </c:pt>
                <c:pt idx="2">
                  <c:v>86</c:v>
                </c:pt>
                <c:pt idx="3">
                  <c:v>95</c:v>
                </c:pt>
                <c:pt idx="4">
                  <c:v>95</c:v>
                </c:pt>
                <c:pt idx="5">
                  <c:v>57</c:v>
                </c:pt>
                <c:pt idx="6">
                  <c:v>140</c:v>
                </c:pt>
                <c:pt idx="7">
                  <c:v>88</c:v>
                </c:pt>
              </c:numCache>
            </c:numRef>
          </c:val>
          <c:extLst>
            <c:ext xmlns:c16="http://schemas.microsoft.com/office/drawing/2014/chart" uri="{C3380CC4-5D6E-409C-BE32-E72D297353CC}">
              <c16:uniqueId val="{00000001-2C24-4069-AA62-BB78FA7C6F79}"/>
            </c:ext>
          </c:extLst>
        </c:ser>
        <c:ser>
          <c:idx val="2"/>
          <c:order val="2"/>
          <c:tx>
            <c:strRef>
              <c:f>Hoja7!$A$16</c:f>
              <c:strCache>
                <c:ptCount val="1"/>
                <c:pt idx="0">
                  <c:v> Reclamos </c:v>
                </c:pt>
              </c:strCache>
            </c:strRef>
          </c:tx>
          <c:spPr>
            <a:solidFill>
              <a:srgbClr val="00B050"/>
            </a:solidFill>
            <a:ln>
              <a:solidFill>
                <a:srgbClr val="00B050"/>
              </a:solidFill>
            </a:ln>
            <a:effectLst/>
          </c:spPr>
          <c:invertIfNegative val="0"/>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Hoja7!$B$16:$U$16</c15:sqref>
                  </c15:fullRef>
                </c:ext>
              </c:extLst>
              <c:f>Hoja7!$C$16:$T$16</c:f>
              <c:numCache>
                <c:formatCode>#,##0</c:formatCode>
                <c:ptCount val="8"/>
                <c:pt idx="0">
                  <c:v>28</c:v>
                </c:pt>
                <c:pt idx="1">
                  <c:v>22</c:v>
                </c:pt>
                <c:pt idx="2">
                  <c:v>49</c:v>
                </c:pt>
                <c:pt idx="3">
                  <c:v>66</c:v>
                </c:pt>
                <c:pt idx="4">
                  <c:v>52</c:v>
                </c:pt>
                <c:pt idx="5">
                  <c:v>45</c:v>
                </c:pt>
                <c:pt idx="6">
                  <c:v>77</c:v>
                </c:pt>
                <c:pt idx="7">
                  <c:v>50</c:v>
                </c:pt>
              </c:numCache>
            </c:numRef>
          </c:val>
          <c:extLst>
            <c:ext xmlns:c16="http://schemas.microsoft.com/office/drawing/2014/chart" uri="{C3380CC4-5D6E-409C-BE32-E72D297353CC}">
              <c16:uniqueId val="{00000002-2C24-4069-AA62-BB78FA7C6F79}"/>
            </c:ext>
          </c:extLst>
        </c:ser>
        <c:dLbls>
          <c:showLegendKey val="0"/>
          <c:showVal val="0"/>
          <c:showCatName val="0"/>
          <c:showSerName val="0"/>
          <c:showPercent val="0"/>
          <c:showBubbleSize val="0"/>
        </c:dLbls>
        <c:gapWidth val="219"/>
        <c:overlap val="-27"/>
        <c:axId val="1634127087"/>
        <c:axId val="1634130927"/>
      </c:barChart>
      <c:lineChart>
        <c:grouping val="standard"/>
        <c:varyColors val="0"/>
        <c:ser>
          <c:idx val="3"/>
          <c:order val="3"/>
          <c:tx>
            <c:strRef>
              <c:f>Hoja7!$A$17</c:f>
              <c:strCache>
                <c:ptCount val="1"/>
                <c:pt idx="0">
                  <c:v> TOTAL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Hoja7!$B$17:$U$17</c15:sqref>
                  </c15:fullRef>
                </c:ext>
              </c:extLst>
              <c:f>Hoja7!$C$17:$T$17</c:f>
              <c:numCache>
                <c:formatCode>#,##0</c:formatCode>
                <c:ptCount val="8"/>
                <c:pt idx="0">
                  <c:v>178</c:v>
                </c:pt>
                <c:pt idx="1">
                  <c:v>175</c:v>
                </c:pt>
                <c:pt idx="2">
                  <c:v>202</c:v>
                </c:pt>
                <c:pt idx="3">
                  <c:v>273</c:v>
                </c:pt>
                <c:pt idx="4">
                  <c:v>219</c:v>
                </c:pt>
                <c:pt idx="5">
                  <c:v>180</c:v>
                </c:pt>
                <c:pt idx="6">
                  <c:v>305</c:v>
                </c:pt>
                <c:pt idx="7">
                  <c:v>193</c:v>
                </c:pt>
              </c:numCache>
            </c:numRef>
          </c:val>
          <c:smooth val="1"/>
          <c:extLst>
            <c:ext xmlns:c16="http://schemas.microsoft.com/office/drawing/2014/chart" uri="{C3380CC4-5D6E-409C-BE32-E72D297353CC}">
              <c16:uniqueId val="{00000003-2C24-4069-AA62-BB78FA7C6F79}"/>
            </c:ext>
          </c:extLst>
        </c:ser>
        <c:ser>
          <c:idx val="4"/>
          <c:order val="4"/>
          <c:tx>
            <c:strRef>
              <c:f>Hoja7!$A$18</c:f>
              <c:strCache>
                <c:ptCount val="1"/>
                <c:pt idx="0">
                  <c:v> Suscriptores </c:v>
                </c:pt>
              </c:strCache>
              <c:extLst xmlns:c15="http://schemas.microsoft.com/office/drawing/2012/chart"/>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Hoja7!$B$18:$U$18</c15:sqref>
                  </c15:fullRef>
                </c:ext>
              </c:extLst>
              <c:f>Hoja7!$C$18:$T$18</c:f>
              <c:numCache>
                <c:formatCode>#,##0</c:formatCode>
                <c:ptCount val="8"/>
                <c:pt idx="0">
                  <c:v>19150</c:v>
                </c:pt>
                <c:pt idx="1">
                  <c:v>19158</c:v>
                </c:pt>
                <c:pt idx="2">
                  <c:v>19214</c:v>
                </c:pt>
                <c:pt idx="3">
                  <c:v>19236</c:v>
                </c:pt>
                <c:pt idx="4">
                  <c:v>19245</c:v>
                </c:pt>
                <c:pt idx="5">
                  <c:v>19269</c:v>
                </c:pt>
                <c:pt idx="6">
                  <c:v>19289</c:v>
                </c:pt>
                <c:pt idx="7">
                  <c:v>19305</c:v>
                </c:pt>
              </c:numCache>
            </c:numRef>
          </c:val>
          <c:smooth val="0"/>
          <c:extLst xmlns:c15="http://schemas.microsoft.com/office/drawing/2012/chart">
            <c:ext xmlns:c16="http://schemas.microsoft.com/office/drawing/2014/chart" uri="{C3380CC4-5D6E-409C-BE32-E72D297353CC}">
              <c16:uniqueId val="{00000004-2C24-4069-AA62-BB78FA7C6F79}"/>
            </c:ext>
          </c:extLst>
        </c:ser>
        <c:ser>
          <c:idx val="5"/>
          <c:order val="5"/>
          <c:tx>
            <c:strRef>
              <c:f>Hoja7!$A$19</c:f>
              <c:strCache>
                <c:ptCount val="1"/>
                <c:pt idx="0">
                  <c:v> Índice PQRs por cada 100 Suscriptores </c:v>
                </c:pt>
              </c:strCache>
              <c:extLst xmlns:c15="http://schemas.microsoft.com/office/drawing/2012/chart"/>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Hoja7!$B$13:$U$13</c15:sqref>
                  </c15:fullRef>
                </c:ext>
              </c:extLst>
              <c:f>Hoja7!$C$13:$T$13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Hoja7!$B$19:$U$19</c15:sqref>
                  </c15:fullRef>
                </c:ext>
              </c:extLst>
              <c:f>Hoja7!$C$19:$T$19</c:f>
              <c:numCache>
                <c:formatCode>0.000</c:formatCode>
                <c:ptCount val="8"/>
                <c:pt idx="0">
                  <c:v>0.92950391644908614</c:v>
                </c:pt>
                <c:pt idx="1">
                  <c:v>0.91345651946967321</c:v>
                </c:pt>
                <c:pt idx="2">
                  <c:v>1.0513167482044343</c:v>
                </c:pt>
                <c:pt idx="3">
                  <c:v>1.4192139737991267</c:v>
                </c:pt>
                <c:pt idx="4">
                  <c:v>1.1379579111457521</c:v>
                </c:pt>
                <c:pt idx="5">
                  <c:v>0.93414292386735165</c:v>
                </c:pt>
                <c:pt idx="6">
                  <c:v>1.5812120897921094</c:v>
                </c:pt>
                <c:pt idx="7">
                  <c:v>0.99974099974099973</c:v>
                </c:pt>
              </c:numCache>
            </c:numRef>
          </c:val>
          <c:smooth val="0"/>
          <c:extLst xmlns:c15="http://schemas.microsoft.com/office/drawing/2012/chart">
            <c:ext xmlns:c16="http://schemas.microsoft.com/office/drawing/2014/chart" uri="{C3380CC4-5D6E-409C-BE32-E72D297353CC}">
              <c16:uniqueId val="{00000005-2C24-4069-AA62-BB78FA7C6F7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43199136"/>
        <c:axId val="543190976"/>
        <c:extLst/>
      </c:lineChart>
      <c:dateAx>
        <c:axId val="16341270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30927"/>
        <c:crosses val="autoZero"/>
        <c:auto val="1"/>
        <c:lblOffset val="100"/>
        <c:baseTimeUnit val="months"/>
      </c:dateAx>
      <c:valAx>
        <c:axId val="163413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27087"/>
        <c:crosses val="autoZero"/>
        <c:crossBetween val="between"/>
      </c:valAx>
      <c:valAx>
        <c:axId val="543190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543199136"/>
        <c:crosses val="max"/>
        <c:crossBetween val="between"/>
      </c:valAx>
      <c:dateAx>
        <c:axId val="543199136"/>
        <c:scaling>
          <c:orientation val="minMax"/>
        </c:scaling>
        <c:delete val="1"/>
        <c:axPos val="b"/>
        <c:numFmt formatCode="mmm\-yy" sourceLinked="1"/>
        <c:majorTickMark val="out"/>
        <c:minorTickMark val="none"/>
        <c:tickLblPos val="nextTo"/>
        <c:crossAx val="543190976"/>
        <c:crosses val="autoZero"/>
        <c:auto val="1"/>
        <c:lblOffset val="100"/>
        <c:baseTimeUnit val="month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entury Gothic" panose="020B0502020202020204" pitchFamily="34" charset="0"/>
        </a:defRPr>
      </a:pPr>
      <a:endParaRPr lang="es-CO"/>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entury Gothic" panose="020B0502020202020204" pitchFamily="34" charset="0"/>
                <a:ea typeface="+mn-ea"/>
                <a:cs typeface="+mn-cs"/>
              </a:defRPr>
            </a:pPr>
            <a:r>
              <a:rPr lang="es-CO" b="1"/>
              <a:t>ALCANTARILLADO</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2.7851786661300729E-2"/>
          <c:y val="0.11478835863749076"/>
          <c:w val="0.94898623983890396"/>
          <c:h val="0.69493800843955278"/>
        </c:manualLayout>
      </c:layout>
      <c:barChart>
        <c:barDir val="col"/>
        <c:grouping val="clustered"/>
        <c:varyColors val="0"/>
        <c:ser>
          <c:idx val="0"/>
          <c:order val="0"/>
          <c:tx>
            <c:strRef>
              <c:f>Hoja7!$A$24</c:f>
              <c:strCache>
                <c:ptCount val="1"/>
                <c:pt idx="0">
                  <c:v> Peticiones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Hoja7!$B$23:$U$23</c15:sqref>
                  </c15:fullRef>
                </c:ext>
              </c:extLst>
              <c:f>Hoja7!$C$23:$T$23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Hoja7!$B$24:$U$24</c15:sqref>
                  </c15:fullRef>
                </c:ext>
              </c:extLst>
              <c:f>Hoja7!$C$24:$T$24</c:f>
              <c:numCache>
                <c:formatCode>#,##0</c:formatCode>
                <c:ptCount val="8"/>
                <c:pt idx="0">
                  <c:v>84</c:v>
                </c:pt>
                <c:pt idx="1">
                  <c:v>73</c:v>
                </c:pt>
                <c:pt idx="2">
                  <c:v>67</c:v>
                </c:pt>
                <c:pt idx="3">
                  <c:v>109</c:v>
                </c:pt>
                <c:pt idx="4">
                  <c:v>63</c:v>
                </c:pt>
                <c:pt idx="5">
                  <c:v>77</c:v>
                </c:pt>
                <c:pt idx="6">
                  <c:v>85</c:v>
                </c:pt>
                <c:pt idx="7">
                  <c:v>56</c:v>
                </c:pt>
              </c:numCache>
            </c:numRef>
          </c:val>
          <c:extLst>
            <c:ext xmlns:c16="http://schemas.microsoft.com/office/drawing/2014/chart" uri="{C3380CC4-5D6E-409C-BE32-E72D297353CC}">
              <c16:uniqueId val="{00000000-39A0-493C-8E0F-98FF5D599469}"/>
            </c:ext>
          </c:extLst>
        </c:ser>
        <c:ser>
          <c:idx val="1"/>
          <c:order val="1"/>
          <c:tx>
            <c:strRef>
              <c:f>Hoja7!$A$25</c:f>
              <c:strCache>
                <c:ptCount val="1"/>
                <c:pt idx="0">
                  <c:v> Queja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Hoja7!$B$23:$U$23</c15:sqref>
                  </c15:fullRef>
                </c:ext>
              </c:extLst>
              <c:f>Hoja7!$C$23:$T$23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Hoja7!$B$25:$U$25</c15:sqref>
                  </c15:fullRef>
                </c:ext>
              </c:extLst>
              <c:f>Hoja7!$C$25:$T$25</c:f>
              <c:numCache>
                <c:formatCode>#,##0</c:formatCode>
                <c:ptCount val="8"/>
                <c:pt idx="0">
                  <c:v>34</c:v>
                </c:pt>
                <c:pt idx="1">
                  <c:v>49</c:v>
                </c:pt>
                <c:pt idx="2">
                  <c:v>46</c:v>
                </c:pt>
                <c:pt idx="3">
                  <c:v>74</c:v>
                </c:pt>
                <c:pt idx="4">
                  <c:v>47</c:v>
                </c:pt>
                <c:pt idx="5">
                  <c:v>38</c:v>
                </c:pt>
                <c:pt idx="6">
                  <c:v>78</c:v>
                </c:pt>
                <c:pt idx="7">
                  <c:v>55</c:v>
                </c:pt>
              </c:numCache>
            </c:numRef>
          </c:val>
          <c:extLst>
            <c:ext xmlns:c16="http://schemas.microsoft.com/office/drawing/2014/chart" uri="{C3380CC4-5D6E-409C-BE32-E72D297353CC}">
              <c16:uniqueId val="{00000001-39A0-493C-8E0F-98FF5D599469}"/>
            </c:ext>
          </c:extLst>
        </c:ser>
        <c:ser>
          <c:idx val="2"/>
          <c:order val="2"/>
          <c:tx>
            <c:strRef>
              <c:f>Hoja7!$A$26</c:f>
              <c:strCache>
                <c:ptCount val="1"/>
                <c:pt idx="0">
                  <c:v> Reclamos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Hoja7!$B$23:$U$23</c15:sqref>
                  </c15:fullRef>
                </c:ext>
              </c:extLst>
              <c:f>Hoja7!$C$23:$T$23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Hoja7!$B$26:$U$26</c15:sqref>
                  </c15:fullRef>
                </c:ext>
              </c:extLst>
              <c:f>Hoja7!$C$26:$T$26</c:f>
              <c:numCache>
                <c:formatCode>#,##0</c:formatCode>
                <c:ptCount val="8"/>
                <c:pt idx="0">
                  <c:v>29</c:v>
                </c:pt>
                <c:pt idx="1">
                  <c:v>25</c:v>
                </c:pt>
                <c:pt idx="2">
                  <c:v>46</c:v>
                </c:pt>
                <c:pt idx="3">
                  <c:v>68</c:v>
                </c:pt>
                <c:pt idx="4">
                  <c:v>51</c:v>
                </c:pt>
                <c:pt idx="5">
                  <c:v>44</c:v>
                </c:pt>
                <c:pt idx="6">
                  <c:v>73</c:v>
                </c:pt>
                <c:pt idx="7">
                  <c:v>47</c:v>
                </c:pt>
              </c:numCache>
            </c:numRef>
          </c:val>
          <c:extLst>
            <c:ext xmlns:c16="http://schemas.microsoft.com/office/drawing/2014/chart" uri="{C3380CC4-5D6E-409C-BE32-E72D297353CC}">
              <c16:uniqueId val="{00000002-39A0-493C-8E0F-98FF5D599469}"/>
            </c:ext>
          </c:extLst>
        </c:ser>
        <c:dLbls>
          <c:dLblPos val="inBase"/>
          <c:showLegendKey val="0"/>
          <c:showVal val="1"/>
          <c:showCatName val="0"/>
          <c:showSerName val="0"/>
          <c:showPercent val="0"/>
          <c:showBubbleSize val="0"/>
        </c:dLbls>
        <c:gapWidth val="219"/>
        <c:overlap val="-27"/>
        <c:axId val="1634127087"/>
        <c:axId val="1634130927"/>
      </c:barChart>
      <c:lineChart>
        <c:grouping val="standard"/>
        <c:varyColors val="0"/>
        <c:ser>
          <c:idx val="3"/>
          <c:order val="3"/>
          <c:tx>
            <c:strRef>
              <c:f>Hoja7!$A$27</c:f>
              <c:strCache>
                <c:ptCount val="1"/>
                <c:pt idx="0">
                  <c:v> TOTAL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Hoja7!$B$23:$U$23</c15:sqref>
                  </c15:fullRef>
                </c:ext>
              </c:extLst>
              <c:f>Hoja7!$C$23:$T$23</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Hoja7!$B$27:$U$27</c15:sqref>
                  </c15:fullRef>
                </c:ext>
              </c:extLst>
              <c:f>Hoja7!$C$27:$T$27</c:f>
              <c:numCache>
                <c:formatCode>#,##0</c:formatCode>
                <c:ptCount val="8"/>
                <c:pt idx="0">
                  <c:v>147</c:v>
                </c:pt>
                <c:pt idx="1">
                  <c:v>147</c:v>
                </c:pt>
                <c:pt idx="2">
                  <c:v>159</c:v>
                </c:pt>
                <c:pt idx="3">
                  <c:v>251</c:v>
                </c:pt>
                <c:pt idx="4">
                  <c:v>161</c:v>
                </c:pt>
                <c:pt idx="5">
                  <c:v>159</c:v>
                </c:pt>
                <c:pt idx="6">
                  <c:v>236</c:v>
                </c:pt>
                <c:pt idx="7">
                  <c:v>158</c:v>
                </c:pt>
              </c:numCache>
            </c:numRef>
          </c:val>
          <c:smooth val="1"/>
          <c:extLst>
            <c:ext xmlns:c16="http://schemas.microsoft.com/office/drawing/2014/chart" uri="{C3380CC4-5D6E-409C-BE32-E72D297353CC}">
              <c16:uniqueId val="{00000003-39A0-493C-8E0F-98FF5D599469}"/>
            </c:ext>
          </c:extLst>
        </c:ser>
        <c:dLbls>
          <c:showLegendKey val="0"/>
          <c:showVal val="1"/>
          <c:showCatName val="0"/>
          <c:showSerName val="0"/>
          <c:showPercent val="0"/>
          <c:showBubbleSize val="0"/>
        </c:dLbls>
        <c:marker val="1"/>
        <c:smooth val="0"/>
        <c:axId val="543199136"/>
        <c:axId val="543190976"/>
        <c:extLst>
          <c:ext xmlns:c15="http://schemas.microsoft.com/office/drawing/2012/chart" uri="{02D57815-91ED-43cb-92C2-25804820EDAC}">
            <c15:filteredLineSeries>
              <c15:ser>
                <c:idx val="4"/>
                <c:order val="4"/>
                <c:tx>
                  <c:strRef>
                    <c:extLst>
                      <c:ext uri="{02D57815-91ED-43cb-92C2-25804820EDAC}">
                        <c15:formulaRef>
                          <c15:sqref>Hoja7!$A$28</c15:sqref>
                        </c15:formulaRef>
                      </c:ext>
                    </c:extLst>
                    <c:strCache>
                      <c:ptCount val="1"/>
                      <c:pt idx="0">
                        <c:v> Suscriptores </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Hoja7!$B$23:$U$23</c15:sqref>
                        </c15:fullRef>
                        <c15:formulaRef>
                          <c15:sqref>Hoja7!$C$23:$T$23</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uri="{02D57815-91ED-43cb-92C2-25804820EDAC}">
                        <c15:fullRef>
                          <c15:sqref>Hoja7!$B$28:$U$28</c15:sqref>
                        </c15:fullRef>
                        <c15:formulaRef>
                          <c15:sqref>Hoja7!$C$28:$T$28</c15:sqref>
                        </c15:formulaRef>
                      </c:ext>
                    </c:extLst>
                    <c:numCache>
                      <c:formatCode>#,##0</c:formatCode>
                      <c:ptCount val="8"/>
                      <c:pt idx="0">
                        <c:v>20986</c:v>
                      </c:pt>
                      <c:pt idx="1">
                        <c:v>20993</c:v>
                      </c:pt>
                      <c:pt idx="2">
                        <c:v>21110</c:v>
                      </c:pt>
                      <c:pt idx="3">
                        <c:v>21113</c:v>
                      </c:pt>
                      <c:pt idx="4">
                        <c:v>21123</c:v>
                      </c:pt>
                      <c:pt idx="5">
                        <c:v>21143</c:v>
                      </c:pt>
                      <c:pt idx="6">
                        <c:v>21158</c:v>
                      </c:pt>
                      <c:pt idx="7">
                        <c:v>21173</c:v>
                      </c:pt>
                    </c:numCache>
                  </c:numRef>
                </c:val>
                <c:smooth val="0"/>
                <c:extLst>
                  <c:ext xmlns:c16="http://schemas.microsoft.com/office/drawing/2014/chart" uri="{C3380CC4-5D6E-409C-BE32-E72D297353CC}">
                    <c16:uniqueId val="{00000004-39A0-493C-8E0F-98FF5D599469}"/>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Hoja7!$A$29</c15:sqref>
                        </c15:formulaRef>
                      </c:ext>
                    </c:extLst>
                    <c:strCache>
                      <c:ptCount val="1"/>
                      <c:pt idx="0">
                        <c:v> Índice PQRs por cada 100 Suscriptores </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Hoja7!$B$23:$U$23</c15:sqref>
                        </c15:fullRef>
                        <c15:formulaRef>
                          <c15:sqref>Hoja7!$C$23:$T$23</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Hoja7!$B$29:$U$29</c15:sqref>
                        </c15:fullRef>
                        <c15:formulaRef>
                          <c15:sqref>Hoja7!$C$29:$T$29</c15:sqref>
                        </c15:formulaRef>
                      </c:ext>
                    </c:extLst>
                    <c:numCache>
                      <c:formatCode>0.000</c:formatCode>
                      <c:ptCount val="8"/>
                      <c:pt idx="0">
                        <c:v>0.70046697798532354</c:v>
                      </c:pt>
                      <c:pt idx="1">
                        <c:v>0.70023341113704574</c:v>
                      </c:pt>
                      <c:pt idx="2">
                        <c:v>0.75319753671245859</c:v>
                      </c:pt>
                      <c:pt idx="3">
                        <c:v>1.1888409984369819</c:v>
                      </c:pt>
                      <c:pt idx="4">
                        <c:v>0.76220233868295229</c:v>
                      </c:pt>
                      <c:pt idx="5">
                        <c:v>0.75202194579766357</c:v>
                      </c:pt>
                      <c:pt idx="6">
                        <c:v>1.115417336232158</c:v>
                      </c:pt>
                      <c:pt idx="7">
                        <c:v>0.74623341047560576</c:v>
                      </c:pt>
                    </c:numCache>
                  </c:numRef>
                </c:val>
                <c:smooth val="0"/>
                <c:extLst xmlns:c15="http://schemas.microsoft.com/office/drawing/2012/chart">
                  <c:ext xmlns:c16="http://schemas.microsoft.com/office/drawing/2014/chart" uri="{C3380CC4-5D6E-409C-BE32-E72D297353CC}">
                    <c16:uniqueId val="{00000005-39A0-493C-8E0F-98FF5D599469}"/>
                  </c:ext>
                </c:extLst>
              </c15:ser>
            </c15:filteredLineSeries>
          </c:ext>
        </c:extLst>
      </c:lineChart>
      <c:dateAx>
        <c:axId val="16341270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30927"/>
        <c:crosses val="autoZero"/>
        <c:auto val="1"/>
        <c:lblOffset val="100"/>
        <c:baseTimeUnit val="months"/>
      </c:dateAx>
      <c:valAx>
        <c:axId val="163413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27087"/>
        <c:crosses val="autoZero"/>
        <c:crossBetween val="between"/>
      </c:valAx>
      <c:valAx>
        <c:axId val="543190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543199136"/>
        <c:crosses val="max"/>
        <c:crossBetween val="between"/>
      </c:valAx>
      <c:dateAx>
        <c:axId val="543199136"/>
        <c:scaling>
          <c:orientation val="minMax"/>
        </c:scaling>
        <c:delete val="1"/>
        <c:axPos val="b"/>
        <c:numFmt formatCode="mmm\-yy" sourceLinked="1"/>
        <c:majorTickMark val="out"/>
        <c:minorTickMark val="none"/>
        <c:tickLblPos val="nextTo"/>
        <c:crossAx val="54319097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entury Gothic" panose="020B0502020202020204" pitchFamily="34" charset="0"/>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Century Gothic" panose="020B0502020202020204" pitchFamily="34" charset="0"/>
                <a:ea typeface="+mn-ea"/>
                <a:cs typeface="+mn-cs"/>
              </a:defRPr>
            </a:pPr>
            <a:r>
              <a:rPr lang="es-CO" b="1"/>
              <a:t>ASEO</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entury Gothic" panose="020B0502020202020204" pitchFamily="34" charset="0"/>
              <a:ea typeface="+mn-ea"/>
              <a:cs typeface="+mn-cs"/>
            </a:defRPr>
          </a:pPr>
          <a:endParaRPr lang="es-CO"/>
        </a:p>
      </c:txPr>
    </c:title>
    <c:autoTitleDeleted val="0"/>
    <c:plotArea>
      <c:layout>
        <c:manualLayout>
          <c:layoutTarget val="inner"/>
          <c:xMode val="edge"/>
          <c:yMode val="edge"/>
          <c:x val="3.0146918836034008E-2"/>
          <c:y val="0.14447046839436853"/>
          <c:w val="0.94671852897701314"/>
          <c:h val="0.6780396293199179"/>
        </c:manualLayout>
      </c:layout>
      <c:barChart>
        <c:barDir val="col"/>
        <c:grouping val="clustered"/>
        <c:varyColors val="0"/>
        <c:ser>
          <c:idx val="0"/>
          <c:order val="0"/>
          <c:tx>
            <c:strRef>
              <c:f>Hoja7!$A$33</c:f>
              <c:strCache>
                <c:ptCount val="1"/>
                <c:pt idx="0">
                  <c:v> Peticiones </c:v>
                </c:pt>
              </c:strCache>
            </c:strRef>
          </c:tx>
          <c:spPr>
            <a:solidFill>
              <a:schemeClr val="accent1"/>
            </a:solidFill>
            <a:ln>
              <a:noFill/>
            </a:ln>
            <a:effectLst/>
          </c:spPr>
          <c:invertIfNegative val="0"/>
          <c:dLbls>
            <c:delete val="1"/>
          </c:dLbls>
          <c:cat>
            <c:strRef>
              <c:extLst>
                <c:ext xmlns:c15="http://schemas.microsoft.com/office/drawing/2012/chart" uri="{02D57815-91ED-43cb-92C2-25804820EDAC}">
                  <c15:fullRef>
                    <c15:sqref>Hoja7!$B$32:$U$32</c15:sqref>
                  </c15:fullRef>
                </c:ext>
              </c:extLst>
              <c:f>Hoja7!$C$32:$T$32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Hoja7!$B$33:$U$33</c15:sqref>
                  </c15:fullRef>
                </c:ext>
              </c:extLst>
              <c:f>Hoja7!$C$33:$T$33</c:f>
              <c:numCache>
                <c:formatCode>#,##0</c:formatCode>
                <c:ptCount val="8"/>
                <c:pt idx="0">
                  <c:v>165</c:v>
                </c:pt>
                <c:pt idx="1">
                  <c:v>210</c:v>
                </c:pt>
                <c:pt idx="2">
                  <c:v>154</c:v>
                </c:pt>
                <c:pt idx="3">
                  <c:v>216</c:v>
                </c:pt>
                <c:pt idx="4">
                  <c:v>152</c:v>
                </c:pt>
                <c:pt idx="5">
                  <c:v>152</c:v>
                </c:pt>
                <c:pt idx="6">
                  <c:v>213</c:v>
                </c:pt>
                <c:pt idx="7">
                  <c:v>141</c:v>
                </c:pt>
              </c:numCache>
            </c:numRef>
          </c:val>
          <c:extLst>
            <c:ext xmlns:c16="http://schemas.microsoft.com/office/drawing/2014/chart" uri="{C3380CC4-5D6E-409C-BE32-E72D297353CC}">
              <c16:uniqueId val="{00000000-05D1-4D18-ADED-094CC727EEBF}"/>
            </c:ext>
          </c:extLst>
        </c:ser>
        <c:ser>
          <c:idx val="1"/>
          <c:order val="1"/>
          <c:tx>
            <c:strRef>
              <c:f>Hoja7!$A$34</c:f>
              <c:strCache>
                <c:ptCount val="1"/>
                <c:pt idx="0">
                  <c:v> Queja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Hoja7!$B$32:$U$32</c15:sqref>
                  </c15:fullRef>
                </c:ext>
              </c:extLst>
              <c:f>Hoja7!$C$32:$T$32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Hoja7!$B$34:$U$34</c15:sqref>
                  </c15:fullRef>
                </c:ext>
              </c:extLst>
              <c:f>Hoja7!$C$34:$T$34</c:f>
              <c:numCache>
                <c:formatCode>#,##0</c:formatCode>
                <c:ptCount val="8"/>
                <c:pt idx="0">
                  <c:v>13</c:v>
                </c:pt>
                <c:pt idx="1">
                  <c:v>14</c:v>
                </c:pt>
                <c:pt idx="2">
                  <c:v>17</c:v>
                </c:pt>
                <c:pt idx="3">
                  <c:v>8</c:v>
                </c:pt>
                <c:pt idx="4">
                  <c:v>8</c:v>
                </c:pt>
                <c:pt idx="5">
                  <c:v>3</c:v>
                </c:pt>
                <c:pt idx="6">
                  <c:v>21</c:v>
                </c:pt>
                <c:pt idx="7">
                  <c:v>17</c:v>
                </c:pt>
              </c:numCache>
            </c:numRef>
          </c:val>
          <c:extLst>
            <c:ext xmlns:c16="http://schemas.microsoft.com/office/drawing/2014/chart" uri="{C3380CC4-5D6E-409C-BE32-E72D297353CC}">
              <c16:uniqueId val="{00000001-05D1-4D18-ADED-094CC727EEBF}"/>
            </c:ext>
          </c:extLst>
        </c:ser>
        <c:ser>
          <c:idx val="2"/>
          <c:order val="2"/>
          <c:tx>
            <c:strRef>
              <c:f>Hoja7!$A$35</c:f>
              <c:strCache>
                <c:ptCount val="1"/>
                <c:pt idx="0">
                  <c:v> Reclamos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Hoja7!$B$32:$U$32</c15:sqref>
                  </c15:fullRef>
                </c:ext>
              </c:extLst>
              <c:f>Hoja7!$C$32:$T$32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Hoja7!$B$35:$U$35</c15:sqref>
                  </c15:fullRef>
                </c:ext>
              </c:extLst>
              <c:f>Hoja7!$C$35:$T$35</c:f>
              <c:numCache>
                <c:formatCode>#,##0</c:formatCode>
                <c:ptCount val="8"/>
                <c:pt idx="0">
                  <c:v>10</c:v>
                </c:pt>
                <c:pt idx="1">
                  <c:v>6</c:v>
                </c:pt>
                <c:pt idx="2">
                  <c:v>18</c:v>
                </c:pt>
                <c:pt idx="3">
                  <c:v>18</c:v>
                </c:pt>
                <c:pt idx="4">
                  <c:v>12</c:v>
                </c:pt>
                <c:pt idx="5">
                  <c:v>14</c:v>
                </c:pt>
                <c:pt idx="6">
                  <c:v>23</c:v>
                </c:pt>
                <c:pt idx="7">
                  <c:v>12</c:v>
                </c:pt>
              </c:numCache>
            </c:numRef>
          </c:val>
          <c:extLst>
            <c:ext xmlns:c16="http://schemas.microsoft.com/office/drawing/2014/chart" uri="{C3380CC4-5D6E-409C-BE32-E72D297353CC}">
              <c16:uniqueId val="{00000002-05D1-4D18-ADED-094CC727EEBF}"/>
            </c:ext>
          </c:extLst>
        </c:ser>
        <c:dLbls>
          <c:showLegendKey val="0"/>
          <c:showVal val="1"/>
          <c:showCatName val="0"/>
          <c:showSerName val="0"/>
          <c:showPercent val="0"/>
          <c:showBubbleSize val="0"/>
        </c:dLbls>
        <c:gapWidth val="219"/>
        <c:overlap val="-27"/>
        <c:axId val="1634127087"/>
        <c:axId val="1634130927"/>
      </c:barChart>
      <c:lineChart>
        <c:grouping val="standard"/>
        <c:varyColors val="0"/>
        <c:ser>
          <c:idx val="3"/>
          <c:order val="3"/>
          <c:tx>
            <c:strRef>
              <c:f>Hoja7!$A$36</c:f>
              <c:strCache>
                <c:ptCount val="1"/>
                <c:pt idx="0">
                  <c:v> TOTAL </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Hoja7!$B$32:$U$32</c15:sqref>
                  </c15:fullRef>
                </c:ext>
              </c:extLst>
              <c:f>Hoja7!$C$32:$T$32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Hoja7!$B$36:$U$36</c15:sqref>
                  </c15:fullRef>
                </c:ext>
              </c:extLst>
              <c:f>Hoja7!$C$36:$T$36</c:f>
              <c:numCache>
                <c:formatCode>#,##0</c:formatCode>
                <c:ptCount val="8"/>
                <c:pt idx="0">
                  <c:v>188</c:v>
                </c:pt>
                <c:pt idx="1">
                  <c:v>230</c:v>
                </c:pt>
                <c:pt idx="2">
                  <c:v>189</c:v>
                </c:pt>
                <c:pt idx="3">
                  <c:v>242</c:v>
                </c:pt>
                <c:pt idx="4">
                  <c:v>172</c:v>
                </c:pt>
                <c:pt idx="5">
                  <c:v>155</c:v>
                </c:pt>
                <c:pt idx="6">
                  <c:v>234</c:v>
                </c:pt>
                <c:pt idx="7">
                  <c:v>158</c:v>
                </c:pt>
              </c:numCache>
            </c:numRef>
          </c:val>
          <c:smooth val="1"/>
          <c:extLst>
            <c:ext xmlns:c16="http://schemas.microsoft.com/office/drawing/2014/chart" uri="{C3380CC4-5D6E-409C-BE32-E72D297353CC}">
              <c16:uniqueId val="{00000003-05D1-4D18-ADED-094CC727EEBF}"/>
            </c:ext>
          </c:extLst>
        </c:ser>
        <c:dLbls>
          <c:showLegendKey val="0"/>
          <c:showVal val="1"/>
          <c:showCatName val="0"/>
          <c:showSerName val="0"/>
          <c:showPercent val="0"/>
          <c:showBubbleSize val="0"/>
        </c:dLbls>
        <c:marker val="1"/>
        <c:smooth val="0"/>
        <c:axId val="543199136"/>
        <c:axId val="543190976"/>
        <c:extLst>
          <c:ext xmlns:c15="http://schemas.microsoft.com/office/drawing/2012/chart" uri="{02D57815-91ED-43cb-92C2-25804820EDAC}">
            <c15:filteredLineSeries>
              <c15:ser>
                <c:idx val="4"/>
                <c:order val="4"/>
                <c:tx>
                  <c:strRef>
                    <c:extLst>
                      <c:ext uri="{02D57815-91ED-43cb-92C2-25804820EDAC}">
                        <c15:formulaRef>
                          <c15:sqref>Hoja7!$A$37</c15:sqref>
                        </c15:formulaRef>
                      </c:ext>
                    </c:extLst>
                    <c:strCache>
                      <c:ptCount val="1"/>
                      <c:pt idx="0">
                        <c:v> Suscriptores </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Hoja7!$B$32:$U$32</c15:sqref>
                        </c15:fullRef>
                        <c15:formulaRef>
                          <c15:sqref>Hoja7!$C$32:$T$32</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uri="{02D57815-91ED-43cb-92C2-25804820EDAC}">
                        <c15:fullRef>
                          <c15:sqref>Hoja7!$B$37:$U$37</c15:sqref>
                        </c15:fullRef>
                        <c15:formulaRef>
                          <c15:sqref>Hoja7!$C$37:$T$37</c15:sqref>
                        </c15:formulaRef>
                      </c:ext>
                    </c:extLst>
                    <c:numCache>
                      <c:formatCode>#,##0</c:formatCode>
                      <c:ptCount val="8"/>
                      <c:pt idx="0">
                        <c:v>22697</c:v>
                      </c:pt>
                      <c:pt idx="1">
                        <c:v>22705</c:v>
                      </c:pt>
                      <c:pt idx="2">
                        <c:v>22788</c:v>
                      </c:pt>
                      <c:pt idx="3">
                        <c:v>22810</c:v>
                      </c:pt>
                      <c:pt idx="4">
                        <c:v>22821</c:v>
                      </c:pt>
                      <c:pt idx="5">
                        <c:v>22845</c:v>
                      </c:pt>
                      <c:pt idx="6">
                        <c:v>22865</c:v>
                      </c:pt>
                      <c:pt idx="7">
                        <c:v>22882</c:v>
                      </c:pt>
                    </c:numCache>
                  </c:numRef>
                </c:val>
                <c:smooth val="0"/>
                <c:extLst>
                  <c:ext xmlns:c16="http://schemas.microsoft.com/office/drawing/2014/chart" uri="{C3380CC4-5D6E-409C-BE32-E72D297353CC}">
                    <c16:uniqueId val="{00000004-05D1-4D18-ADED-094CC727EEBF}"/>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Hoja7!$A$38</c15:sqref>
                        </c15:formulaRef>
                      </c:ext>
                    </c:extLst>
                    <c:strCache>
                      <c:ptCount val="1"/>
                      <c:pt idx="0">
                        <c:v> Índice PQRs por cada 100 Suscriptores </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Hoja7!$B$32:$U$32</c15:sqref>
                        </c15:fullRef>
                        <c15:formulaRef>
                          <c15:sqref>Hoja7!$C$32:$T$32</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Hoja7!$B$38:$U$38</c15:sqref>
                        </c15:fullRef>
                        <c15:formulaRef>
                          <c15:sqref>Hoja7!$C$38:$T$38</c15:sqref>
                        </c15:formulaRef>
                      </c:ext>
                    </c:extLst>
                    <c:numCache>
                      <c:formatCode>0.000</c:formatCode>
                      <c:ptCount val="8"/>
                      <c:pt idx="0">
                        <c:v>0.82830329999559416</c:v>
                      </c:pt>
                      <c:pt idx="1">
                        <c:v>1.0129927328782207</c:v>
                      </c:pt>
                      <c:pt idx="2">
                        <c:v>0.82938388625592419</c:v>
                      </c:pt>
                      <c:pt idx="3">
                        <c:v>1.060938185006576</c:v>
                      </c:pt>
                      <c:pt idx="4">
                        <c:v>0.75369177511940755</c:v>
                      </c:pt>
                      <c:pt idx="5">
                        <c:v>0.67848544539286493</c:v>
                      </c:pt>
                      <c:pt idx="6">
                        <c:v>1.0233982068663896</c:v>
                      </c:pt>
                      <c:pt idx="7">
                        <c:v>0.69049908224805523</c:v>
                      </c:pt>
                    </c:numCache>
                  </c:numRef>
                </c:val>
                <c:smooth val="0"/>
                <c:extLst xmlns:c15="http://schemas.microsoft.com/office/drawing/2012/chart">
                  <c:ext xmlns:c16="http://schemas.microsoft.com/office/drawing/2014/chart" uri="{C3380CC4-5D6E-409C-BE32-E72D297353CC}">
                    <c16:uniqueId val="{00000005-05D1-4D18-ADED-094CC727EEBF}"/>
                  </c:ext>
                </c:extLst>
              </c15:ser>
            </c15:filteredLineSeries>
          </c:ext>
        </c:extLst>
      </c:lineChart>
      <c:dateAx>
        <c:axId val="163412708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30927"/>
        <c:crosses val="autoZero"/>
        <c:auto val="1"/>
        <c:lblOffset val="100"/>
        <c:baseTimeUnit val="months"/>
      </c:dateAx>
      <c:valAx>
        <c:axId val="163413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1634127087"/>
        <c:crosses val="autoZero"/>
        <c:crossBetween val="between"/>
      </c:valAx>
      <c:valAx>
        <c:axId val="5431909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crossAx val="543199136"/>
        <c:crosses val="max"/>
        <c:crossBetween val="between"/>
      </c:valAx>
      <c:dateAx>
        <c:axId val="543199136"/>
        <c:scaling>
          <c:orientation val="minMax"/>
        </c:scaling>
        <c:delete val="1"/>
        <c:axPos val="b"/>
        <c:numFmt formatCode="mmm\-yy" sourceLinked="1"/>
        <c:majorTickMark val="out"/>
        <c:minorTickMark val="none"/>
        <c:tickLblPos val="nextTo"/>
        <c:crossAx val="543190976"/>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entury Gothic" panose="020B0502020202020204" pitchFamily="34" charset="0"/>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Century Gothic" panose="020B0502020202020204" pitchFamily="34" charset="0"/>
        </a:defRPr>
      </a:pPr>
      <a:endParaRPr lang="es-CO"/>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CO"/>
              <a:t>ALUMBRADO PÚBLICO</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CO"/>
        </a:p>
      </c:txPr>
    </c:title>
    <c:autoTitleDeleted val="0"/>
    <c:plotArea>
      <c:layout>
        <c:manualLayout>
          <c:layoutTarget val="inner"/>
          <c:xMode val="edge"/>
          <c:yMode val="edge"/>
          <c:x val="3.7213796262044428E-2"/>
          <c:y val="0.16093370681605979"/>
          <c:w val="0.94123236273318189"/>
          <c:h val="0.68969790540888276"/>
        </c:manualLayout>
      </c:layout>
      <c:barChart>
        <c:barDir val="col"/>
        <c:grouping val="clustered"/>
        <c:varyColors val="0"/>
        <c:ser>
          <c:idx val="0"/>
          <c:order val="0"/>
          <c:tx>
            <c:strRef>
              <c:f>Hoja7!$A$43</c:f>
              <c:strCache>
                <c:ptCount val="1"/>
                <c:pt idx="0">
                  <c:v> Peticiones </c:v>
                </c:pt>
              </c:strCache>
            </c:strRef>
          </c:tx>
          <c:spPr>
            <a:solidFill>
              <a:schemeClr val="accent1"/>
            </a:solidFill>
            <a:ln>
              <a:noFill/>
            </a:ln>
            <a:effectLst/>
          </c:spPr>
          <c:invertIfNegative val="0"/>
          <c:dLbls>
            <c:delete val="1"/>
          </c:dLbls>
          <c:cat>
            <c:strRef>
              <c:extLst>
                <c:ext xmlns:c15="http://schemas.microsoft.com/office/drawing/2012/chart" uri="{02D57815-91ED-43cb-92C2-25804820EDAC}">
                  <c15:fullRef>
                    <c15:sqref>Hoja7!$B$42:$U$42</c15:sqref>
                  </c15:fullRef>
                </c:ext>
              </c:extLst>
              <c:f>Hoja7!$C$42:$T$42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Hoja7!$B$43:$U$43</c15:sqref>
                  </c15:fullRef>
                </c:ext>
              </c:extLst>
              <c:f>Hoja7!$C$43:$T$43</c:f>
              <c:numCache>
                <c:formatCode>#,##0</c:formatCode>
                <c:ptCount val="8"/>
                <c:pt idx="0">
                  <c:v>17</c:v>
                </c:pt>
                <c:pt idx="1">
                  <c:v>3</c:v>
                </c:pt>
                <c:pt idx="2">
                  <c:v>2</c:v>
                </c:pt>
                <c:pt idx="3">
                  <c:v>1</c:v>
                </c:pt>
                <c:pt idx="4">
                  <c:v>1</c:v>
                </c:pt>
                <c:pt idx="5">
                  <c:v>8</c:v>
                </c:pt>
                <c:pt idx="6">
                  <c:v>2</c:v>
                </c:pt>
                <c:pt idx="7">
                  <c:v>1</c:v>
                </c:pt>
              </c:numCache>
            </c:numRef>
          </c:val>
          <c:extLst>
            <c:ext xmlns:c16="http://schemas.microsoft.com/office/drawing/2014/chart" uri="{C3380CC4-5D6E-409C-BE32-E72D297353CC}">
              <c16:uniqueId val="{00000000-E611-45E0-8DBD-19CAA292DBE5}"/>
            </c:ext>
          </c:extLst>
        </c:ser>
        <c:ser>
          <c:idx val="1"/>
          <c:order val="1"/>
          <c:tx>
            <c:strRef>
              <c:f>Hoja7!$A$44</c:f>
              <c:strCache>
                <c:ptCount val="1"/>
                <c:pt idx="0">
                  <c:v> Quejas </c:v>
                </c:pt>
              </c:strCache>
            </c:strRef>
          </c:tx>
          <c:spPr>
            <a:solidFill>
              <a:schemeClr val="accent3"/>
            </a:solidFill>
            <a:ln>
              <a:noFill/>
            </a:ln>
            <a:effectLst/>
          </c:spPr>
          <c:invertIfNegative val="0"/>
          <c:dLbls>
            <c:delete val="1"/>
          </c:dLbls>
          <c:cat>
            <c:strRef>
              <c:extLst>
                <c:ext xmlns:c15="http://schemas.microsoft.com/office/drawing/2012/chart" uri="{02D57815-91ED-43cb-92C2-25804820EDAC}">
                  <c15:fullRef>
                    <c15:sqref>Hoja7!$B$42:$U$42</c15:sqref>
                  </c15:fullRef>
                </c:ext>
              </c:extLst>
              <c:f>Hoja7!$C$42:$T$42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Hoja7!$B$44:$U$44</c15:sqref>
                  </c15:fullRef>
                </c:ext>
              </c:extLst>
              <c:f>Hoja7!$C$44:$T$44</c:f>
              <c:numCache>
                <c:formatCode>#,##0</c:formatCode>
                <c:ptCount val="8"/>
                <c:pt idx="0">
                  <c:v>13</c:v>
                </c:pt>
                <c:pt idx="1">
                  <c:v>20</c:v>
                </c:pt>
                <c:pt idx="2">
                  <c:v>12</c:v>
                </c:pt>
                <c:pt idx="3">
                  <c:v>11</c:v>
                </c:pt>
                <c:pt idx="4">
                  <c:v>9</c:v>
                </c:pt>
                <c:pt idx="5">
                  <c:v>15</c:v>
                </c:pt>
                <c:pt idx="6">
                  <c:v>12</c:v>
                </c:pt>
                <c:pt idx="7">
                  <c:v>17</c:v>
                </c:pt>
              </c:numCache>
            </c:numRef>
          </c:val>
          <c:extLst>
            <c:ext xmlns:c16="http://schemas.microsoft.com/office/drawing/2014/chart" uri="{C3380CC4-5D6E-409C-BE32-E72D297353CC}">
              <c16:uniqueId val="{00000001-E611-45E0-8DBD-19CAA292DBE5}"/>
            </c:ext>
          </c:extLst>
        </c:ser>
        <c:ser>
          <c:idx val="2"/>
          <c:order val="2"/>
          <c:tx>
            <c:strRef>
              <c:f>Hoja7!$A$45</c:f>
              <c:strCache>
                <c:ptCount val="1"/>
                <c:pt idx="0">
                  <c:v> Reclamos </c:v>
                </c:pt>
              </c:strCache>
            </c:strRef>
          </c:tx>
          <c:spPr>
            <a:solidFill>
              <a:schemeClr val="accent5"/>
            </a:solidFill>
            <a:ln>
              <a:noFill/>
            </a:ln>
            <a:effectLst/>
          </c:spPr>
          <c:invertIfNegative val="0"/>
          <c:dLbls>
            <c:delete val="1"/>
          </c:dLbls>
          <c:cat>
            <c:strRef>
              <c:extLst>
                <c:ext xmlns:c15="http://schemas.microsoft.com/office/drawing/2012/chart" uri="{02D57815-91ED-43cb-92C2-25804820EDAC}">
                  <c15:fullRef>
                    <c15:sqref>Hoja7!$B$42:$U$42</c15:sqref>
                  </c15:fullRef>
                </c:ext>
              </c:extLst>
              <c:f>Hoja7!$C$42:$T$42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Hoja7!$B$45:$U$45</c15:sqref>
                  </c15:fullRef>
                </c:ext>
              </c:extLst>
              <c:f>Hoja7!$C$45:$T$45</c:f>
              <c:numCache>
                <c:formatCode>#,##0</c:formatCode>
                <c:ptCount val="8"/>
                <c:pt idx="0">
                  <c:v>4</c:v>
                </c:pt>
                <c:pt idx="1">
                  <c:v>2</c:v>
                </c:pt>
                <c:pt idx="2">
                  <c:v>4</c:v>
                </c:pt>
                <c:pt idx="3">
                  <c:v>6</c:v>
                </c:pt>
                <c:pt idx="4">
                  <c:v>3</c:v>
                </c:pt>
                <c:pt idx="5">
                  <c:v>6</c:v>
                </c:pt>
                <c:pt idx="6">
                  <c:v>3</c:v>
                </c:pt>
                <c:pt idx="7">
                  <c:v>1</c:v>
                </c:pt>
              </c:numCache>
            </c:numRef>
          </c:val>
          <c:extLst>
            <c:ext xmlns:c16="http://schemas.microsoft.com/office/drawing/2014/chart" uri="{C3380CC4-5D6E-409C-BE32-E72D297353CC}">
              <c16:uniqueId val="{00000002-E611-45E0-8DBD-19CAA292DBE5}"/>
            </c:ext>
          </c:extLst>
        </c:ser>
        <c:dLbls>
          <c:showLegendKey val="0"/>
          <c:showVal val="1"/>
          <c:showCatName val="0"/>
          <c:showSerName val="0"/>
          <c:showPercent val="0"/>
          <c:showBubbleSize val="0"/>
        </c:dLbls>
        <c:gapWidth val="219"/>
        <c:axId val="1667198975"/>
        <c:axId val="1667200895"/>
      </c:barChart>
      <c:lineChart>
        <c:grouping val="standard"/>
        <c:varyColors val="0"/>
        <c:ser>
          <c:idx val="3"/>
          <c:order val="3"/>
          <c:tx>
            <c:strRef>
              <c:f>Hoja7!$A$46</c:f>
              <c:strCache>
                <c:ptCount val="1"/>
                <c:pt idx="0">
                  <c:v> TOTAL </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Hoja7!$B$42:$U$42</c15:sqref>
                  </c15:fullRef>
                </c:ext>
              </c:extLst>
              <c:f>Hoja7!$C$42:$T$42</c:f>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Hoja7!$B$46:$U$46</c15:sqref>
                  </c15:fullRef>
                </c:ext>
              </c:extLst>
              <c:f>Hoja7!$C$46:$T$46</c:f>
              <c:numCache>
                <c:formatCode>#,##0</c:formatCode>
                <c:ptCount val="8"/>
                <c:pt idx="0">
                  <c:v>34</c:v>
                </c:pt>
                <c:pt idx="1">
                  <c:v>25</c:v>
                </c:pt>
                <c:pt idx="2">
                  <c:v>18</c:v>
                </c:pt>
                <c:pt idx="3">
                  <c:v>18</c:v>
                </c:pt>
                <c:pt idx="4">
                  <c:v>13</c:v>
                </c:pt>
                <c:pt idx="5">
                  <c:v>29</c:v>
                </c:pt>
                <c:pt idx="6">
                  <c:v>17</c:v>
                </c:pt>
                <c:pt idx="7">
                  <c:v>19</c:v>
                </c:pt>
              </c:numCache>
            </c:numRef>
          </c:val>
          <c:smooth val="1"/>
          <c:extLst>
            <c:ext xmlns:c16="http://schemas.microsoft.com/office/drawing/2014/chart" uri="{C3380CC4-5D6E-409C-BE32-E72D297353CC}">
              <c16:uniqueId val="{00000003-E611-45E0-8DBD-19CAA292DBE5}"/>
            </c:ext>
          </c:extLst>
        </c:ser>
        <c:dLbls>
          <c:showLegendKey val="0"/>
          <c:showVal val="1"/>
          <c:showCatName val="0"/>
          <c:showSerName val="0"/>
          <c:showPercent val="0"/>
          <c:showBubbleSize val="0"/>
        </c:dLbls>
        <c:marker val="1"/>
        <c:smooth val="0"/>
        <c:axId val="1731178767"/>
        <c:axId val="1731178287"/>
        <c:extLst>
          <c:ext xmlns:c15="http://schemas.microsoft.com/office/drawing/2012/chart" uri="{02D57815-91ED-43cb-92C2-25804820EDAC}">
            <c15:filteredLineSeries>
              <c15:ser>
                <c:idx val="4"/>
                <c:order val="4"/>
                <c:tx>
                  <c:strRef>
                    <c:extLst>
                      <c:ext uri="{02D57815-91ED-43cb-92C2-25804820EDAC}">
                        <c15:formulaRef>
                          <c15:sqref>Hoja7!$A$47</c15:sqref>
                        </c15:formulaRef>
                      </c:ext>
                    </c:extLst>
                    <c:strCache>
                      <c:ptCount val="1"/>
                      <c:pt idx="0">
                        <c:v> Suscriptores </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Hoja7!$B$42:$U$42</c15:sqref>
                        </c15:fullRef>
                        <c15:formulaRef>
                          <c15:sqref>Hoja7!$C$42:$T$42</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uri="{02D57815-91ED-43cb-92C2-25804820EDAC}">
                        <c15:fullRef>
                          <c15:sqref>Hoja7!$B$47:$U$47</c15:sqref>
                        </c15:fullRef>
                        <c15:formulaRef>
                          <c15:sqref>Hoja7!$C$47:$T$47</c15:sqref>
                        </c15:formulaRef>
                      </c:ext>
                    </c:extLst>
                    <c:numCache>
                      <c:formatCode>#,##0</c:formatCode>
                      <c:ptCount val="8"/>
                      <c:pt idx="0">
                        <c:v>25476</c:v>
                      </c:pt>
                      <c:pt idx="1">
                        <c:v>23126</c:v>
                      </c:pt>
                      <c:pt idx="2">
                        <c:v>25529</c:v>
                      </c:pt>
                      <c:pt idx="3">
                        <c:v>23167</c:v>
                      </c:pt>
                      <c:pt idx="4">
                        <c:v>25536</c:v>
                      </c:pt>
                      <c:pt idx="5">
                        <c:v>23206</c:v>
                      </c:pt>
                      <c:pt idx="6">
                        <c:v>25625</c:v>
                      </c:pt>
                      <c:pt idx="7">
                        <c:v>23268</c:v>
                      </c:pt>
                    </c:numCache>
                  </c:numRef>
                </c:val>
                <c:smooth val="0"/>
                <c:extLst>
                  <c:ext xmlns:c16="http://schemas.microsoft.com/office/drawing/2014/chart" uri="{C3380CC4-5D6E-409C-BE32-E72D297353CC}">
                    <c16:uniqueId val="{00000000-4937-4916-BCE2-2E946D70384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Hoja7!$A$48</c15:sqref>
                        </c15:formulaRef>
                      </c:ext>
                    </c:extLst>
                    <c:strCache>
                      <c:ptCount val="1"/>
                      <c:pt idx="0">
                        <c:v> Índice PQRs por cada 100 Suscriptores </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Hoja7!$B$42:$U$42</c15:sqref>
                        </c15:fullRef>
                        <c15:formulaRef>
                          <c15:sqref>Hoja7!$C$42:$T$42</c15:sqref>
                        </c15:formulaRef>
                      </c:ext>
                    </c:extLst>
                    <c:strCache>
                      <c:ptCount val="8"/>
                      <c:pt idx="0">
                        <c:v>ene-26</c:v>
                      </c:pt>
                      <c:pt idx="1">
                        <c:v>feb-26</c:v>
                      </c:pt>
                      <c:pt idx="2">
                        <c:v>mar-26</c:v>
                      </c:pt>
                      <c:pt idx="3">
                        <c:v>abr-26</c:v>
                      </c:pt>
                      <c:pt idx="4">
                        <c:v>may-26</c:v>
                      </c:pt>
                      <c:pt idx="5">
                        <c:v>jun-26</c:v>
                      </c:pt>
                      <c:pt idx="6">
                        <c:v>jul-26</c:v>
                      </c:pt>
                      <c:pt idx="7">
                        <c:v>ago-26</c:v>
                      </c:pt>
                    </c:strCache>
                  </c:strRef>
                </c:cat>
                <c:val>
                  <c:numRef>
                    <c:extLst>
                      <c:ext xmlns:c15="http://schemas.microsoft.com/office/drawing/2012/chart" uri="{02D57815-91ED-43cb-92C2-25804820EDAC}">
                        <c15:fullRef>
                          <c15:sqref>Hoja7!$B$48:$U$48</c15:sqref>
                        </c15:fullRef>
                        <c15:formulaRef>
                          <c15:sqref>Hoja7!$C$48:$T$48</c15:sqref>
                        </c15:formulaRef>
                      </c:ext>
                    </c:extLst>
                    <c:numCache>
                      <c:formatCode>0.00</c:formatCode>
                      <c:ptCount val="8"/>
                      <c:pt idx="0">
                        <c:v>0.1334589417490972</c:v>
                      </c:pt>
                      <c:pt idx="1">
                        <c:v>0.10810343336504367</c:v>
                      </c:pt>
                      <c:pt idx="2">
                        <c:v>1.5668455482000864E-2</c:v>
                      </c:pt>
                      <c:pt idx="3">
                        <c:v>2.5898907929382313E-2</c:v>
                      </c:pt>
                      <c:pt idx="4">
                        <c:v>1.1748120300751879E-2</c:v>
                      </c:pt>
                      <c:pt idx="5">
                        <c:v>2.5855382228733948E-2</c:v>
                      </c:pt>
                      <c:pt idx="6">
                        <c:v>1.1707317073170732E-2</c:v>
                      </c:pt>
                      <c:pt idx="7">
                        <c:v>4.2977479800584495E-3</c:v>
                      </c:pt>
                    </c:numCache>
                  </c:numRef>
                </c:val>
                <c:smooth val="0"/>
                <c:extLst xmlns:c15="http://schemas.microsoft.com/office/drawing/2012/chart">
                  <c:ext xmlns:c16="http://schemas.microsoft.com/office/drawing/2014/chart" uri="{C3380CC4-5D6E-409C-BE32-E72D297353CC}">
                    <c16:uniqueId val="{00000001-4937-4916-BCE2-2E946D703848}"/>
                  </c:ext>
                </c:extLst>
              </c15:ser>
            </c15:filteredLineSeries>
          </c:ext>
        </c:extLst>
      </c:lineChart>
      <c:dateAx>
        <c:axId val="166719897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667200895"/>
        <c:crosses val="autoZero"/>
        <c:auto val="1"/>
        <c:lblOffset val="100"/>
        <c:baseTimeUnit val="months"/>
      </c:dateAx>
      <c:valAx>
        <c:axId val="166720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667198975"/>
        <c:crosses val="autoZero"/>
        <c:crossBetween val="between"/>
      </c:valAx>
      <c:valAx>
        <c:axId val="17311782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731178767"/>
        <c:crosses val="max"/>
        <c:crossBetween val="between"/>
      </c:valAx>
      <c:dateAx>
        <c:axId val="1731178767"/>
        <c:scaling>
          <c:orientation val="minMax"/>
        </c:scaling>
        <c:delete val="1"/>
        <c:axPos val="b"/>
        <c:numFmt formatCode="mmm\-yy" sourceLinked="1"/>
        <c:majorTickMark val="out"/>
        <c:minorTickMark val="none"/>
        <c:tickLblPos val="nextTo"/>
        <c:crossAx val="1731178287"/>
        <c:crosses val="autoZero"/>
        <c:auto val="1"/>
        <c:lblOffset val="100"/>
        <c:baseTimeUnit val="months"/>
      </c:date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CO"/>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s-CO"/>
              <a:t>SERVICIOS INMOBILIARIOS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CO"/>
        </a:p>
      </c:txPr>
    </c:title>
    <c:autoTitleDeleted val="0"/>
    <c:plotArea>
      <c:layout/>
      <c:barChart>
        <c:barDir val="col"/>
        <c:grouping val="clustered"/>
        <c:varyColors val="0"/>
        <c:ser>
          <c:idx val="0"/>
          <c:order val="0"/>
          <c:tx>
            <c:v>Peticiones</c:v>
          </c:tx>
          <c:spPr>
            <a:solidFill>
              <a:schemeClr val="accent1"/>
            </a:solidFill>
            <a:ln>
              <a:noFill/>
            </a:ln>
            <a:effectLst/>
          </c:spPr>
          <c:invertIfNegative val="0"/>
          <c:cat>
            <c:numLit>
              <c:formatCode>General</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Lit>
          </c:cat>
          <c:val>
            <c:numLit>
              <c:formatCode>General</c:formatCode>
              <c:ptCount val="12"/>
            </c:numLit>
          </c:val>
          <c:extLst>
            <c:ext xmlns:c16="http://schemas.microsoft.com/office/drawing/2014/chart" uri="{C3380CC4-5D6E-409C-BE32-E72D297353CC}">
              <c16:uniqueId val="{00000000-9990-41AA-840F-3C71130F3213}"/>
            </c:ext>
          </c:extLst>
        </c:ser>
        <c:ser>
          <c:idx val="1"/>
          <c:order val="1"/>
          <c:tx>
            <c:v>Quejas</c:v>
          </c:tx>
          <c:spPr>
            <a:solidFill>
              <a:schemeClr val="accent2"/>
            </a:solidFill>
            <a:ln>
              <a:noFill/>
            </a:ln>
            <a:effectLst/>
          </c:spPr>
          <c:invertIfNegative val="0"/>
          <c:cat>
            <c:numLit>
              <c:formatCode>General</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Lit>
          </c:cat>
          <c:val>
            <c:numLit>
              <c:formatCode>General</c:formatCode>
              <c:ptCount val="12"/>
            </c:numLit>
          </c:val>
          <c:extLst>
            <c:ext xmlns:c16="http://schemas.microsoft.com/office/drawing/2014/chart" uri="{C3380CC4-5D6E-409C-BE32-E72D297353CC}">
              <c16:uniqueId val="{00000001-9990-41AA-840F-3C71130F3213}"/>
            </c:ext>
          </c:extLst>
        </c:ser>
        <c:ser>
          <c:idx val="2"/>
          <c:order val="2"/>
          <c:tx>
            <c:v>Reclamos</c:v>
          </c:tx>
          <c:spPr>
            <a:solidFill>
              <a:schemeClr val="accent3"/>
            </a:solidFill>
            <a:ln>
              <a:noFill/>
            </a:ln>
            <a:effectLst/>
          </c:spPr>
          <c:invertIfNegative val="0"/>
          <c:cat>
            <c:numLit>
              <c:formatCode>General</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Lit>
          </c:cat>
          <c:val>
            <c:numLit>
              <c:formatCode>General</c:formatCode>
              <c:ptCount val="12"/>
            </c:numLit>
          </c:val>
          <c:extLst>
            <c:ext xmlns:c16="http://schemas.microsoft.com/office/drawing/2014/chart" uri="{C3380CC4-5D6E-409C-BE32-E72D297353CC}">
              <c16:uniqueId val="{00000002-9990-41AA-840F-3C71130F3213}"/>
            </c:ext>
          </c:extLst>
        </c:ser>
        <c:dLbls>
          <c:showLegendKey val="0"/>
          <c:showVal val="0"/>
          <c:showCatName val="0"/>
          <c:showSerName val="0"/>
          <c:showPercent val="0"/>
          <c:showBubbleSize val="0"/>
        </c:dLbls>
        <c:gapWidth val="219"/>
        <c:axId val="1667198975"/>
        <c:axId val="1667200895"/>
      </c:barChart>
      <c:lineChart>
        <c:grouping val="standard"/>
        <c:varyColors val="0"/>
        <c:ser>
          <c:idx val="3"/>
          <c:order val="3"/>
          <c:tx>
            <c:v>TOTAL</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Lit>
          </c:val>
          <c:smooth val="1"/>
          <c:extLst>
            <c:ext xmlns:c16="http://schemas.microsoft.com/office/drawing/2014/chart" uri="{C3380CC4-5D6E-409C-BE32-E72D297353CC}">
              <c16:uniqueId val="{00000003-9990-41AA-840F-3C71130F3213}"/>
            </c:ext>
          </c:extLst>
        </c:ser>
        <c:dLbls>
          <c:showLegendKey val="0"/>
          <c:showVal val="0"/>
          <c:showCatName val="0"/>
          <c:showSerName val="0"/>
          <c:showPercent val="0"/>
          <c:showBubbleSize val="0"/>
        </c:dLbls>
        <c:marker val="1"/>
        <c:smooth val="0"/>
        <c:axId val="1731178767"/>
        <c:axId val="1731178287"/>
      </c:lineChart>
      <c:catAx>
        <c:axId val="16671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667200895"/>
        <c:crosses val="autoZero"/>
        <c:auto val="1"/>
        <c:lblAlgn val="ctr"/>
        <c:lblOffset val="100"/>
        <c:noMultiLvlLbl val="0"/>
      </c:catAx>
      <c:valAx>
        <c:axId val="166720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667198975"/>
        <c:crosses val="autoZero"/>
        <c:crossBetween val="between"/>
      </c:valAx>
      <c:valAx>
        <c:axId val="17311782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crossAx val="1731178767"/>
        <c:crosses val="max"/>
        <c:crossBetween val="between"/>
      </c:valAx>
      <c:catAx>
        <c:axId val="1731178767"/>
        <c:scaling>
          <c:orientation val="minMax"/>
        </c:scaling>
        <c:delete val="1"/>
        <c:axPos val="b"/>
        <c:majorTickMark val="out"/>
        <c:minorTickMark val="none"/>
        <c:tickLblPos val="nextTo"/>
        <c:crossAx val="17311782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CO"/>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 PIA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2"/>
          <c:order val="2"/>
          <c:tx>
            <c:strRef>
              <c:f>DIGITURNO!$G$23</c:f>
              <c:strCache>
                <c:ptCount val="1"/>
                <c:pt idx="0">
                  <c:v>JUNIO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9C35-4445-BDF5-987CF1E64A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9C35-4445-BDF5-987CF1E64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9C35-4445-BDF5-987CF1E64A96}"/>
              </c:ext>
            </c:extLst>
          </c:dPt>
          <c:dLbls>
            <c:dLbl>
              <c:idx val="0"/>
              <c:layout>
                <c:manualLayout>
                  <c:x val="0.13316652726101544"/>
                  <c:y val="-8.582713619130942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9C35-4445-BDF5-987CF1E64A96}"/>
                </c:ext>
              </c:extLst>
            </c:dLbl>
            <c:dLbl>
              <c:idx val="1"/>
              <c:layout>
                <c:manualLayout>
                  <c:x val="-5.1087460221318486E-2"/>
                  <c:y val="1.42840478273549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9C35-4445-BDF5-987CF1E64A96}"/>
                </c:ext>
              </c:extLst>
            </c:dLbl>
            <c:dLbl>
              <c:idx val="2"/>
              <c:layout>
                <c:manualLayout>
                  <c:x val="8.3157489929143472E-2"/>
                  <c:y val="8.854986876640420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9C35-4445-BDF5-987CF1E64A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DIGITURNO!$D$24:$D$27</c15:sqref>
                  </c15:fullRef>
                </c:ext>
              </c:extLst>
              <c:f>DIGITURNO!$D$24:$D$26</c:f>
              <c:strCache>
                <c:ptCount val="3"/>
                <c:pt idx="0">
                  <c:v>Petición</c:v>
                </c:pt>
                <c:pt idx="1">
                  <c:v>Queja </c:v>
                </c:pt>
                <c:pt idx="2">
                  <c:v>Reclamo</c:v>
                </c:pt>
              </c:strCache>
            </c:strRef>
          </c:cat>
          <c:val>
            <c:numRef>
              <c:extLst>
                <c:ext xmlns:c15="http://schemas.microsoft.com/office/drawing/2012/chart" uri="{02D57815-91ED-43cb-92C2-25804820EDAC}">
                  <c15:fullRef>
                    <c15:sqref>DIGITURNO!$G$24:$G$27</c15:sqref>
                  </c15:fullRef>
                </c:ext>
              </c:extLst>
              <c:f>DIGITURNO!$G$24:$G$26</c:f>
              <c:numCache>
                <c:formatCode>General</c:formatCode>
                <c:ptCount val="3"/>
                <c:pt idx="0">
                  <c:v>643</c:v>
                </c:pt>
                <c:pt idx="1">
                  <c:v>17</c:v>
                </c:pt>
                <c:pt idx="2">
                  <c:v>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18-9C35-4445-BDF5-987CF1E64A96}"/>
            </c:ext>
          </c:extLst>
        </c:ser>
        <c:dLbls>
          <c:dLblPos val="bestFit"/>
          <c:showLegendKey val="0"/>
          <c:showVal val="1"/>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DIGITURNO!$E$23</c15:sqref>
                        </c15:formulaRef>
                      </c:ext>
                    </c:extLst>
                    <c:strCache>
                      <c:ptCount val="1"/>
                      <c:pt idx="0">
                        <c:v>ABRIL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5F-4BB3-9193-52EB69E68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9C35-4445-BDF5-987CF1E64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25F-4BB3-9193-52EB69E68D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0"/>
                  <c:extLst>
                    <c:ext uri="{CE6537A1-D6FC-4f65-9D91-7224C49458BB}"/>
                  </c:extLst>
                </c:dLbls>
                <c:cat>
                  <c:strRef>
                    <c:extLst>
                      <c:ext uri="{02D57815-91ED-43cb-92C2-25804820EDAC}">
                        <c15:fullRef>
                          <c15:sqref>DIGITURNO!$D$24:$D$27</c15:sqref>
                        </c15:fullRef>
                        <c15:formulaRef>
                          <c15:sqref>DIGITURNO!$D$24:$D$26</c15:sqref>
                        </c15:formulaRef>
                      </c:ext>
                    </c:extLst>
                    <c:strCache>
                      <c:ptCount val="3"/>
                      <c:pt idx="0">
                        <c:v>Petición</c:v>
                      </c:pt>
                      <c:pt idx="1">
                        <c:v>Queja </c:v>
                      </c:pt>
                      <c:pt idx="2">
                        <c:v>Reclamo</c:v>
                      </c:pt>
                    </c:strCache>
                  </c:strRef>
                </c:cat>
                <c:val>
                  <c:numRef>
                    <c:extLst>
                      <c:ext uri="{02D57815-91ED-43cb-92C2-25804820EDAC}">
                        <c15:fullRef>
                          <c15:sqref>DIGITURNO!$E$24:$E$27</c15:sqref>
                        </c15:fullRef>
                        <c15:formulaRef>
                          <c15:sqref>DIGITURNO!$E$24:$E$26</c15:sqref>
                        </c15:formulaRef>
                      </c:ext>
                    </c:extLst>
                    <c:numCache>
                      <c:formatCode>General</c:formatCode>
                      <c:ptCount val="3"/>
                      <c:pt idx="0">
                        <c:v>743</c:v>
                      </c:pt>
                      <c:pt idx="1">
                        <c:v>106</c:v>
                      </c:pt>
                      <c:pt idx="2">
                        <c:v>62</c:v>
                      </c:pt>
                    </c:numCache>
                  </c:numRef>
                </c:val>
                <c:extLst>
                  <c:ext uri="{02D57815-91ED-43cb-92C2-25804820EDAC}">
                    <c15:categoryFilterExceptions/>
                  </c:ext>
                  <c:ext xmlns:c16="http://schemas.microsoft.com/office/drawing/2014/chart" uri="{C3380CC4-5D6E-409C-BE32-E72D297353CC}">
                    <c16:uniqueId val="{0000000A-425F-4BB3-9193-52EB69E68DE8}"/>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DIGITURNO!$F$23</c15:sqref>
                        </c15:formulaRef>
                      </c:ext>
                    </c:extLst>
                    <c:strCache>
                      <c:ptCount val="1"/>
                      <c:pt idx="0">
                        <c:v>MAYO </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C-425F-4BB3-9193-52EB69E68DE8}"/>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7-9C35-4445-BDF5-987CF1E64A96}"/>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0E-425F-4BB3-9193-52EB69E68D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DIGITURNO!$D$24:$D$27</c15:sqref>
                        </c15:fullRef>
                        <c15:formulaRef>
                          <c15:sqref>DIGITURNO!$D$24:$D$26</c15:sqref>
                        </c15:formulaRef>
                      </c:ext>
                    </c:extLst>
                    <c:strCache>
                      <c:ptCount val="3"/>
                      <c:pt idx="0">
                        <c:v>Petición</c:v>
                      </c:pt>
                      <c:pt idx="1">
                        <c:v>Queja </c:v>
                      </c:pt>
                      <c:pt idx="2">
                        <c:v>Reclamo</c:v>
                      </c:pt>
                    </c:strCache>
                  </c:strRef>
                </c:cat>
                <c:val>
                  <c:numRef>
                    <c:extLst>
                      <c:ext xmlns:c15="http://schemas.microsoft.com/office/drawing/2012/chart" uri="{02D57815-91ED-43cb-92C2-25804820EDAC}">
                        <c15:fullRef>
                          <c15:sqref>DIGITURNO!$F$24:$F$27</c15:sqref>
                        </c15:fullRef>
                        <c15:formulaRef>
                          <c15:sqref>DIGITURNO!$F$24:$F$26</c15:sqref>
                        </c15:formulaRef>
                      </c:ext>
                    </c:extLst>
                    <c:numCache>
                      <c:formatCode>General</c:formatCode>
                      <c:ptCount val="3"/>
                      <c:pt idx="0">
                        <c:v>889</c:v>
                      </c:pt>
                      <c:pt idx="1">
                        <c:v>21</c:v>
                      </c:pt>
                      <c:pt idx="2">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5-425F-4BB3-9193-52EB69E68DE8}"/>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PQR'S  PIA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33954669295498124"/>
          <c:y val="9.3563778065346284E-2"/>
          <c:w val="0.93888888888888888"/>
          <c:h val="0.6714577865266842"/>
        </c:manualLayout>
      </c:layout>
      <c:doughnutChart>
        <c:varyColors val="1"/>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20-3C2E-4E52-B9D0-4DF1692347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3C2E-4E52-B9D0-4DF1692347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2-3C2E-4E52-B9D0-4DF1692347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4-3C2E-4E52-B9D0-4DF1692347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3C2E-4E52-B9D0-4DF1692347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3C2E-4E52-B9D0-4DF1692347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B6E-4742-8769-D1080A55AE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3C2E-4E52-B9D0-4DF169234781}"/>
              </c:ext>
            </c:extLst>
          </c:dPt>
          <c:dLbls>
            <c:dLbl>
              <c:idx val="0"/>
              <c:layout>
                <c:manualLayout>
                  <c:x val="7.6069730586370843E-2"/>
                  <c:y val="4.4568245125348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3C2E-4E52-B9D0-4DF169234781}"/>
                </c:ext>
              </c:extLst>
            </c:dLbl>
            <c:dLbl>
              <c:idx val="1"/>
              <c:layout>
                <c:manualLayout>
                  <c:x val="-7.6069730586370884E-2"/>
                  <c:y val="3.3426183844011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3C2E-4E52-B9D0-4DF169234781}"/>
                </c:ext>
              </c:extLst>
            </c:dLbl>
            <c:dLbl>
              <c:idx val="2"/>
              <c:layout>
                <c:manualLayout>
                  <c:x val="-8.2408874801901746E-2"/>
                  <c:y val="-3.34261838440111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3C2E-4E52-B9D0-4DF169234781}"/>
                </c:ext>
              </c:extLst>
            </c:dLbl>
            <c:dLbl>
              <c:idx val="3"/>
              <c:layout>
                <c:manualLayout>
                  <c:x val="-0.13312202852614902"/>
                  <c:y val="-2.59981429897864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3C2E-4E52-B9D0-4DF169234781}"/>
                </c:ext>
              </c:extLst>
            </c:dLbl>
            <c:dLbl>
              <c:idx val="4"/>
              <c:layout>
                <c:manualLayout>
                  <c:x val="-8.452183968287641E-2"/>
                  <c:y val="-4.27110886905153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15:layout>
                    <c:manualLayout>
                      <c:w val="5.0036978341257261E-2"/>
                      <c:h val="4.8226701467330511E-2"/>
                    </c:manualLayout>
                  </c15:layout>
                </c:ext>
                <c:ext xmlns:c16="http://schemas.microsoft.com/office/drawing/2014/chart" uri="{C3380CC4-5D6E-409C-BE32-E72D297353CC}">
                  <c16:uniqueId val="{00000023-3C2E-4E52-B9D0-4DF169234781}"/>
                </c:ext>
              </c:extLst>
            </c:dLbl>
            <c:dLbl>
              <c:idx val="5"/>
              <c:layout>
                <c:manualLayout>
                  <c:x val="-8.874801901743265E-2"/>
                  <c:y val="-5.5710306406685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C2E-4E52-B9D0-4DF169234781}"/>
                </c:ext>
              </c:extLst>
            </c:dLbl>
            <c:dLbl>
              <c:idx val="7"/>
              <c:layout>
                <c:manualLayout>
                  <c:x val="0.13100898045430526"/>
                  <c:y val="-5.57103064066852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3C2E-4E52-B9D0-4DF1692347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DIGITURNO!$D$11:$D$20</c15:sqref>
                  </c15:fullRef>
                </c:ext>
              </c:extLst>
              <c:f>DIGITURNO!$D$12:$D$19</c:f>
              <c:strCache>
                <c:ptCount val="8"/>
                <c:pt idx="0">
                  <c:v>Caja</c:v>
                </c:pt>
                <c:pt idx="1">
                  <c:v>Disponibilidad y conexión de servicios</c:v>
                </c:pt>
                <c:pt idx="2">
                  <c:v>Duplicados y facturas</c:v>
                </c:pt>
                <c:pt idx="3">
                  <c:v>Financiaciones</c:v>
                </c:pt>
                <c:pt idx="4">
                  <c:v>Pagos parciales</c:v>
                </c:pt>
                <c:pt idx="5">
                  <c:v>PQRSF</c:v>
                </c:pt>
                <c:pt idx="6">
                  <c:v>Radicación</c:v>
                </c:pt>
                <c:pt idx="7">
                  <c:v>Radicación de documentos</c:v>
                </c:pt>
              </c:strCache>
            </c:strRef>
          </c:cat>
          <c:val>
            <c:numRef>
              <c:extLst>
                <c:ext xmlns:c15="http://schemas.microsoft.com/office/drawing/2012/chart" uri="{02D57815-91ED-43cb-92C2-25804820EDAC}">
                  <c15:fullRef>
                    <c15:sqref>DIGITURNO!$G$11:$G$20</c15:sqref>
                  </c15:fullRef>
                </c:ext>
              </c:extLst>
              <c:f>DIGITURNO!$G$12:$G$19</c:f>
              <c:numCache>
                <c:formatCode>General</c:formatCode>
                <c:ptCount val="8"/>
                <c:pt idx="0">
                  <c:v>7079</c:v>
                </c:pt>
                <c:pt idx="1">
                  <c:v>44</c:v>
                </c:pt>
                <c:pt idx="2">
                  <c:v>1395</c:v>
                </c:pt>
                <c:pt idx="3">
                  <c:v>6</c:v>
                </c:pt>
                <c:pt idx="4">
                  <c:v>621</c:v>
                </c:pt>
                <c:pt idx="5">
                  <c:v>674</c:v>
                </c:pt>
                <c:pt idx="6">
                  <c:v>10</c:v>
                </c:pt>
                <c:pt idx="7">
                  <c:v>33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1E-3C2E-4E52-B9D0-4DF169234781}"/>
            </c:ext>
          </c:extLst>
        </c:ser>
        <c:dLbls>
          <c:showLegendKey val="0"/>
          <c:showVal val="1"/>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C2E-4E52-B9D0-4DF1692347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3C2E-4E52-B9D0-4DF1692347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3C2E-4E52-B9D0-4DF1692347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3C2E-4E52-B9D0-4DF1692347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3C2E-4E52-B9D0-4DF1692347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D-3C2E-4E52-B9D0-4DF1692347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9B6E-4742-8769-D1080A55AE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9B6E-4742-8769-D1080A55AE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DIGITURNO!$D$11:$D$20</c15:sqref>
                        </c15:fullRef>
                        <c15:formulaRef>
                          <c15:sqref>DIGITURNO!$D$12:$D$19</c15:sqref>
                        </c15:formulaRef>
                      </c:ext>
                    </c:extLst>
                    <c:strCache>
                      <c:ptCount val="8"/>
                      <c:pt idx="0">
                        <c:v>Caja</c:v>
                      </c:pt>
                      <c:pt idx="1">
                        <c:v>Disponibilidad y conexión de servicios</c:v>
                      </c:pt>
                      <c:pt idx="2">
                        <c:v>Duplicados y facturas</c:v>
                      </c:pt>
                      <c:pt idx="3">
                        <c:v>Financiaciones</c:v>
                      </c:pt>
                      <c:pt idx="4">
                        <c:v>Pagos parciales</c:v>
                      </c:pt>
                      <c:pt idx="5">
                        <c:v>PQRSF</c:v>
                      </c:pt>
                      <c:pt idx="6">
                        <c:v>Radicación</c:v>
                      </c:pt>
                      <c:pt idx="7">
                        <c:v>Radicación de documentos</c:v>
                      </c:pt>
                    </c:strCache>
                  </c:strRef>
                </c:cat>
                <c:val>
                  <c:numRef>
                    <c:extLst>
                      <c:ext uri="{02D57815-91ED-43cb-92C2-25804820EDAC}">
                        <c15:fullRef>
                          <c15:sqref>DIGITURNO!$E$11:$E$20</c15:sqref>
                        </c15:fullRef>
                        <c15:formulaRef>
                          <c15:sqref>DIGITURNO!$E$12:$E$19</c15:sqref>
                        </c15:formulaRef>
                      </c:ext>
                    </c:extLst>
                    <c:numCache>
                      <c:formatCode>General</c:formatCode>
                      <c:ptCount val="8"/>
                      <c:pt idx="0">
                        <c:v>6966</c:v>
                      </c:pt>
                      <c:pt idx="1">
                        <c:v>86</c:v>
                      </c:pt>
                      <c:pt idx="2">
                        <c:v>1188</c:v>
                      </c:pt>
                      <c:pt idx="3">
                        <c:v>4</c:v>
                      </c:pt>
                      <c:pt idx="4">
                        <c:v>884</c:v>
                      </c:pt>
                      <c:pt idx="5">
                        <c:v>871</c:v>
                      </c:pt>
                      <c:pt idx="6">
                        <c:v>12</c:v>
                      </c:pt>
                      <c:pt idx="7">
                        <c:v>95</c:v>
                      </c:pt>
                    </c:numCache>
                  </c:numRef>
                </c:val>
                <c:extLst>
                  <c:ext uri="{02D57815-91ED-43cb-92C2-25804820EDAC}">
                    <c15:categoryFilterExceptions/>
                  </c:ext>
                  <c:ext xmlns:c16="http://schemas.microsoft.com/office/drawing/2014/chart" uri="{C3380CC4-5D6E-409C-BE32-E72D297353CC}">
                    <c16:uniqueId val="{0000000E-3C2E-4E52-B9D0-4DF169234781}"/>
                  </c:ext>
                </c:extLst>
              </c15:ser>
            </c15:filteredPieSeries>
            <c15:filteredPieSeries>
              <c15:ser>
                <c:idx val="1"/>
                <c:order val="1"/>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12-3C2E-4E52-B9D0-4DF169234781}"/>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14-3C2E-4E52-B9D0-4DF169234781}"/>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16-3C2E-4E52-B9D0-4DF169234781}"/>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18-3C2E-4E52-B9D0-4DF169234781}"/>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1A-3C2E-4E52-B9D0-4DF169234781}"/>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1C-3C2E-4E52-B9D0-4DF169234781}"/>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2D-9B6E-4742-8769-D1080A55AE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9B6E-4742-8769-D1080A55AE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DIGITURNO!$D$11:$D$20</c15:sqref>
                        </c15:fullRef>
                        <c15:formulaRef>
                          <c15:sqref>DIGITURNO!$D$12:$D$19</c15:sqref>
                        </c15:formulaRef>
                      </c:ext>
                    </c:extLst>
                    <c:strCache>
                      <c:ptCount val="8"/>
                      <c:pt idx="0">
                        <c:v>Caja</c:v>
                      </c:pt>
                      <c:pt idx="1">
                        <c:v>Disponibilidad y conexión de servicios</c:v>
                      </c:pt>
                      <c:pt idx="2">
                        <c:v>Duplicados y facturas</c:v>
                      </c:pt>
                      <c:pt idx="3">
                        <c:v>Financiaciones</c:v>
                      </c:pt>
                      <c:pt idx="4">
                        <c:v>Pagos parciales</c:v>
                      </c:pt>
                      <c:pt idx="5">
                        <c:v>PQRSF</c:v>
                      </c:pt>
                      <c:pt idx="6">
                        <c:v>Radicación</c:v>
                      </c:pt>
                      <c:pt idx="7">
                        <c:v>Radicación de documentos</c:v>
                      </c:pt>
                    </c:strCache>
                  </c:strRef>
                </c:cat>
                <c:val>
                  <c:numRef>
                    <c:extLst>
                      <c:ext xmlns:c15="http://schemas.microsoft.com/office/drawing/2012/chart" uri="{02D57815-91ED-43cb-92C2-25804820EDAC}">
                        <c15:fullRef>
                          <c15:sqref>DIGITURNO!$F$11:$F$20</c15:sqref>
                        </c15:fullRef>
                        <c15:formulaRef>
                          <c15:sqref>DIGITURNO!$F$12:$F$19</c15:sqref>
                        </c15:formulaRef>
                      </c:ext>
                    </c:extLst>
                    <c:numCache>
                      <c:formatCode>General</c:formatCode>
                      <c:ptCount val="8"/>
                      <c:pt idx="0">
                        <c:v>7136</c:v>
                      </c:pt>
                      <c:pt idx="1">
                        <c:v>40</c:v>
                      </c:pt>
                      <c:pt idx="2">
                        <c:v>1262</c:v>
                      </c:pt>
                      <c:pt idx="3">
                        <c:v>3</c:v>
                      </c:pt>
                      <c:pt idx="4">
                        <c:v>828</c:v>
                      </c:pt>
                      <c:pt idx="5">
                        <c:v>915</c:v>
                      </c:pt>
                      <c:pt idx="6">
                        <c:v>22</c:v>
                      </c:pt>
                      <c:pt idx="7">
                        <c:v>119</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D-3C2E-4E52-B9D0-4DF169234781}"/>
                  </c:ext>
                </c:extLst>
              </c15:ser>
            </c15:filteredPieSeries>
            <c15:filteredPieSeries>
              <c15:ser>
                <c:idx val="3"/>
                <c:order val="3"/>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31-9B6E-4742-8769-D1080A55AE5E}"/>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33-9B6E-4742-8769-D1080A55AE5E}"/>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35-9B6E-4742-8769-D1080A55AE5E}"/>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37-9B6E-4742-8769-D1080A55AE5E}"/>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39-9B6E-4742-8769-D1080A55AE5E}"/>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3B-9B6E-4742-8769-D1080A55AE5E}"/>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D-9B6E-4742-8769-D1080A55AE5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F-9B6E-4742-8769-D1080A55AE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DIGITURNO!$D$11:$D$20</c15:sqref>
                        </c15:fullRef>
                        <c15:formulaRef>
                          <c15:sqref>DIGITURNO!$D$12:$D$19</c15:sqref>
                        </c15:formulaRef>
                      </c:ext>
                    </c:extLst>
                    <c:strCache>
                      <c:ptCount val="8"/>
                      <c:pt idx="0">
                        <c:v>Caja</c:v>
                      </c:pt>
                      <c:pt idx="1">
                        <c:v>Disponibilidad y conexión de servicios</c:v>
                      </c:pt>
                      <c:pt idx="2">
                        <c:v>Duplicados y facturas</c:v>
                      </c:pt>
                      <c:pt idx="3">
                        <c:v>Financiaciones</c:v>
                      </c:pt>
                      <c:pt idx="4">
                        <c:v>Pagos parciales</c:v>
                      </c:pt>
                      <c:pt idx="5">
                        <c:v>PQRSF</c:v>
                      </c:pt>
                      <c:pt idx="6">
                        <c:v>Radicación</c:v>
                      </c:pt>
                      <c:pt idx="7">
                        <c:v>Radicación de documentos</c:v>
                      </c:pt>
                    </c:strCache>
                  </c:strRef>
                </c:cat>
                <c:val>
                  <c:numRef>
                    <c:extLst>
                      <c:ext xmlns:c15="http://schemas.microsoft.com/office/drawing/2012/chart" uri="{02D57815-91ED-43cb-92C2-25804820EDAC}">
                        <c15:fullRef>
                          <c15:sqref>DIGITURNO!$H$11:$H$20</c15:sqref>
                        </c15:fullRef>
                        <c15:formulaRef>
                          <c15:sqref>DIGITURNO!$H$12:$H$19</c15:sqref>
                        </c15:formulaRef>
                      </c:ext>
                    </c:extLst>
                    <c:numCache>
                      <c:formatCode>0.00%</c:formatCode>
                      <c:ptCount val="8"/>
                      <c:pt idx="0">
                        <c:v>0.71780571892111134</c:v>
                      </c:pt>
                      <c:pt idx="1">
                        <c:v>4.461569661326303E-3</c:v>
                      </c:pt>
                      <c:pt idx="2">
                        <c:v>0.14145203812614074</c:v>
                      </c:pt>
                      <c:pt idx="3">
                        <c:v>6.0839586290813217E-4</c:v>
                      </c:pt>
                      <c:pt idx="4">
                        <c:v>6.2968971810991689E-2</c:v>
                      </c:pt>
                      <c:pt idx="5">
                        <c:v>6.8343135266680191E-2</c:v>
                      </c:pt>
                      <c:pt idx="6">
                        <c:v>1.013993104846887E-3</c:v>
                      </c:pt>
                      <c:pt idx="7">
                        <c:v>3.3461772459947273E-3</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F-3C2E-4E52-B9D0-4DF169234781}"/>
                  </c:ext>
                </c:extLst>
              </c15:ser>
            </c15:filteredPieSeries>
          </c:ext>
        </c:extLst>
      </c:doughnutChart>
      <c:spPr>
        <a:noFill/>
        <a:ln>
          <a:noFill/>
        </a:ln>
        <a:effectLst/>
      </c:spPr>
    </c:plotArea>
    <c:legend>
      <c:legendPos val="b"/>
      <c:layout>
        <c:manualLayout>
          <c:xMode val="edge"/>
          <c:yMode val="edge"/>
          <c:x val="0.2070312922453631"/>
          <c:y val="0.75487289715526495"/>
          <c:w val="0.6149295997271339"/>
          <c:h val="0.24512710284473496"/>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39.xml"/><Relationship Id="rId3" Type="http://schemas.openxmlformats.org/officeDocument/2006/relationships/chart" Target="../charts/chart34.xml"/><Relationship Id="rId7" Type="http://schemas.openxmlformats.org/officeDocument/2006/relationships/chart" Target="../charts/chart38.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50.xml"/><Relationship Id="rId3" Type="http://schemas.openxmlformats.org/officeDocument/2006/relationships/chart" Target="../charts/chart45.xml"/><Relationship Id="rId7" Type="http://schemas.openxmlformats.org/officeDocument/2006/relationships/chart" Target="../charts/chart49.xml"/><Relationship Id="rId12" Type="http://schemas.openxmlformats.org/officeDocument/2006/relationships/chart" Target="../charts/chart54.xml"/><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chart" Target="../charts/chart53.xml"/><Relationship Id="rId5" Type="http://schemas.openxmlformats.org/officeDocument/2006/relationships/chart" Target="../charts/chart47.xml"/><Relationship Id="rId10" Type="http://schemas.openxmlformats.org/officeDocument/2006/relationships/chart" Target="../charts/chart52.xml"/><Relationship Id="rId4" Type="http://schemas.openxmlformats.org/officeDocument/2006/relationships/chart" Target="../charts/chart46.xml"/><Relationship Id="rId9" Type="http://schemas.openxmlformats.org/officeDocument/2006/relationships/chart" Target="../charts/chart5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56.xml"/><Relationship Id="rId1" Type="http://schemas.openxmlformats.org/officeDocument/2006/relationships/chart" Target="../charts/chart5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image" Target="../media/image1.png"/><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20</xdr:col>
      <xdr:colOff>352425</xdr:colOff>
      <xdr:row>22</xdr:row>
      <xdr:rowOff>185737</xdr:rowOff>
    </xdr:from>
    <xdr:to>
      <xdr:col>26</xdr:col>
      <xdr:colOff>123825</xdr:colOff>
      <xdr:row>34</xdr:row>
      <xdr:rowOff>161925</xdr:rowOff>
    </xdr:to>
    <xdr:graphicFrame macro="">
      <xdr:nvGraphicFramePr>
        <xdr:cNvPr id="3" name="Gráfico 2">
          <a:extLst>
            <a:ext uri="{FF2B5EF4-FFF2-40B4-BE49-F238E27FC236}">
              <a16:creationId xmlns:a16="http://schemas.microsoft.com/office/drawing/2014/main" id="{220F6227-38DD-46BA-B8B7-94D36E0F9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28575</xdr:colOff>
      <xdr:row>40</xdr:row>
      <xdr:rowOff>52387</xdr:rowOff>
    </xdr:from>
    <xdr:to>
      <xdr:col>26</xdr:col>
      <xdr:colOff>285750</xdr:colOff>
      <xdr:row>60</xdr:row>
      <xdr:rowOff>38100</xdr:rowOff>
    </xdr:to>
    <xdr:graphicFrame macro="">
      <xdr:nvGraphicFramePr>
        <xdr:cNvPr id="4" name="Gráfico 3">
          <a:extLst>
            <a:ext uri="{FF2B5EF4-FFF2-40B4-BE49-F238E27FC236}">
              <a16:creationId xmlns:a16="http://schemas.microsoft.com/office/drawing/2014/main" id="{B9980CE0-CB4D-49D6-B3C8-EBCAB4CEE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66675</xdr:rowOff>
    </xdr:from>
    <xdr:to>
      <xdr:col>26</xdr:col>
      <xdr:colOff>533400</xdr:colOff>
      <xdr:row>14</xdr:row>
      <xdr:rowOff>14289</xdr:rowOff>
    </xdr:to>
    <xdr:graphicFrame macro="">
      <xdr:nvGraphicFramePr>
        <xdr:cNvPr id="5" name="Gráfico 4">
          <a:extLst>
            <a:ext uri="{FF2B5EF4-FFF2-40B4-BE49-F238E27FC236}">
              <a16:creationId xmlns:a16="http://schemas.microsoft.com/office/drawing/2014/main" id="{9F45117E-3EAF-40CD-B5B7-C97A6917B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539115</xdr:colOff>
      <xdr:row>67</xdr:row>
      <xdr:rowOff>184785</xdr:rowOff>
    </xdr:from>
    <xdr:to>
      <xdr:col>16</xdr:col>
      <xdr:colOff>567690</xdr:colOff>
      <xdr:row>82</xdr:row>
      <xdr:rowOff>70485</xdr:rowOff>
    </xdr:to>
    <xdr:graphicFrame macro="">
      <xdr:nvGraphicFramePr>
        <xdr:cNvPr id="6" name="Gráfico 5">
          <a:extLst>
            <a:ext uri="{FF2B5EF4-FFF2-40B4-BE49-F238E27FC236}">
              <a16:creationId xmlns:a16="http://schemas.microsoft.com/office/drawing/2014/main" id="{7A4926EC-359E-44F6-B23C-5DD0B8954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600075</xdr:colOff>
      <xdr:row>4</xdr:row>
      <xdr:rowOff>23812</xdr:rowOff>
    </xdr:from>
    <xdr:to>
      <xdr:col>25</xdr:col>
      <xdr:colOff>447675</xdr:colOff>
      <xdr:row>12</xdr:row>
      <xdr:rowOff>166687</xdr:rowOff>
    </xdr:to>
    <xdr:graphicFrame macro="">
      <xdr:nvGraphicFramePr>
        <xdr:cNvPr id="2" name="Gráfico 1">
          <a:extLst>
            <a:ext uri="{FF2B5EF4-FFF2-40B4-BE49-F238E27FC236}">
              <a16:creationId xmlns:a16="http://schemas.microsoft.com/office/drawing/2014/main" id="{C8ED03C5-91B7-40F0-A6E2-6DE7AEA47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695324</xdr:colOff>
      <xdr:row>22</xdr:row>
      <xdr:rowOff>80962</xdr:rowOff>
    </xdr:from>
    <xdr:to>
      <xdr:col>24</xdr:col>
      <xdr:colOff>704849</xdr:colOff>
      <xdr:row>34</xdr:row>
      <xdr:rowOff>114300</xdr:rowOff>
    </xdr:to>
    <xdr:graphicFrame macro="">
      <xdr:nvGraphicFramePr>
        <xdr:cNvPr id="3" name="Gráfico 2">
          <a:extLst>
            <a:ext uri="{FF2B5EF4-FFF2-40B4-BE49-F238E27FC236}">
              <a16:creationId xmlns:a16="http://schemas.microsoft.com/office/drawing/2014/main" id="{897CBFA6-4A3B-411A-BE71-6774EF691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638174</xdr:colOff>
      <xdr:row>41</xdr:row>
      <xdr:rowOff>10583</xdr:rowOff>
    </xdr:from>
    <xdr:to>
      <xdr:col>28</xdr:col>
      <xdr:colOff>232833</xdr:colOff>
      <xdr:row>57</xdr:row>
      <xdr:rowOff>179918</xdr:rowOff>
    </xdr:to>
    <xdr:graphicFrame macro="">
      <xdr:nvGraphicFramePr>
        <xdr:cNvPr id="4" name="Gráfico 3">
          <a:extLst>
            <a:ext uri="{FF2B5EF4-FFF2-40B4-BE49-F238E27FC236}">
              <a16:creationId xmlns:a16="http://schemas.microsoft.com/office/drawing/2014/main" id="{3E3599D1-950F-4D8F-B1A0-B7E7CCF6E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480483</xdr:colOff>
      <xdr:row>2</xdr:row>
      <xdr:rowOff>116417</xdr:rowOff>
    </xdr:from>
    <xdr:to>
      <xdr:col>25</xdr:col>
      <xdr:colOff>560916</xdr:colOff>
      <xdr:row>13</xdr:row>
      <xdr:rowOff>179917</xdr:rowOff>
    </xdr:to>
    <xdr:graphicFrame macro="">
      <xdr:nvGraphicFramePr>
        <xdr:cNvPr id="5" name="Gráfico 4">
          <a:extLst>
            <a:ext uri="{FF2B5EF4-FFF2-40B4-BE49-F238E27FC236}">
              <a16:creationId xmlns:a16="http://schemas.microsoft.com/office/drawing/2014/main" id="{BEDE84E7-8700-47AF-BB39-E2E030B2F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137583</xdr:colOff>
      <xdr:row>64</xdr:row>
      <xdr:rowOff>162983</xdr:rowOff>
    </xdr:from>
    <xdr:to>
      <xdr:col>16</xdr:col>
      <xdr:colOff>58208</xdr:colOff>
      <xdr:row>79</xdr:row>
      <xdr:rowOff>44450</xdr:rowOff>
    </xdr:to>
    <xdr:graphicFrame macro="">
      <xdr:nvGraphicFramePr>
        <xdr:cNvPr id="6" name="Gráfico 5">
          <a:extLst>
            <a:ext uri="{FF2B5EF4-FFF2-40B4-BE49-F238E27FC236}">
              <a16:creationId xmlns:a16="http://schemas.microsoft.com/office/drawing/2014/main" id="{83B4E62D-17C4-4881-B507-6B17FB176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142875</xdr:colOff>
      <xdr:row>3</xdr:row>
      <xdr:rowOff>157162</xdr:rowOff>
    </xdr:from>
    <xdr:to>
      <xdr:col>26</xdr:col>
      <xdr:colOff>142875</xdr:colOff>
      <xdr:row>12</xdr:row>
      <xdr:rowOff>142875</xdr:rowOff>
    </xdr:to>
    <xdr:graphicFrame macro="">
      <xdr:nvGraphicFramePr>
        <xdr:cNvPr id="2" name="Gráfico 1">
          <a:extLst>
            <a:ext uri="{FF2B5EF4-FFF2-40B4-BE49-F238E27FC236}">
              <a16:creationId xmlns:a16="http://schemas.microsoft.com/office/drawing/2014/main" id="{5C9C3906-454F-412D-A93F-33F1A095F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590549</xdr:colOff>
      <xdr:row>17</xdr:row>
      <xdr:rowOff>14287</xdr:rowOff>
    </xdr:from>
    <xdr:to>
      <xdr:col>25</xdr:col>
      <xdr:colOff>581024</xdr:colOff>
      <xdr:row>28</xdr:row>
      <xdr:rowOff>85725</xdr:rowOff>
    </xdr:to>
    <xdr:graphicFrame macro="">
      <xdr:nvGraphicFramePr>
        <xdr:cNvPr id="3" name="Gráfico 2">
          <a:extLst>
            <a:ext uri="{FF2B5EF4-FFF2-40B4-BE49-F238E27FC236}">
              <a16:creationId xmlns:a16="http://schemas.microsoft.com/office/drawing/2014/main" id="{C25E1E28-0DF5-4E19-8A2D-A80EDE73E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32</xdr:row>
      <xdr:rowOff>0</xdr:rowOff>
    </xdr:from>
    <xdr:to>
      <xdr:col>26</xdr:col>
      <xdr:colOff>285750</xdr:colOff>
      <xdr:row>49</xdr:row>
      <xdr:rowOff>90488</xdr:rowOff>
    </xdr:to>
    <xdr:graphicFrame macro="">
      <xdr:nvGraphicFramePr>
        <xdr:cNvPr id="4" name="Gráfico 3">
          <a:extLst>
            <a:ext uri="{FF2B5EF4-FFF2-40B4-BE49-F238E27FC236}">
              <a16:creationId xmlns:a16="http://schemas.microsoft.com/office/drawing/2014/main" id="{7144516C-A5D4-4137-8803-2BD270B66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95250</xdr:colOff>
      <xdr:row>52</xdr:row>
      <xdr:rowOff>100012</xdr:rowOff>
    </xdr:from>
    <xdr:to>
      <xdr:col>16</xdr:col>
      <xdr:colOff>9525</xdr:colOff>
      <xdr:row>66</xdr:row>
      <xdr:rowOff>176212</xdr:rowOff>
    </xdr:to>
    <xdr:graphicFrame macro="">
      <xdr:nvGraphicFramePr>
        <xdr:cNvPr id="5" name="Gráfico 4">
          <a:extLst>
            <a:ext uri="{FF2B5EF4-FFF2-40B4-BE49-F238E27FC236}">
              <a16:creationId xmlns:a16="http://schemas.microsoft.com/office/drawing/2014/main" id="{EEF1AFC4-355E-73C0-C7FE-F2DEC0EBD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647700</xdr:colOff>
      <xdr:row>3</xdr:row>
      <xdr:rowOff>166687</xdr:rowOff>
    </xdr:from>
    <xdr:to>
      <xdr:col>26</xdr:col>
      <xdr:colOff>276225</xdr:colOff>
      <xdr:row>14</xdr:row>
      <xdr:rowOff>28575</xdr:rowOff>
    </xdr:to>
    <xdr:graphicFrame macro="">
      <xdr:nvGraphicFramePr>
        <xdr:cNvPr id="2" name="Gráfico 1">
          <a:extLst>
            <a:ext uri="{FF2B5EF4-FFF2-40B4-BE49-F238E27FC236}">
              <a16:creationId xmlns:a16="http://schemas.microsoft.com/office/drawing/2014/main" id="{393E43CC-56DC-4A5B-A63E-D4A1DF58B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695325</xdr:colOff>
      <xdr:row>16</xdr:row>
      <xdr:rowOff>138112</xdr:rowOff>
    </xdr:from>
    <xdr:to>
      <xdr:col>26</xdr:col>
      <xdr:colOff>238125</xdr:colOff>
      <xdr:row>27</xdr:row>
      <xdr:rowOff>114300</xdr:rowOff>
    </xdr:to>
    <xdr:graphicFrame macro="">
      <xdr:nvGraphicFramePr>
        <xdr:cNvPr id="3" name="Gráfico 2">
          <a:extLst>
            <a:ext uri="{FF2B5EF4-FFF2-40B4-BE49-F238E27FC236}">
              <a16:creationId xmlns:a16="http://schemas.microsoft.com/office/drawing/2014/main" id="{02566BC8-21EC-4696-9A78-7E4AC3955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32</xdr:row>
      <xdr:rowOff>0</xdr:rowOff>
    </xdr:from>
    <xdr:to>
      <xdr:col>26</xdr:col>
      <xdr:colOff>304800</xdr:colOff>
      <xdr:row>44</xdr:row>
      <xdr:rowOff>176213</xdr:rowOff>
    </xdr:to>
    <xdr:graphicFrame macro="">
      <xdr:nvGraphicFramePr>
        <xdr:cNvPr id="4" name="Gráfico 3">
          <a:extLst>
            <a:ext uri="{FF2B5EF4-FFF2-40B4-BE49-F238E27FC236}">
              <a16:creationId xmlns:a16="http://schemas.microsoft.com/office/drawing/2014/main" id="{30A0F29A-890E-4099-937F-C02E2EB95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123825</xdr:colOff>
      <xdr:row>48</xdr:row>
      <xdr:rowOff>185737</xdr:rowOff>
    </xdr:from>
    <xdr:to>
      <xdr:col>20</xdr:col>
      <xdr:colOff>304800</xdr:colOff>
      <xdr:row>63</xdr:row>
      <xdr:rowOff>71437</xdr:rowOff>
    </xdr:to>
    <xdr:graphicFrame macro="">
      <xdr:nvGraphicFramePr>
        <xdr:cNvPr id="5" name="Gráfico 4">
          <a:extLst>
            <a:ext uri="{FF2B5EF4-FFF2-40B4-BE49-F238E27FC236}">
              <a16:creationId xmlns:a16="http://schemas.microsoft.com/office/drawing/2014/main" id="{13184DF0-320B-4161-B7ED-F388DBC22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21</xdr:col>
      <xdr:colOff>19050</xdr:colOff>
      <xdr:row>3</xdr:row>
      <xdr:rowOff>38101</xdr:rowOff>
    </xdr:from>
    <xdr:to>
      <xdr:col>26</xdr:col>
      <xdr:colOff>133350</xdr:colOff>
      <xdr:row>15</xdr:row>
      <xdr:rowOff>152401</xdr:rowOff>
    </xdr:to>
    <xdr:graphicFrame macro="">
      <xdr:nvGraphicFramePr>
        <xdr:cNvPr id="2" name="Gráfico 1">
          <a:extLst>
            <a:ext uri="{FF2B5EF4-FFF2-40B4-BE49-F238E27FC236}">
              <a16:creationId xmlns:a16="http://schemas.microsoft.com/office/drawing/2014/main" id="{8F4EF85E-E776-4964-B29B-48E5CB11F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600075</xdr:colOff>
      <xdr:row>18</xdr:row>
      <xdr:rowOff>42862</xdr:rowOff>
    </xdr:from>
    <xdr:to>
      <xdr:col>27</xdr:col>
      <xdr:colOff>352425</xdr:colOff>
      <xdr:row>29</xdr:row>
      <xdr:rowOff>161925</xdr:rowOff>
    </xdr:to>
    <xdr:graphicFrame macro="">
      <xdr:nvGraphicFramePr>
        <xdr:cNvPr id="3" name="Gráfico 2">
          <a:extLst>
            <a:ext uri="{FF2B5EF4-FFF2-40B4-BE49-F238E27FC236}">
              <a16:creationId xmlns:a16="http://schemas.microsoft.com/office/drawing/2014/main" id="{7E486835-69C8-4BF3-A6EE-248D3B207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581025</xdr:colOff>
      <xdr:row>32</xdr:row>
      <xdr:rowOff>4762</xdr:rowOff>
    </xdr:from>
    <xdr:to>
      <xdr:col>26</xdr:col>
      <xdr:colOff>581025</xdr:colOff>
      <xdr:row>45</xdr:row>
      <xdr:rowOff>138112</xdr:rowOff>
    </xdr:to>
    <xdr:graphicFrame macro="">
      <xdr:nvGraphicFramePr>
        <xdr:cNvPr id="4" name="Gráfico 3">
          <a:extLst>
            <a:ext uri="{FF2B5EF4-FFF2-40B4-BE49-F238E27FC236}">
              <a16:creationId xmlns:a16="http://schemas.microsoft.com/office/drawing/2014/main" id="{67158AFD-4FE8-43DF-8933-1BE00CA87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118110</xdr:colOff>
      <xdr:row>45</xdr:row>
      <xdr:rowOff>147637</xdr:rowOff>
    </xdr:from>
    <xdr:to>
      <xdr:col>16</xdr:col>
      <xdr:colOff>32385</xdr:colOff>
      <xdr:row>60</xdr:row>
      <xdr:rowOff>33337</xdr:rowOff>
    </xdr:to>
    <xdr:graphicFrame macro="">
      <xdr:nvGraphicFramePr>
        <xdr:cNvPr id="5" name="Gráfico 4">
          <a:extLst>
            <a:ext uri="{FF2B5EF4-FFF2-40B4-BE49-F238E27FC236}">
              <a16:creationId xmlns:a16="http://schemas.microsoft.com/office/drawing/2014/main" id="{B1AB76C5-5BC1-47A4-AB61-66C7A7DF1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21</xdr:col>
      <xdr:colOff>85725</xdr:colOff>
      <xdr:row>7</xdr:row>
      <xdr:rowOff>23812</xdr:rowOff>
    </xdr:from>
    <xdr:to>
      <xdr:col>27</xdr:col>
      <xdr:colOff>85725</xdr:colOff>
      <xdr:row>20</xdr:row>
      <xdr:rowOff>157162</xdr:rowOff>
    </xdr:to>
    <xdr:graphicFrame macro="">
      <xdr:nvGraphicFramePr>
        <xdr:cNvPr id="2" name="Gráfico 1">
          <a:extLst>
            <a:ext uri="{FF2B5EF4-FFF2-40B4-BE49-F238E27FC236}">
              <a16:creationId xmlns:a16="http://schemas.microsoft.com/office/drawing/2014/main" id="{16CF1F8A-0FFF-4346-ABCF-98D072637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85725</xdr:colOff>
      <xdr:row>7</xdr:row>
      <xdr:rowOff>23812</xdr:rowOff>
    </xdr:from>
    <xdr:to>
      <xdr:col>27</xdr:col>
      <xdr:colOff>85725</xdr:colOff>
      <xdr:row>20</xdr:row>
      <xdr:rowOff>157162</xdr:rowOff>
    </xdr:to>
    <xdr:graphicFrame macro="">
      <xdr:nvGraphicFramePr>
        <xdr:cNvPr id="2" name="Gráfico 1">
          <a:extLst>
            <a:ext uri="{FF2B5EF4-FFF2-40B4-BE49-F238E27FC236}">
              <a16:creationId xmlns:a16="http://schemas.microsoft.com/office/drawing/2014/main" id="{2CB4D7A7-93AC-4848-9B47-E85E7D895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152399</xdr:colOff>
      <xdr:row>3</xdr:row>
      <xdr:rowOff>14287</xdr:rowOff>
    </xdr:from>
    <xdr:to>
      <xdr:col>25</xdr:col>
      <xdr:colOff>200024</xdr:colOff>
      <xdr:row>15</xdr:row>
      <xdr:rowOff>123825</xdr:rowOff>
    </xdr:to>
    <xdr:graphicFrame macro="">
      <xdr:nvGraphicFramePr>
        <xdr:cNvPr id="2" name="Gráfico 1">
          <a:extLst>
            <a:ext uri="{FF2B5EF4-FFF2-40B4-BE49-F238E27FC236}">
              <a16:creationId xmlns:a16="http://schemas.microsoft.com/office/drawing/2014/main" id="{46001D31-8595-4B2A-8798-BD90212B7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657225</xdr:colOff>
      <xdr:row>16</xdr:row>
      <xdr:rowOff>185737</xdr:rowOff>
    </xdr:from>
    <xdr:to>
      <xdr:col>25</xdr:col>
      <xdr:colOff>657225</xdr:colOff>
      <xdr:row>32</xdr:row>
      <xdr:rowOff>128587</xdr:rowOff>
    </xdr:to>
    <xdr:graphicFrame macro="">
      <xdr:nvGraphicFramePr>
        <xdr:cNvPr id="3" name="Gráfico 2">
          <a:extLst>
            <a:ext uri="{FF2B5EF4-FFF2-40B4-BE49-F238E27FC236}">
              <a16:creationId xmlns:a16="http://schemas.microsoft.com/office/drawing/2014/main" id="{C673E0E9-031C-463F-945D-F4DBE26BF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742950</xdr:colOff>
      <xdr:row>35</xdr:row>
      <xdr:rowOff>52387</xdr:rowOff>
    </xdr:from>
    <xdr:to>
      <xdr:col>25</xdr:col>
      <xdr:colOff>742950</xdr:colOff>
      <xdr:row>63</xdr:row>
      <xdr:rowOff>90487</xdr:rowOff>
    </xdr:to>
    <xdr:graphicFrame macro="">
      <xdr:nvGraphicFramePr>
        <xdr:cNvPr id="4" name="Gráfico 3">
          <a:extLst>
            <a:ext uri="{FF2B5EF4-FFF2-40B4-BE49-F238E27FC236}">
              <a16:creationId xmlns:a16="http://schemas.microsoft.com/office/drawing/2014/main" id="{D6FE494F-C354-4C6F-903F-050ED44A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28575</xdr:colOff>
      <xdr:row>64</xdr:row>
      <xdr:rowOff>138112</xdr:rowOff>
    </xdr:from>
    <xdr:to>
      <xdr:col>26</xdr:col>
      <xdr:colOff>85725</xdr:colOff>
      <xdr:row>76</xdr:row>
      <xdr:rowOff>123825</xdr:rowOff>
    </xdr:to>
    <xdr:graphicFrame macro="">
      <xdr:nvGraphicFramePr>
        <xdr:cNvPr id="5" name="Gráfico 4">
          <a:extLst>
            <a:ext uri="{FF2B5EF4-FFF2-40B4-BE49-F238E27FC236}">
              <a16:creationId xmlns:a16="http://schemas.microsoft.com/office/drawing/2014/main" id="{4AD912C1-F641-45B4-9FCD-C6BE391CE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196215</xdr:colOff>
      <xdr:row>80</xdr:row>
      <xdr:rowOff>40957</xdr:rowOff>
    </xdr:from>
    <xdr:to>
      <xdr:col>25</xdr:col>
      <xdr:colOff>62865</xdr:colOff>
      <xdr:row>94</xdr:row>
      <xdr:rowOff>117157</xdr:rowOff>
    </xdr:to>
    <xdr:graphicFrame macro="">
      <xdr:nvGraphicFramePr>
        <xdr:cNvPr id="6" name="Gráfico 5">
          <a:extLst>
            <a:ext uri="{FF2B5EF4-FFF2-40B4-BE49-F238E27FC236}">
              <a16:creationId xmlns:a16="http://schemas.microsoft.com/office/drawing/2014/main" id="{19E05182-1978-4A6F-B5C1-0DA83D238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552450</xdr:colOff>
      <xdr:row>63</xdr:row>
      <xdr:rowOff>0</xdr:rowOff>
    </xdr:from>
    <xdr:to>
      <xdr:col>18</xdr:col>
      <xdr:colOff>247650</xdr:colOff>
      <xdr:row>77</xdr:row>
      <xdr:rowOff>76200</xdr:rowOff>
    </xdr:to>
    <xdr:graphicFrame macro="">
      <xdr:nvGraphicFramePr>
        <xdr:cNvPr id="7" name="Gráfico 6">
          <a:extLst>
            <a:ext uri="{FF2B5EF4-FFF2-40B4-BE49-F238E27FC236}">
              <a16:creationId xmlns:a16="http://schemas.microsoft.com/office/drawing/2014/main" id="{1463B436-EC6E-461C-B2CB-391DA2941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97</xdr:row>
      <xdr:rowOff>0</xdr:rowOff>
    </xdr:from>
    <xdr:to>
      <xdr:col>30</xdr:col>
      <xdr:colOff>714375</xdr:colOff>
      <xdr:row>117</xdr:row>
      <xdr:rowOff>95250</xdr:rowOff>
    </xdr:to>
    <xdr:graphicFrame macro="">
      <xdr:nvGraphicFramePr>
        <xdr:cNvPr id="8" name="Gráfico 7">
          <a:extLst>
            <a:ext uri="{FF2B5EF4-FFF2-40B4-BE49-F238E27FC236}">
              <a16:creationId xmlns:a16="http://schemas.microsoft.com/office/drawing/2014/main" id="{3EB23F18-9BAC-4E86-9B3D-7845143C1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85725</xdr:colOff>
      <xdr:row>109</xdr:row>
      <xdr:rowOff>123824</xdr:rowOff>
    </xdr:from>
    <xdr:to>
      <xdr:col>3</xdr:col>
      <xdr:colOff>6096000</xdr:colOff>
      <xdr:row>127</xdr:row>
      <xdr:rowOff>114299</xdr:rowOff>
    </xdr:to>
    <xdr:graphicFrame macro="">
      <xdr:nvGraphicFramePr>
        <xdr:cNvPr id="9" name="Gráfico 8">
          <a:extLst>
            <a:ext uri="{FF2B5EF4-FFF2-40B4-BE49-F238E27FC236}">
              <a16:creationId xmlns:a16="http://schemas.microsoft.com/office/drawing/2014/main" id="{03AA0A79-6363-4FD5-9F17-473A1DAF2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32</xdr:col>
      <xdr:colOff>419098</xdr:colOff>
      <xdr:row>26</xdr:row>
      <xdr:rowOff>61911</xdr:rowOff>
    </xdr:from>
    <xdr:to>
      <xdr:col>42</xdr:col>
      <xdr:colOff>428625</xdr:colOff>
      <xdr:row>41</xdr:row>
      <xdr:rowOff>28575</xdr:rowOff>
    </xdr:to>
    <xdr:graphicFrame macro="">
      <xdr:nvGraphicFramePr>
        <xdr:cNvPr id="2" name="Gráfico 1">
          <a:extLst>
            <a:ext uri="{FF2B5EF4-FFF2-40B4-BE49-F238E27FC236}">
              <a16:creationId xmlns:a16="http://schemas.microsoft.com/office/drawing/2014/main" id="{A9881F13-0BAD-D618-230E-9EDE8FB3B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43</xdr:col>
      <xdr:colOff>266700</xdr:colOff>
      <xdr:row>27</xdr:row>
      <xdr:rowOff>19050</xdr:rowOff>
    </xdr:from>
    <xdr:to>
      <xdr:col>58</xdr:col>
      <xdr:colOff>180975</xdr:colOff>
      <xdr:row>49</xdr:row>
      <xdr:rowOff>47625</xdr:rowOff>
    </xdr:to>
    <xdr:graphicFrame macro="">
      <xdr:nvGraphicFramePr>
        <xdr:cNvPr id="3" name="Gráfico 2">
          <a:extLst>
            <a:ext uri="{FF2B5EF4-FFF2-40B4-BE49-F238E27FC236}">
              <a16:creationId xmlns:a16="http://schemas.microsoft.com/office/drawing/2014/main" id="{1A23FD66-A6C0-4FD8-ADCC-D9041BF96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104775</xdr:colOff>
      <xdr:row>57</xdr:row>
      <xdr:rowOff>61912</xdr:rowOff>
    </xdr:from>
    <xdr:to>
      <xdr:col>6</xdr:col>
      <xdr:colOff>476250</xdr:colOff>
      <xdr:row>71</xdr:row>
      <xdr:rowOff>42862</xdr:rowOff>
    </xdr:to>
    <xdr:graphicFrame macro="">
      <xdr:nvGraphicFramePr>
        <xdr:cNvPr id="10" name="Gráfico 9">
          <a:extLst>
            <a:ext uri="{FF2B5EF4-FFF2-40B4-BE49-F238E27FC236}">
              <a16:creationId xmlns:a16="http://schemas.microsoft.com/office/drawing/2014/main" id="{5164BDD5-47AF-EC80-F73E-31BD0F048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666750</xdr:colOff>
      <xdr:row>57</xdr:row>
      <xdr:rowOff>28574</xdr:rowOff>
    </xdr:from>
    <xdr:to>
      <xdr:col>12</xdr:col>
      <xdr:colOff>600075</xdr:colOff>
      <xdr:row>72</xdr:row>
      <xdr:rowOff>30479</xdr:rowOff>
    </xdr:to>
    <xdr:graphicFrame macro="">
      <xdr:nvGraphicFramePr>
        <xdr:cNvPr id="11" name="Gráfico 10">
          <a:extLst>
            <a:ext uri="{FF2B5EF4-FFF2-40B4-BE49-F238E27FC236}">
              <a16:creationId xmlns:a16="http://schemas.microsoft.com/office/drawing/2014/main" id="{E23D1666-95B5-4F3A-92CA-2B0B46D8A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552448</xdr:colOff>
      <xdr:row>57</xdr:row>
      <xdr:rowOff>104775</xdr:rowOff>
    </xdr:from>
    <xdr:to>
      <xdr:col>22</xdr:col>
      <xdr:colOff>85725</xdr:colOff>
      <xdr:row>71</xdr:row>
      <xdr:rowOff>85725</xdr:rowOff>
    </xdr:to>
    <xdr:graphicFrame macro="">
      <xdr:nvGraphicFramePr>
        <xdr:cNvPr id="12" name="Gráfico 11">
          <a:extLst>
            <a:ext uri="{FF2B5EF4-FFF2-40B4-BE49-F238E27FC236}">
              <a16:creationId xmlns:a16="http://schemas.microsoft.com/office/drawing/2014/main" id="{05E39A6F-388E-4334-AC56-3596083A7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74</xdr:row>
      <xdr:rowOff>76199</xdr:rowOff>
    </xdr:from>
    <xdr:to>
      <xdr:col>6</xdr:col>
      <xdr:colOff>714375</xdr:colOff>
      <xdr:row>88</xdr:row>
      <xdr:rowOff>180974</xdr:rowOff>
    </xdr:to>
    <xdr:graphicFrame macro="">
      <xdr:nvGraphicFramePr>
        <xdr:cNvPr id="14" name="Gráfico 13">
          <a:extLst>
            <a:ext uri="{FF2B5EF4-FFF2-40B4-BE49-F238E27FC236}">
              <a16:creationId xmlns:a16="http://schemas.microsoft.com/office/drawing/2014/main" id="{659A1DD0-D849-480B-837E-8827E1112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533401</xdr:colOff>
      <xdr:row>27</xdr:row>
      <xdr:rowOff>57150</xdr:rowOff>
    </xdr:from>
    <xdr:to>
      <xdr:col>28</xdr:col>
      <xdr:colOff>1</xdr:colOff>
      <xdr:row>40</xdr:row>
      <xdr:rowOff>190500</xdr:rowOff>
    </xdr:to>
    <xdr:graphicFrame macro="">
      <xdr:nvGraphicFramePr>
        <xdr:cNvPr id="4" name="Gráfico 3">
          <a:extLst>
            <a:ext uri="{FF2B5EF4-FFF2-40B4-BE49-F238E27FC236}">
              <a16:creationId xmlns:a16="http://schemas.microsoft.com/office/drawing/2014/main" id="{EBF77C0A-F4AB-4445-A659-AC7F83FB5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716280</xdr:colOff>
      <xdr:row>137</xdr:row>
      <xdr:rowOff>161925</xdr:rowOff>
    </xdr:from>
    <xdr:to>
      <xdr:col>20</xdr:col>
      <xdr:colOff>287655</xdr:colOff>
      <xdr:row>150</xdr:row>
      <xdr:rowOff>152400</xdr:rowOff>
    </xdr:to>
    <xdr:graphicFrame macro="">
      <xdr:nvGraphicFramePr>
        <xdr:cNvPr id="5" name="Gráfico 4">
          <a:extLst>
            <a:ext uri="{FF2B5EF4-FFF2-40B4-BE49-F238E27FC236}">
              <a16:creationId xmlns:a16="http://schemas.microsoft.com/office/drawing/2014/main" id="{EC831C25-5F05-4447-9E94-45246FCA9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609599</xdr:colOff>
      <xdr:row>47</xdr:row>
      <xdr:rowOff>185736</xdr:rowOff>
    </xdr:from>
    <xdr:to>
      <xdr:col>24</xdr:col>
      <xdr:colOff>676275</xdr:colOff>
      <xdr:row>73</xdr:row>
      <xdr:rowOff>9525</xdr:rowOff>
    </xdr:to>
    <xdr:graphicFrame macro="">
      <xdr:nvGraphicFramePr>
        <xdr:cNvPr id="2" name="Gráfico 1">
          <a:extLst>
            <a:ext uri="{FF2B5EF4-FFF2-40B4-BE49-F238E27FC236}">
              <a16:creationId xmlns:a16="http://schemas.microsoft.com/office/drawing/2014/main" id="{64817C31-B93B-4663-1281-92AE977D9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476250</xdr:colOff>
      <xdr:row>11</xdr:row>
      <xdr:rowOff>171449</xdr:rowOff>
    </xdr:from>
    <xdr:to>
      <xdr:col>62</xdr:col>
      <xdr:colOff>581025</xdr:colOff>
      <xdr:row>43</xdr:row>
      <xdr:rowOff>47624</xdr:rowOff>
    </xdr:to>
    <xdr:graphicFrame macro="">
      <xdr:nvGraphicFramePr>
        <xdr:cNvPr id="6" name="Gráfico 5">
          <a:extLst>
            <a:ext uri="{FF2B5EF4-FFF2-40B4-BE49-F238E27FC236}">
              <a16:creationId xmlns:a16="http://schemas.microsoft.com/office/drawing/2014/main" id="{7F4D20EB-7078-1D9D-1373-1F8979066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25</xdr:row>
      <xdr:rowOff>0</xdr:rowOff>
    </xdr:from>
    <xdr:to>
      <xdr:col>28</xdr:col>
      <xdr:colOff>9525</xdr:colOff>
      <xdr:row>57</xdr:row>
      <xdr:rowOff>47625</xdr:rowOff>
    </xdr:to>
    <xdr:graphicFrame macro="">
      <xdr:nvGraphicFramePr>
        <xdr:cNvPr id="3" name="Gráfico 2">
          <a:extLst>
            <a:ext uri="{FF2B5EF4-FFF2-40B4-BE49-F238E27FC236}">
              <a16:creationId xmlns:a16="http://schemas.microsoft.com/office/drawing/2014/main" id="{8B6CB758-58B0-4287-AD8E-660D5FFF2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25</xdr:col>
      <xdr:colOff>266700</xdr:colOff>
      <xdr:row>23</xdr:row>
      <xdr:rowOff>80962</xdr:rowOff>
    </xdr:from>
    <xdr:to>
      <xdr:col>32</xdr:col>
      <xdr:colOff>76200</xdr:colOff>
      <xdr:row>42</xdr:row>
      <xdr:rowOff>19050</xdr:rowOff>
    </xdr:to>
    <xdr:graphicFrame macro="">
      <xdr:nvGraphicFramePr>
        <xdr:cNvPr id="3" name="Gráfico 2">
          <a:extLst>
            <a:ext uri="{FF2B5EF4-FFF2-40B4-BE49-F238E27FC236}">
              <a16:creationId xmlns:a16="http://schemas.microsoft.com/office/drawing/2014/main" id="{0F24BFBF-C726-3977-8EEE-4D9B2EC69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228599</xdr:colOff>
      <xdr:row>85</xdr:row>
      <xdr:rowOff>185737</xdr:rowOff>
    </xdr:from>
    <xdr:to>
      <xdr:col>32</xdr:col>
      <xdr:colOff>9524</xdr:colOff>
      <xdr:row>109</xdr:row>
      <xdr:rowOff>190500</xdr:rowOff>
    </xdr:to>
    <xdr:graphicFrame macro="">
      <xdr:nvGraphicFramePr>
        <xdr:cNvPr id="7" name="Gráfico 6">
          <a:extLst>
            <a:ext uri="{FF2B5EF4-FFF2-40B4-BE49-F238E27FC236}">
              <a16:creationId xmlns:a16="http://schemas.microsoft.com/office/drawing/2014/main" id="{92EC4982-541D-791D-E227-3AE09E076E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419100</xdr:colOff>
      <xdr:row>234</xdr:row>
      <xdr:rowOff>123824</xdr:rowOff>
    </xdr:from>
    <xdr:to>
      <xdr:col>27</xdr:col>
      <xdr:colOff>333375</xdr:colOff>
      <xdr:row>259</xdr:row>
      <xdr:rowOff>76200</xdr:rowOff>
    </xdr:to>
    <xdr:graphicFrame macro="">
      <xdr:nvGraphicFramePr>
        <xdr:cNvPr id="4" name="Gráfico 3">
          <a:extLst>
            <a:ext uri="{FF2B5EF4-FFF2-40B4-BE49-F238E27FC236}">
              <a16:creationId xmlns:a16="http://schemas.microsoft.com/office/drawing/2014/main" id="{593DA198-4661-48A8-9C36-5A6EE4FDB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223837</xdr:colOff>
      <xdr:row>171</xdr:row>
      <xdr:rowOff>57150</xdr:rowOff>
    </xdr:from>
    <xdr:to>
      <xdr:col>12</xdr:col>
      <xdr:colOff>557212</xdr:colOff>
      <xdr:row>187</xdr:row>
      <xdr:rowOff>95250</xdr:rowOff>
    </xdr:to>
    <xdr:graphicFrame macro="">
      <xdr:nvGraphicFramePr>
        <xdr:cNvPr id="15" name="Gráfico 14">
          <a:extLst>
            <a:ext uri="{FF2B5EF4-FFF2-40B4-BE49-F238E27FC236}">
              <a16:creationId xmlns:a16="http://schemas.microsoft.com/office/drawing/2014/main" id="{43029F19-6734-6C5C-F5E6-57218BD08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191</xdr:row>
      <xdr:rowOff>19049</xdr:rowOff>
    </xdr:from>
    <xdr:to>
      <xdr:col>12</xdr:col>
      <xdr:colOff>447675</xdr:colOff>
      <xdr:row>203</xdr:row>
      <xdr:rowOff>152399</xdr:rowOff>
    </xdr:to>
    <xdr:graphicFrame macro="">
      <xdr:nvGraphicFramePr>
        <xdr:cNvPr id="16" name="Gráfico 15">
          <a:extLst>
            <a:ext uri="{FF2B5EF4-FFF2-40B4-BE49-F238E27FC236}">
              <a16:creationId xmlns:a16="http://schemas.microsoft.com/office/drawing/2014/main" id="{E72146D1-BEA9-4D5D-9219-A9161297D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314325</xdr:colOff>
      <xdr:row>44</xdr:row>
      <xdr:rowOff>14287</xdr:rowOff>
    </xdr:from>
    <xdr:to>
      <xdr:col>32</xdr:col>
      <xdr:colOff>180975</xdr:colOff>
      <xdr:row>63</xdr:row>
      <xdr:rowOff>166687</xdr:rowOff>
    </xdr:to>
    <xdr:graphicFrame macro="">
      <xdr:nvGraphicFramePr>
        <xdr:cNvPr id="13" name="Gráfico 12">
          <a:extLst>
            <a:ext uri="{FF2B5EF4-FFF2-40B4-BE49-F238E27FC236}">
              <a16:creationId xmlns:a16="http://schemas.microsoft.com/office/drawing/2014/main" id="{5AF47542-8467-627F-E84D-6DD5DE163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219074</xdr:colOff>
      <xdr:row>65</xdr:row>
      <xdr:rowOff>33337</xdr:rowOff>
    </xdr:from>
    <xdr:to>
      <xdr:col>31</xdr:col>
      <xdr:colOff>704849</xdr:colOff>
      <xdr:row>85</xdr:row>
      <xdr:rowOff>14287</xdr:rowOff>
    </xdr:to>
    <xdr:graphicFrame macro="">
      <xdr:nvGraphicFramePr>
        <xdr:cNvPr id="14" name="Gráfico 13">
          <a:extLst>
            <a:ext uri="{FF2B5EF4-FFF2-40B4-BE49-F238E27FC236}">
              <a16:creationId xmlns:a16="http://schemas.microsoft.com/office/drawing/2014/main" id="{2F2B92DF-1AA1-CA6D-1A80-41B924304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409575</xdr:colOff>
      <xdr:row>0</xdr:row>
      <xdr:rowOff>90487</xdr:rowOff>
    </xdr:from>
    <xdr:to>
      <xdr:col>31</xdr:col>
      <xdr:colOff>409575</xdr:colOff>
      <xdr:row>20</xdr:row>
      <xdr:rowOff>195262</xdr:rowOff>
    </xdr:to>
    <xdr:graphicFrame macro="">
      <xdr:nvGraphicFramePr>
        <xdr:cNvPr id="17" name="Gráfico 16">
          <a:extLst>
            <a:ext uri="{FF2B5EF4-FFF2-40B4-BE49-F238E27FC236}">
              <a16:creationId xmlns:a16="http://schemas.microsoft.com/office/drawing/2014/main" id="{1744B8D7-FC28-32E2-9872-36BB23ADA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342900</xdr:colOff>
      <xdr:row>112</xdr:row>
      <xdr:rowOff>52386</xdr:rowOff>
    </xdr:from>
    <xdr:to>
      <xdr:col>32</xdr:col>
      <xdr:colOff>209550</xdr:colOff>
      <xdr:row>132</xdr:row>
      <xdr:rowOff>180975</xdr:rowOff>
    </xdr:to>
    <xdr:graphicFrame macro="">
      <xdr:nvGraphicFramePr>
        <xdr:cNvPr id="18" name="Gráfico 17">
          <a:extLst>
            <a:ext uri="{FF2B5EF4-FFF2-40B4-BE49-F238E27FC236}">
              <a16:creationId xmlns:a16="http://schemas.microsoft.com/office/drawing/2014/main" id="{070F7D66-9692-5A88-4059-0A583D0D5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400050</xdr:colOff>
      <xdr:row>136</xdr:row>
      <xdr:rowOff>9525</xdr:rowOff>
    </xdr:from>
    <xdr:to>
      <xdr:col>32</xdr:col>
      <xdr:colOff>342900</xdr:colOff>
      <xdr:row>154</xdr:row>
      <xdr:rowOff>104775</xdr:rowOff>
    </xdr:to>
    <xdr:graphicFrame macro="">
      <xdr:nvGraphicFramePr>
        <xdr:cNvPr id="19" name="Gráfico 18">
          <a:extLst>
            <a:ext uri="{FF2B5EF4-FFF2-40B4-BE49-F238E27FC236}">
              <a16:creationId xmlns:a16="http://schemas.microsoft.com/office/drawing/2014/main" id="{44F5FD07-57D8-67BE-1D41-9924B5448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761999</xdr:colOff>
      <xdr:row>168</xdr:row>
      <xdr:rowOff>23812</xdr:rowOff>
    </xdr:from>
    <xdr:to>
      <xdr:col>32</xdr:col>
      <xdr:colOff>647700</xdr:colOff>
      <xdr:row>181</xdr:row>
      <xdr:rowOff>90487</xdr:rowOff>
    </xdr:to>
    <xdr:graphicFrame macro="">
      <xdr:nvGraphicFramePr>
        <xdr:cNvPr id="20" name="Gráfico 19">
          <a:extLst>
            <a:ext uri="{FF2B5EF4-FFF2-40B4-BE49-F238E27FC236}">
              <a16:creationId xmlns:a16="http://schemas.microsoft.com/office/drawing/2014/main" id="{6DFD6EAA-14E5-4A87-0596-3611BE02E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752475</xdr:colOff>
      <xdr:row>213</xdr:row>
      <xdr:rowOff>9525</xdr:rowOff>
    </xdr:from>
    <xdr:to>
      <xdr:col>26</xdr:col>
      <xdr:colOff>123825</xdr:colOff>
      <xdr:row>234</xdr:row>
      <xdr:rowOff>0</xdr:rowOff>
    </xdr:to>
    <xdr:graphicFrame macro="">
      <xdr:nvGraphicFramePr>
        <xdr:cNvPr id="22" name="Gráfico 21">
          <a:extLst>
            <a:ext uri="{FF2B5EF4-FFF2-40B4-BE49-F238E27FC236}">
              <a16:creationId xmlns:a16="http://schemas.microsoft.com/office/drawing/2014/main" id="{80D4C141-BF46-49FF-9DCE-D0E483261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276225</xdr:colOff>
      <xdr:row>41</xdr:row>
      <xdr:rowOff>9525</xdr:rowOff>
    </xdr:from>
    <xdr:to>
      <xdr:col>7</xdr:col>
      <xdr:colOff>114300</xdr:colOff>
      <xdr:row>54</xdr:row>
      <xdr:rowOff>85725</xdr:rowOff>
    </xdr:to>
    <xdr:graphicFrame macro="">
      <xdr:nvGraphicFramePr>
        <xdr:cNvPr id="2" name="Gráfico 1">
          <a:extLst>
            <a:ext uri="{FF2B5EF4-FFF2-40B4-BE49-F238E27FC236}">
              <a16:creationId xmlns:a16="http://schemas.microsoft.com/office/drawing/2014/main" id="{82A8B342-D2DE-FBF3-590C-D0A6843C2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61</xdr:row>
      <xdr:rowOff>171450</xdr:rowOff>
    </xdr:from>
    <xdr:to>
      <xdr:col>6</xdr:col>
      <xdr:colOff>1228725</xdr:colOff>
      <xdr:row>77</xdr:row>
      <xdr:rowOff>57150</xdr:rowOff>
    </xdr:to>
    <xdr:graphicFrame macro="">
      <xdr:nvGraphicFramePr>
        <xdr:cNvPr id="3" name="Gráfico 2">
          <a:extLst>
            <a:ext uri="{FF2B5EF4-FFF2-40B4-BE49-F238E27FC236}">
              <a16:creationId xmlns:a16="http://schemas.microsoft.com/office/drawing/2014/main" id="{F86C77E4-D7D8-47F3-92C4-F68CC4757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1</xdr:col>
      <xdr:colOff>514350</xdr:colOff>
      <xdr:row>0</xdr:row>
      <xdr:rowOff>85725</xdr:rowOff>
    </xdr:from>
    <xdr:ext cx="1790700" cy="1162050"/>
    <xdr:pic>
      <xdr:nvPicPr>
        <xdr:cNvPr id="2" name="image1.png" descr="Logotipo, nombre de la empresa&#10;&#10;Descripción generada automáticamente">
          <a:extLst>
            <a:ext uri="{FF2B5EF4-FFF2-40B4-BE49-F238E27FC236}">
              <a16:creationId xmlns:a16="http://schemas.microsoft.com/office/drawing/2014/main" id="{CA6B49A3-17CE-49A2-9BBA-2494D230EAA5}"/>
            </a:ext>
          </a:extLst>
        </xdr:cNvPr>
        <xdr:cNvPicPr preferRelativeResize="0"/>
      </xdr:nvPicPr>
      <xdr:blipFill>
        <a:blip xmlns:r="http://schemas.openxmlformats.org/officeDocument/2006/relationships" r:embed="rId1" cstate="print"/>
        <a:stretch>
          <a:fillRect/>
        </a:stretch>
      </xdr:blipFill>
      <xdr:spPr>
        <a:xfrm>
          <a:off x="1504950" y="85725"/>
          <a:ext cx="1790700" cy="1162050"/>
        </a:xfrm>
        <a:prstGeom prst="rect">
          <a:avLst/>
        </a:prstGeom>
        <a:noFill/>
      </xdr:spPr>
    </xdr:pic>
    <xdr:clientData fLocksWithSheet="0"/>
  </xdr:oneCellAnchor>
  <xdr:twoCellAnchor>
    <xdr:from>
      <xdr:col>21</xdr:col>
      <xdr:colOff>151533</xdr:colOff>
      <xdr:row>10</xdr:row>
      <xdr:rowOff>115166</xdr:rowOff>
    </xdr:from>
    <xdr:to>
      <xdr:col>33</xdr:col>
      <xdr:colOff>878898</xdr:colOff>
      <xdr:row>19</xdr:row>
      <xdr:rowOff>196560</xdr:rowOff>
    </xdr:to>
    <xdr:graphicFrame macro="">
      <xdr:nvGraphicFramePr>
        <xdr:cNvPr id="3" name="Gráfico 2">
          <a:extLst>
            <a:ext uri="{FF2B5EF4-FFF2-40B4-BE49-F238E27FC236}">
              <a16:creationId xmlns:a16="http://schemas.microsoft.com/office/drawing/2014/main" id="{03BE61A0-60E1-4F57-AB5A-3539E22E7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571500</xdr:colOff>
      <xdr:row>20</xdr:row>
      <xdr:rowOff>95250</xdr:rowOff>
    </xdr:from>
    <xdr:to>
      <xdr:col>34</xdr:col>
      <xdr:colOff>232065</xdr:colOff>
      <xdr:row>28</xdr:row>
      <xdr:rowOff>438150</xdr:rowOff>
    </xdr:to>
    <xdr:graphicFrame macro="">
      <xdr:nvGraphicFramePr>
        <xdr:cNvPr id="4" name="Gráfico 3">
          <a:extLst>
            <a:ext uri="{FF2B5EF4-FFF2-40B4-BE49-F238E27FC236}">
              <a16:creationId xmlns:a16="http://schemas.microsoft.com/office/drawing/2014/main" id="{CFCE49F9-6999-4C10-9C0E-342C772AB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500248</xdr:colOff>
      <xdr:row>31</xdr:row>
      <xdr:rowOff>114299</xdr:rowOff>
    </xdr:from>
    <xdr:to>
      <xdr:col>34</xdr:col>
      <xdr:colOff>176894</xdr:colOff>
      <xdr:row>39</xdr:row>
      <xdr:rowOff>171450</xdr:rowOff>
    </xdr:to>
    <xdr:graphicFrame macro="">
      <xdr:nvGraphicFramePr>
        <xdr:cNvPr id="5" name="Gráfico 4">
          <a:extLst>
            <a:ext uri="{FF2B5EF4-FFF2-40B4-BE49-F238E27FC236}">
              <a16:creationId xmlns:a16="http://schemas.microsoft.com/office/drawing/2014/main" id="{3DB14C8F-EB2F-4213-9C5C-9951546B4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276225</xdr:colOff>
      <xdr:row>39</xdr:row>
      <xdr:rowOff>466725</xdr:rowOff>
    </xdr:from>
    <xdr:to>
      <xdr:col>31</xdr:col>
      <xdr:colOff>1038225</xdr:colOff>
      <xdr:row>47</xdr:row>
      <xdr:rowOff>419100</xdr:rowOff>
    </xdr:to>
    <xdr:graphicFrame macro="">
      <xdr:nvGraphicFramePr>
        <xdr:cNvPr id="6" name="Gráfico 5">
          <a:extLst>
            <a:ext uri="{FF2B5EF4-FFF2-40B4-BE49-F238E27FC236}">
              <a16:creationId xmlns:a16="http://schemas.microsoft.com/office/drawing/2014/main" id="{8407DC28-33A9-4D88-AD62-97BF93BF2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198664</xdr:colOff>
      <xdr:row>48</xdr:row>
      <xdr:rowOff>28575</xdr:rowOff>
    </xdr:from>
    <xdr:to>
      <xdr:col>31</xdr:col>
      <xdr:colOff>966107</xdr:colOff>
      <xdr:row>57</xdr:row>
      <xdr:rowOff>0</xdr:rowOff>
    </xdr:to>
    <xdr:graphicFrame macro="">
      <xdr:nvGraphicFramePr>
        <xdr:cNvPr id="7" name="Gráfico 6">
          <a:extLst>
            <a:ext uri="{FF2B5EF4-FFF2-40B4-BE49-F238E27FC236}">
              <a16:creationId xmlns:a16="http://schemas.microsoft.com/office/drawing/2014/main" id="{4FDF66D5-061E-4426-9A8D-F6C8DD1E0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695325</xdr:colOff>
      <xdr:row>25</xdr:row>
      <xdr:rowOff>28575</xdr:rowOff>
    </xdr:from>
    <xdr:to>
      <xdr:col>19</xdr:col>
      <xdr:colOff>561975</xdr:colOff>
      <xdr:row>39</xdr:row>
      <xdr:rowOff>104775</xdr:rowOff>
    </xdr:to>
    <xdr:graphicFrame macro="">
      <xdr:nvGraphicFramePr>
        <xdr:cNvPr id="4" name="Gráfico 3">
          <a:extLst>
            <a:ext uri="{FF2B5EF4-FFF2-40B4-BE49-F238E27FC236}">
              <a16:creationId xmlns:a16="http://schemas.microsoft.com/office/drawing/2014/main" id="{AD5B739B-D75C-48A3-88C1-232D2B25B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323850</xdr:colOff>
      <xdr:row>3</xdr:row>
      <xdr:rowOff>47625</xdr:rowOff>
    </xdr:from>
    <xdr:to>
      <xdr:col>20</xdr:col>
      <xdr:colOff>238125</xdr:colOff>
      <xdr:row>21</xdr:row>
      <xdr:rowOff>38100</xdr:rowOff>
    </xdr:to>
    <xdr:graphicFrame macro="">
      <xdr:nvGraphicFramePr>
        <xdr:cNvPr id="5" name="Gráfico 4">
          <a:extLst>
            <a:ext uri="{FF2B5EF4-FFF2-40B4-BE49-F238E27FC236}">
              <a16:creationId xmlns:a16="http://schemas.microsoft.com/office/drawing/2014/main" id="{7669FE45-D647-4ABF-9829-6C0E0364B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Milena Perez Ortiz" refreshedDate="46240.434200578704" createdVersion="8" refreshedVersion="8" minRefreshableVersion="3" recordCount="31" xr:uid="{B6240BC8-584B-4DE0-9E16-177AB9B84E03}">
  <cacheSource type="worksheet">
    <worksheetSource ref="A1:T32" sheet="ENCUESTA"/>
  </cacheSource>
  <cacheFields count="20">
    <cacheField name="Marca temporal" numFmtId="22">
      <sharedItems containsSemiMixedTypes="0" containsNonDate="0" containsDate="1" containsString="0" minDate="2026-07-07T08:56:35" maxDate="2026-07-31T11:35:36"/>
    </cacheField>
    <cacheField name="Dirección de correo electrónico" numFmtId="0">
      <sharedItems/>
    </cacheField>
    <cacheField name="Autoriza a EMCA para el tratamiento de sus Datos Personales, de acuerdo a lo establecido en la Política de seguridad de la información y protección de datos personales (PO-09)." numFmtId="0">
      <sharedItems/>
    </cacheField>
    <cacheField name="Nombre y Apellido (Código de Suscriptor)" numFmtId="0">
      <sharedItems/>
    </cacheField>
    <cacheField name="Indique el estrato socioeconómico que aparece en las facturas de los servicios públicos." numFmtId="0">
      <sharedItems containsSemiMixedTypes="0" containsString="0" containsNumber="1" containsInteger="1" minValue="2" maxValue="4"/>
    </cacheField>
    <cacheField name="Sector (Barrio)" numFmtId="0">
      <sharedItems containsMixedTypes="1" containsNumber="1" containsInteger="1" minValue="1238453" maxValue="1238453"/>
    </cacheField>
    <cacheField name="¿Cuál es su percepción de Empresas Públicas de Calarcá E.S.P (EMCA)?" numFmtId="0">
      <sharedItems count="1">
        <s v="Empresa en crecimiento"/>
      </sharedItems>
    </cacheField>
    <cacheField name="¿Cómo considera el proceso de atención de un servicio en el Punto Integrado de Atención - PIA de EMCA?" numFmtId="0">
      <sharedItems count="1">
        <s v="Rápido"/>
      </sharedItems>
    </cacheField>
    <cacheField name="¿Cómo considera el tiempo de solución a sus tramites y/o PQR's?" numFmtId="0">
      <sharedItems count="1">
        <s v="Rápido"/>
      </sharedItems>
    </cacheField>
    <cacheField name="La información que contiene la factura de EMCA es clara:" numFmtId="0">
      <sharedItems count="1">
        <s v="Si"/>
      </sharedItems>
    </cacheField>
    <cacheField name="¿En qué lugar acostumbra cancelar la factura de EMCA? :" numFmtId="0">
      <sharedItems count="1">
        <s v="Punto Integrado de Atención de EMCA"/>
      </sharedItems>
    </cacheField>
    <cacheField name="¿Qué opina de la calidad del agua que suministra EMCA?" numFmtId="0">
      <sharedItems count="2">
        <s v="Excelente"/>
        <s v="Buena"/>
      </sharedItems>
    </cacheField>
    <cacheField name="¿La presión del agua que suministra EMCA es?" numFmtId="0">
      <sharedItems count="2">
        <s v="Buena"/>
        <s v="Excelente"/>
      </sharedItems>
    </cacheField>
    <cacheField name="¿Está enterado sobre el manejo que EMCA da a las aguas residuales?" numFmtId="0">
      <sharedItems count="1">
        <s v="Si"/>
      </sharedItems>
    </cacheField>
    <cacheField name="Califique la calidad y cobertura del servicio de Acueducto prestado por EMCA:" numFmtId="0">
      <sharedItems count="2">
        <s v="Bueno"/>
        <s v="Regular"/>
      </sharedItems>
    </cacheField>
    <cacheField name="Califique la calidad y cobertura del servicio de Alcantarillado prestado por EMCA:" numFmtId="0">
      <sharedItems count="3">
        <s v="Excelente"/>
        <s v="Regular"/>
        <s v="Bueno"/>
      </sharedItems>
    </cacheField>
    <cacheField name="Califique la calidad y cobertura del servicio de Aseo prestado por EMCA:" numFmtId="0">
      <sharedItems count="3">
        <s v="Bueno"/>
        <s v="Regular"/>
        <s v="Excelente"/>
      </sharedItems>
    </cacheField>
    <cacheField name="Califique la calidad y cobertura del servicio de Alumbrado Público prestado por EMCA:" numFmtId="0">
      <sharedItems count="3">
        <s v="Bueno"/>
        <s v="Regular"/>
        <s v="Excelente"/>
      </sharedItems>
    </cacheField>
    <cacheField name="Califique la calidad del servicio de arrendamiento de bienes inmuebles prestado por EMCA (Solo para arrendatarios de EMCA):" numFmtId="0">
      <sharedItems count="1">
        <s v="NA"/>
      </sharedItems>
    </cacheField>
    <cacheField name="Cual de los siguientes problemas ambientales es el que mas afecta a su sector, priorice dos según su gravedad" numFmtId="0">
      <sharedItems count="3">
        <s v="Perdida de flora y fauna"/>
        <s v="Inadecuada disposición de residuos solidos"/>
        <s v="No existen problemas ambiental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268.83846446759" createdVersion="8" refreshedVersion="8" minRefreshableVersion="3" recordCount="377" xr:uid="{E4C69947-81F7-4BBD-A346-3C7F2564B3B7}">
  <cacheSource type="worksheet">
    <worksheetSource ref="A1:Y360" sheet="SEPTIEMBRE"/>
  </cacheSource>
  <cacheFields count="25">
    <cacheField name="Codigo: F-GC-003" numFmtId="0">
      <sharedItems containsBlank="1"/>
    </cacheField>
    <cacheField name="RADICADO" numFmtId="0">
      <sharedItems/>
    </cacheField>
    <cacheField name="FECHA" numFmtId="14">
      <sharedItems containsSemiMixedTypes="0" containsNonDate="0" containsDate="1" containsString="0" minDate="2026-08-01T00:00:00" maxDate="2026-09-01T00:00:00"/>
    </cacheField>
    <cacheField name="MEDIO DE RECEPCION" numFmtId="0">
      <sharedItems count="6">
        <s v="Documento Físico"/>
        <s v="Verbal"/>
        <s v="Página Web"/>
        <s v="Telefónico"/>
        <s v="Correo Electrónico"/>
        <s v="Ventanilla Única"/>
      </sharedItems>
    </cacheField>
    <cacheField name="SERVICIO" numFmtId="0">
      <sharedItems count="11">
        <s v="Acueducto"/>
        <s v="Aseo"/>
        <s v="Alumbrado Público"/>
        <s v="Alcantarillado"/>
        <s v="Ac y Alc"/>
        <s v="AAA"/>
        <s v="Servicios Inmobiliarios"/>
        <s v="Ac y As"/>
        <s v="Tratamiento y Disposición Final RCD"/>
        <s v="Al y As"/>
        <s v="Servicios Complementarios"/>
      </sharedItems>
    </cacheField>
    <cacheField name="OBJETO" numFmtId="0">
      <sharedItems/>
    </cacheField>
    <cacheField name="TIPO DE PQR" numFmtId="0">
      <sharedItems count="3">
        <s v="Queja"/>
        <s v="Petición"/>
        <s v="Reclamo"/>
      </sharedItems>
    </cacheField>
    <cacheField name="CODIGO DE CAUSAL" numFmtId="0">
      <sharedItems containsSemiMixedTypes="0" containsString="0" containsNumber="1" containsInteger="1" minValue="102" maxValue="506"/>
    </cacheField>
    <cacheField name="CAUSAL" numFmtId="0">
      <sharedItems count="23">
        <s v="Variaciones en las características del suministro o prestación del servicio"/>
        <s v="Estado de la Infraestructura "/>
        <s v="Frecuencias adicionales de recolección"/>
        <s v="Descuento por predio desocupado"/>
        <s v="Solicitud General"/>
        <s v="Inconformidad por desviación significativa"/>
        <s v="Tarifa Incorrecta"/>
        <s v="Cobro de otros bienes o servicios en la factura, no autorizados por el usuario"/>
        <s v="Cambio de datos básicos"/>
        <s v="Vinculación del Servicio"/>
        <s v="Suscriptor que efectúa el pago pero este no es aplicado por la empresa en la facturación"/>
        <s v="Frecuencias adicionales de barrido"/>
        <s v="Inconformidad con la medición del consumo o producción facturado"/>
        <s v="Quejas Administrativas"/>
        <s v="Clase de uso incorrecto _x000a_(Industrial, comercial, oficial, otros)"/>
        <s v="Negación de la solicitud de suspensión"/>
        <s v="Cobro Múltiple y/o acumulado"/>
        <s v="Revisión con Geofono"/>
        <s v="Terminación del contrato"/>
        <s v="Cobro por servicios no prestados"/>
        <s v="Cobros por conexión, reconexión, reinstalación."/>
        <s v="Cobros por promedio"/>
        <s v="No atención de condiciones de seguridad o riesgo"/>
      </sharedItems>
    </cacheField>
    <cacheField name="DIVISION DE CAUSAL" numFmtId="0">
      <sharedItems count="62">
        <s v="Deficiencia de Presión"/>
        <s v="Cambio de LLave"/>
        <s v="No se Efectua Recolección Puerta a Puerta"/>
        <s v="Punto Critico"/>
        <s v="Predio Desocupado"/>
        <s v="Luminaria Apagada"/>
        <s v="Recolección de Residuos Especiales"/>
        <s v="Fuga de Medidor"/>
        <s v="Daño Red de Alcantarillado"/>
        <s v="Solicitud Revisión de Redes"/>
        <s v="Revisión de Consumo"/>
        <s v="Inconformidad con la Tarifa"/>
        <s v="Inconformidad con el Cobro de Materiales"/>
        <s v="Prestamo de Contenedor"/>
        <s v="Cambio de Nombre"/>
        <s v="Inconformidad con la Disposición de Residuos"/>
        <s v="Certificado de Arrendamiento"/>
        <s v="Disponibilidad del Servicio"/>
        <s v="Pago sin Aplicar"/>
        <s v="No se Efectua Barrido Manual"/>
        <s v="Fuga de Domiciliaria"/>
        <s v="Quedaron Residuos en el Recorrido"/>
        <s v="Corte de Cesped"/>
        <s v="Daño de Anden"/>
        <s v="Instalar Luminaria"/>
        <s v="Solicitud de Información"/>
        <s v="Inconformidad con el Cambio de Clase de Uso"/>
        <s v="Conexión del Servicio"/>
        <s v="Recoger Escombros"/>
        <s v="Reparcheo"/>
        <s v="Suspensión del Servicio"/>
        <s v="Dúplicado de Factura"/>
        <s v="Limpiar Sumidero de Alcantarillado"/>
        <s v="Arrendamiento de Local"/>
        <s v="Detección de Fuga"/>
        <s v="Seguimiento a Derecho de Petición"/>
        <s v="Cancelación de Matricula"/>
        <s v="Habilitar Pago PSE"/>
        <s v="Restricción de Cuenta"/>
        <s v="Hundimento de Vía"/>
        <s v="Poda de Arbol"/>
        <s v="Fuga en Red Principal"/>
        <s v="Cambio de Acometida"/>
        <s v="Cotización"/>
        <s v="Solicitud de Informacion"/>
        <s v="Suspensión Parcial del Contrato"/>
        <s v="Inconformidad con el Cobro de Servicio No Prestado"/>
        <s v="Levantamiento de Restricción de Cuenta"/>
        <s v="Permiso para Remodelación"/>
        <s v="Luminaria Encendida"/>
        <s v="Apoyo"/>
        <s v="Inconformidad con el Cobro de la suspensióin y la Reinstalación"/>
        <s v="Disposición de Escombros"/>
        <s v="Cambio de Dirección Entrega de Factura"/>
        <s v="Solicitud de Visita Técnica"/>
        <s v="Instalar Contenedor"/>
        <s v="Inconformiad con el Cambio de Clase de Uso"/>
        <s v="Reubicar Contenedor"/>
        <s v="Mantenimiento de Lote"/>
        <s v="Cesión de Contrato"/>
        <s v="Mantenimiento Peventivo"/>
        <s v="Conexión Fraudulenta"/>
      </sharedItems>
    </cacheField>
    <cacheField name="APLICA" numFmtId="0">
      <sharedItems containsBlank="1"/>
    </cacheField>
    <cacheField name="PETICIONARIO" numFmtId="0">
      <sharedItems containsBlank="1"/>
    </cacheField>
    <cacheField name="CODIGO" numFmtId="0">
      <sharedItems containsString="0" containsBlank="1" containsNumber="1" containsInteger="1" minValue="360217" maxValue="6025256"/>
    </cacheField>
    <cacheField name="TELEFONO" numFmtId="0">
      <sharedItems containsBlank="1" containsMixedTypes="1" containsNumber="1" containsInteger="1" minValue="1" maxValue="31368140053"/>
    </cacheField>
    <cacheField name="CORREO" numFmtId="0">
      <sharedItems containsBlank="1" containsMixedTypes="1" containsNumber="1" containsInteger="1" minValue="5" maxValue="5"/>
    </cacheField>
    <cacheField name="DIAS" numFmtId="0">
      <sharedItems containsSemiMixedTypes="0" containsString="0" containsNumber="1" containsInteger="1" minValue="14" maxValue="19"/>
    </cacheField>
    <cacheField name="FECHA LIMITE DE RESPUESTA" numFmtId="14">
      <sharedItems containsSemiMixedTypes="0" containsNonDate="0" containsDate="1" containsString="0" minDate="2026-08-31T00:00:00" maxDate="2026-09-19T00:00:00"/>
    </cacheField>
    <cacheField name="FECHA DE TRASLADO" numFmtId="0">
      <sharedItems containsDate="1" containsBlank="1" containsMixedTypes="1" minDate="2026-08-01T00:00:00" maxDate="2026-08-25T00:00:00"/>
    </cacheField>
    <cacheField name="SEGUIMIENTO" numFmtId="0">
      <sharedItems containsBlank="1"/>
    </cacheField>
    <cacheField name="FECHA DE VISITA TECNICA" numFmtId="0">
      <sharedItems containsDate="1" containsBlank="1" containsMixedTypes="1" minDate="2026-08-03T00:00:00" maxDate="2026-09-01T00:00:00"/>
    </cacheField>
    <cacheField name="FECHA DE RADICADO" numFmtId="0">
      <sharedItems containsNonDate="0" containsDate="1" containsString="0" containsBlank="1" minDate="2026-08-19T00:00:00" maxDate="2026-09-02T00:00:00"/>
    </cacheField>
    <cacheField name="RADICADO2" numFmtId="0">
      <sharedItems containsBlank="1"/>
    </cacheField>
    <cacheField name="ESTADO DE LA SOLICITUD" numFmtId="0">
      <sharedItems containsBlank="1"/>
    </cacheField>
    <cacheField name="CUMPLE CON LOS DIAS DE RESPUESTA" numFmtId="0">
      <sharedItems containsBlank="1"/>
    </cacheField>
    <cacheField name="ESTADO EN SIICO"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Andrea Camargo" refreshedDate="46300.463464120374" createdVersion="8" refreshedVersion="8" minRefreshableVersion="3" recordCount="478" xr:uid="{C5EBC7AF-670E-4532-BFCB-E2939DA19864}">
  <cacheSource type="worksheet">
    <worksheetSource name="Tabla1"/>
  </cacheSource>
  <cacheFields count="25">
    <cacheField name="Columna1" numFmtId="0">
      <sharedItems containsBlank="1"/>
    </cacheField>
    <cacheField name="RADICADO" numFmtId="0">
      <sharedItems/>
    </cacheField>
    <cacheField name="FECHA" numFmtId="14">
      <sharedItems containsSemiMixedTypes="0" containsNonDate="0" containsDate="1" containsString="0" minDate="2026-09-01T00:00:00" maxDate="2026-10-01T00:00:00"/>
    </cacheField>
    <cacheField name="MEDIO DE RECEPCION" numFmtId="0">
      <sharedItems/>
    </cacheField>
    <cacheField name="SERVICIO" numFmtId="0">
      <sharedItems count="12">
        <s v="AAA"/>
        <s v="Acueducto"/>
        <s v="Servicios Complementarios"/>
        <s v="Aseo"/>
        <s v="Ac y Alc"/>
        <s v="Alcantarillado"/>
        <s v="Alumbrado Público"/>
        <s v="Servicios Inmobiliarios"/>
        <s v="Tratamiento y Disposición Final RCD"/>
        <s v="Al y As"/>
        <s v="Verbal"/>
        <s v="Ac y As"/>
      </sharedItems>
    </cacheField>
    <cacheField name="OBJETO" numFmtId="0">
      <sharedItems longText="1"/>
    </cacheField>
    <cacheField name="CAUSAL" numFmtId="0">
      <sharedItems containsBlank="1" count="5">
        <s v="Petición"/>
        <s v="Reclamo"/>
        <s v="Queja"/>
        <m/>
        <s v="PQR-IN-116"/>
      </sharedItems>
    </cacheField>
    <cacheField name="CODIGO DE CAUSAL" numFmtId="0">
      <sharedItems containsBlank="1" containsMixedTypes="1" containsNumber="1" containsInteger="1" minValue="101" maxValue="506"/>
    </cacheField>
    <cacheField name="CAUSAL2" numFmtId="0">
      <sharedItems containsBlank="1"/>
    </cacheField>
    <cacheField name="DIVISION DE CAUSAL" numFmtId="0">
      <sharedItems containsBlank="1" count="84">
        <s v="Cambio de Nombre"/>
        <s v="Inconformidad con el Cobro de la Suspensióny la Reinstalación"/>
        <s v="Cotización"/>
        <s v="Predio Desocupado"/>
        <s v="Reparcheo"/>
        <s v="Revisión de Consumo"/>
        <s v="Recolección de Residuos Especiales"/>
        <s v="Hundimiento de Vía"/>
        <s v="Descuento por Predio Desocupado"/>
        <s v="Daño Red de Alcantarillado"/>
        <s v="Inconformidad con el Cobro de Materiales"/>
        <s v="Cambio de Llave"/>
        <s v="Deficiencia de Presión"/>
        <s v="Limpiar Sumidero de Alcantarillado"/>
        <s v="Luminaria Apagada"/>
        <s v="Conexión Fraudulenta"/>
        <s v="Cambio de Acometida"/>
        <s v="Arrendamiento de Local"/>
        <s v="Solicitud Revisión de Redes"/>
        <s v="Fuga de Medidor"/>
        <s v="Fuga de Domiciliaria"/>
        <s v="Recoger Escombros"/>
        <s v="Conexión del Servicio"/>
        <s v="Detección de Fuga"/>
        <s v="Cambio de Poste"/>
        <s v="Recolección de Residuos RCD"/>
        <s v="Pago sin Aplicar"/>
        <s v="Daño de Anden"/>
        <s v="Aviso Prfohibio Arrojar Basura"/>
        <s v="Infracción Redes de Alcantarillado"/>
        <s v="Solicitud de Información"/>
        <s v="Entrega de Local"/>
        <m/>
        <s v="Fuga en Red Principal"/>
        <s v="Incoformidad con la Suspensión del Servicio"/>
        <s v="Inadecuada Disposición de Residuos de Gras"/>
        <s v="Dúplicado de Factura"/>
        <s v="Certificado de Arrendamiento"/>
        <s v="Seguimiento a Derecho de Petición"/>
        <s v="Aclaración a Respuesta"/>
        <s v="PQR-IN-116"/>
        <s v="Medidores Trocados"/>
        <s v="Poda de Arbol"/>
        <s v="Oficio Informativo"/>
        <s v="No se Efectua Recolección Puerta a Puerta"/>
        <s v="Cambio de Local"/>
        <s v="Restricción de Cuenta"/>
        <s v="Corte de Cesped"/>
        <s v="Reviisión de Aforo"/>
        <s v="Prestamo de Infraestructura"/>
        <s v="Fuga domiciliaria"/>
        <s v="Limpiar Pozo Septico"/>
        <s v="Ajuste a Cotización"/>
        <s v="Incoformidad con el Cambio de Clase de Uso"/>
        <s v="Inconformidad con la Tarifa"/>
        <s v="Inconformidad con el Cambio de Clase de Uso"/>
        <s v="Apoyo"/>
        <s v="Factura por Correo Electrónico"/>
        <s v="Inconformidad con la Disposición de Residuos"/>
        <s v="No instalación de servicios"/>
        <s v="Limpiar sumidero"/>
        <s v="Ajuste alimbrado publico"/>
        <s v="Recolección de basura"/>
        <s v="Revisión de Infraestructura"/>
        <s v="Instalar Luminaria"/>
        <s v="Cesión de Contrato"/>
        <s v="Revisión de Cosnumo"/>
        <s v="Reubicar Luminaria"/>
        <s v="Inclusión Zona verde"/>
        <s v="Descuento de Recargos"/>
        <s v="Terminación de Contrato"/>
        <s v="Inadecuada Disposición de Residuos"/>
        <s v="Cambio Clase de Uso"/>
        <s v="Inconformiad con el Cambio de Clase de Uso"/>
        <s v="Inconformidad con la Suspesnión del Servicio"/>
        <s v="Poda de Árbol"/>
        <s v="No se Efectua Barrido Manual"/>
        <s v="Solictud información facuración"/>
        <s v="No se Efectua Entrega de la Factura"/>
        <s v="inconformidad cobro"/>
        <s v="Cancelación de Matricula"/>
        <s v="Hundimento de Vía"/>
        <s v="Seguimiento derecho de petición"/>
        <s v="Disponibilidad del Servicio"/>
      </sharedItems>
    </cacheField>
    <cacheField name="APLICA" numFmtId="0">
      <sharedItems containsBlank="1"/>
    </cacheField>
    <cacheField name="PETICIONARIO" numFmtId="0">
      <sharedItems/>
    </cacheField>
    <cacheField name="CODIGO" numFmtId="0">
      <sharedItems containsString="0" containsBlank="1" containsNumber="1" containsInteger="1" minValue="1000100" maxValue="10822260"/>
    </cacheField>
    <cacheField name="TELEFONO" numFmtId="0">
      <sharedItems containsString="0" containsBlank="1" containsNumber="1" containsInteger="1" minValue="3044089981" maxValue="3226633048"/>
    </cacheField>
    <cacheField name="CORREO" numFmtId="0">
      <sharedItems containsBlank="1"/>
    </cacheField>
    <cacheField name="DIAS" numFmtId="0">
      <sharedItems containsSemiMixedTypes="0" containsString="0" containsNumber="1" containsInteger="1" minValue="14" maxValue="14"/>
    </cacheField>
    <cacheField name="FECHA LIMITE DE RESPUESTA" numFmtId="14">
      <sharedItems containsSemiMixedTypes="0" containsNonDate="0" containsDate="1" containsString="0" minDate="2026-09-18T00:00:00" maxDate="2026-10-22T00:00:00"/>
    </cacheField>
    <cacheField name="FECHA DE TRASLADO" numFmtId="0">
      <sharedItems containsDate="1" containsBlank="1" containsMixedTypes="1" minDate="2026-09-01T00:00:00" maxDate="2026-09-18T00:00:00"/>
    </cacheField>
    <cacheField name="SEGUIMIENTO" numFmtId="0">
      <sharedItems containsBlank="1"/>
    </cacheField>
    <cacheField name="FECHA DE VISITA TECNICA" numFmtId="0">
      <sharedItems containsDate="1" containsBlank="1" containsMixedTypes="1" minDate="2026-09-01T00:00:00" maxDate="2026-09-24T00:00:00"/>
    </cacheField>
    <cacheField name="FECHA DE RADICADO" numFmtId="0">
      <sharedItems containsNonDate="0" containsDate="1" containsString="0" containsBlank="1" minDate="2026-09-08T00:00:00" maxDate="2026-10-01T00:00:00"/>
    </cacheField>
    <cacheField name="RADICADO3" numFmtId="0">
      <sharedItems containsBlank="1"/>
    </cacheField>
    <cacheField name="RADICADO4" numFmtId="0">
      <sharedItems containsBlank="1"/>
    </cacheField>
    <cacheField name="RADICADO5" numFmtId="0">
      <sharedItems containsBlank="1"/>
    </cacheField>
    <cacheField name="RADICADO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d v="2026-07-07T08:56:35"/>
    <s v="pia.emca@gmail.com"/>
    <s v="Si"/>
    <s v="KELLY ISAZA 1241272"/>
    <n v="2"/>
    <s v="B/VILLA MZ 18 # 14"/>
    <x v="0"/>
    <x v="0"/>
    <x v="0"/>
    <x v="0"/>
    <x v="0"/>
    <x v="0"/>
    <x v="0"/>
    <x v="0"/>
    <x v="0"/>
    <x v="0"/>
    <x v="0"/>
    <x v="0"/>
    <x v="0"/>
    <x v="0"/>
  </r>
  <r>
    <d v="2026-07-07T09:03:16"/>
    <s v="pia.emca@gmail.com"/>
    <s v="Si"/>
    <s v="BERENICE SALGADO 1242242"/>
    <n v="2"/>
    <s v="P/VILLA MZ H # 14"/>
    <x v="0"/>
    <x v="0"/>
    <x v="0"/>
    <x v="0"/>
    <x v="0"/>
    <x v="0"/>
    <x v="0"/>
    <x v="0"/>
    <x v="0"/>
    <x v="1"/>
    <x v="0"/>
    <x v="1"/>
    <x v="0"/>
    <x v="0"/>
  </r>
  <r>
    <d v="2026-07-07T09:13:18"/>
    <s v="pia.emca@gmail.com"/>
    <s v="Si"/>
    <s v="MARIA LUZ SANBUEZA 1238453"/>
    <n v="2"/>
    <n v="1238453"/>
    <x v="0"/>
    <x v="0"/>
    <x v="0"/>
    <x v="0"/>
    <x v="0"/>
    <x v="0"/>
    <x v="0"/>
    <x v="0"/>
    <x v="1"/>
    <x v="2"/>
    <x v="0"/>
    <x v="2"/>
    <x v="0"/>
    <x v="1"/>
  </r>
  <r>
    <d v="2026-07-07T09:15:56"/>
    <s v="pia.emca@gmail.com"/>
    <s v="Si"/>
    <s v="SANTIAGO CARDONA 1237952"/>
    <n v="2"/>
    <s v="LL/GUARALA II M.Z 18 # 24"/>
    <x v="0"/>
    <x v="0"/>
    <x v="0"/>
    <x v="0"/>
    <x v="0"/>
    <x v="1"/>
    <x v="1"/>
    <x v="0"/>
    <x v="0"/>
    <x v="2"/>
    <x v="0"/>
    <x v="2"/>
    <x v="0"/>
    <x v="0"/>
  </r>
  <r>
    <d v="2026-07-07T09:53:45"/>
    <s v="pia.emca@gmail.com"/>
    <s v="Si"/>
    <s v="CONSULO RAMIREZ 1241622"/>
    <n v="2"/>
    <s v="B/VILLA MZ.10 # 8"/>
    <x v="0"/>
    <x v="0"/>
    <x v="0"/>
    <x v="0"/>
    <x v="0"/>
    <x v="1"/>
    <x v="1"/>
    <x v="0"/>
    <x v="0"/>
    <x v="1"/>
    <x v="0"/>
    <x v="0"/>
    <x v="0"/>
    <x v="1"/>
  </r>
  <r>
    <d v="2026-07-07T09:55:58"/>
    <s v="pia.emca@gmail.com"/>
    <s v="Si"/>
    <s v="LUISA BERMUDEZ 1068080"/>
    <n v="3"/>
    <s v="LAS AMERICAS CR 27B # 34-19"/>
    <x v="0"/>
    <x v="0"/>
    <x v="0"/>
    <x v="0"/>
    <x v="0"/>
    <x v="0"/>
    <x v="0"/>
    <x v="0"/>
    <x v="0"/>
    <x v="1"/>
    <x v="0"/>
    <x v="0"/>
    <x v="0"/>
    <x v="1"/>
  </r>
  <r>
    <d v="2026-07-14T12:19:12"/>
    <s v="pia.emca@gmail.com"/>
    <s v="Si"/>
    <s v="JORGE CEPEDA 1160940"/>
    <n v="3"/>
    <s v="GUADUALES III MZ. K # 20"/>
    <x v="0"/>
    <x v="0"/>
    <x v="0"/>
    <x v="0"/>
    <x v="0"/>
    <x v="0"/>
    <x v="1"/>
    <x v="0"/>
    <x v="1"/>
    <x v="2"/>
    <x v="0"/>
    <x v="0"/>
    <x v="0"/>
    <x v="1"/>
  </r>
  <r>
    <d v="2026-07-14T12:20:09"/>
    <s v="pia.emca@gmail.com"/>
    <s v="Si"/>
    <s v="LILIA CASTILLO 1252534"/>
    <n v="3"/>
    <s v="CR 28 # 37-46 NIVEL 1 APT 102"/>
    <x v="0"/>
    <x v="0"/>
    <x v="0"/>
    <x v="0"/>
    <x v="0"/>
    <x v="1"/>
    <x v="1"/>
    <x v="0"/>
    <x v="1"/>
    <x v="2"/>
    <x v="1"/>
    <x v="0"/>
    <x v="0"/>
    <x v="1"/>
  </r>
  <r>
    <d v="2026-07-14T12:21:02"/>
    <s v="pia.emca@gmail.com"/>
    <s v="Si"/>
    <s v="EUCLIDES PEÑA 1005960"/>
    <n v="3"/>
    <s v="CR 17 # 41-19"/>
    <x v="0"/>
    <x v="0"/>
    <x v="0"/>
    <x v="0"/>
    <x v="0"/>
    <x v="0"/>
    <x v="0"/>
    <x v="0"/>
    <x v="1"/>
    <x v="2"/>
    <x v="1"/>
    <x v="1"/>
    <x v="0"/>
    <x v="1"/>
  </r>
  <r>
    <d v="2026-07-14T12:21:53"/>
    <s v="pia.emca@gmail.com"/>
    <s v="Si"/>
    <s v="DANIEL PINZON 1250873"/>
    <n v="3"/>
    <s v="VERACRUZ M.Z 21 CS 1 AP 201"/>
    <x v="0"/>
    <x v="0"/>
    <x v="0"/>
    <x v="0"/>
    <x v="0"/>
    <x v="1"/>
    <x v="0"/>
    <x v="0"/>
    <x v="0"/>
    <x v="0"/>
    <x v="2"/>
    <x v="0"/>
    <x v="0"/>
    <x v="1"/>
  </r>
  <r>
    <d v="2026-07-14T12:26:02"/>
    <s v="pia.emca@gmail.com"/>
    <s v="Si"/>
    <s v="IZIS ORTEGA 1242866"/>
    <n v="2"/>
    <s v="Q/CACIQUE MZ I # 20"/>
    <x v="0"/>
    <x v="0"/>
    <x v="0"/>
    <x v="0"/>
    <x v="0"/>
    <x v="0"/>
    <x v="1"/>
    <x v="0"/>
    <x v="0"/>
    <x v="0"/>
    <x v="0"/>
    <x v="2"/>
    <x v="0"/>
    <x v="0"/>
  </r>
  <r>
    <d v="2026-07-14T14:45:50"/>
    <s v="pia.emca@gmail.com"/>
    <s v="Si"/>
    <s v="LUCILLA BUITRAGO 1151960"/>
    <n v="3"/>
    <s v="CRISTO REY MZ.B # 15"/>
    <x v="0"/>
    <x v="0"/>
    <x v="0"/>
    <x v="0"/>
    <x v="0"/>
    <x v="1"/>
    <x v="1"/>
    <x v="0"/>
    <x v="1"/>
    <x v="2"/>
    <x v="0"/>
    <x v="1"/>
    <x v="0"/>
    <x v="1"/>
  </r>
  <r>
    <d v="2026-07-14T14:49:04"/>
    <s v="pia.emca@gmail.com"/>
    <s v="Si"/>
    <s v="ERICK NARANJO 1118840"/>
    <n v="3"/>
    <s v="VERACRUZ MZ 34 # 16"/>
    <x v="0"/>
    <x v="0"/>
    <x v="0"/>
    <x v="0"/>
    <x v="0"/>
    <x v="0"/>
    <x v="0"/>
    <x v="0"/>
    <x v="0"/>
    <x v="0"/>
    <x v="1"/>
    <x v="0"/>
    <x v="0"/>
    <x v="0"/>
  </r>
  <r>
    <d v="2026-07-14T15:48:55"/>
    <s v="pia.emca@gmail.com"/>
    <s v="Si"/>
    <s v="FRANCK RIVERA 1160988"/>
    <n v="3"/>
    <s v="GUADUALES III MZ. L # 5"/>
    <x v="0"/>
    <x v="0"/>
    <x v="0"/>
    <x v="0"/>
    <x v="0"/>
    <x v="0"/>
    <x v="0"/>
    <x v="0"/>
    <x v="0"/>
    <x v="2"/>
    <x v="0"/>
    <x v="1"/>
    <x v="0"/>
    <x v="0"/>
  </r>
  <r>
    <d v="2026-07-14T15:59:55"/>
    <s v="pia.emca@gmail.com"/>
    <s v="Si"/>
    <s v="MARIEM ESCOBAR 1141080"/>
    <n v="2"/>
    <s v="CR 31 # 17B-08"/>
    <x v="0"/>
    <x v="0"/>
    <x v="0"/>
    <x v="0"/>
    <x v="0"/>
    <x v="0"/>
    <x v="0"/>
    <x v="0"/>
    <x v="1"/>
    <x v="2"/>
    <x v="0"/>
    <x v="1"/>
    <x v="0"/>
    <x v="1"/>
  </r>
  <r>
    <d v="2026-07-14T16:39:59"/>
    <s v="pia.emca@gmail.com"/>
    <s v="Si"/>
    <s v="OSCAR AGUDELO 1189660"/>
    <n v="3"/>
    <s v="CL 37 # 30-12"/>
    <x v="0"/>
    <x v="0"/>
    <x v="0"/>
    <x v="0"/>
    <x v="0"/>
    <x v="1"/>
    <x v="1"/>
    <x v="0"/>
    <x v="1"/>
    <x v="2"/>
    <x v="0"/>
    <x v="1"/>
    <x v="0"/>
    <x v="1"/>
  </r>
  <r>
    <d v="2026-07-28T12:29:47"/>
    <s v="pia.emca@gmail.com"/>
    <s v="Si"/>
    <s v="CARMEN SUIZA 1220640"/>
    <n v="3"/>
    <s v="CL 45 # 23-09 ALTOS"/>
    <x v="0"/>
    <x v="0"/>
    <x v="0"/>
    <x v="0"/>
    <x v="0"/>
    <x v="0"/>
    <x v="1"/>
    <x v="0"/>
    <x v="0"/>
    <x v="0"/>
    <x v="1"/>
    <x v="2"/>
    <x v="0"/>
    <x v="0"/>
  </r>
  <r>
    <d v="2026-07-28T12:31:32"/>
    <s v="pia.emca@gmail.com"/>
    <s v="Si"/>
    <s v="CRISTIAN PACHON 1178301"/>
    <n v="3"/>
    <s v="CL 34 # 22-41"/>
    <x v="0"/>
    <x v="0"/>
    <x v="0"/>
    <x v="0"/>
    <x v="0"/>
    <x v="0"/>
    <x v="0"/>
    <x v="0"/>
    <x v="1"/>
    <x v="2"/>
    <x v="2"/>
    <x v="0"/>
    <x v="0"/>
    <x v="1"/>
  </r>
  <r>
    <d v="2026-07-28T12:33:19"/>
    <s v="pia.emca@gmail.com"/>
    <s v="Si"/>
    <s v="JULIO NIÑO 1239532"/>
    <n v="2"/>
    <s v="LL/GUARALA MZ.46 # 30"/>
    <x v="0"/>
    <x v="0"/>
    <x v="0"/>
    <x v="0"/>
    <x v="0"/>
    <x v="0"/>
    <x v="0"/>
    <x v="0"/>
    <x v="0"/>
    <x v="2"/>
    <x v="0"/>
    <x v="1"/>
    <x v="0"/>
    <x v="1"/>
  </r>
  <r>
    <d v="2026-07-28T12:36:16"/>
    <s v="pia.emca@gmail.com"/>
    <s v="Si"/>
    <s v="DAVID FERNANDO GIRALDO 1097740"/>
    <n v="3"/>
    <s v="LA HUERTA MZ D # 11"/>
    <x v="0"/>
    <x v="0"/>
    <x v="0"/>
    <x v="0"/>
    <x v="0"/>
    <x v="0"/>
    <x v="1"/>
    <x v="0"/>
    <x v="0"/>
    <x v="0"/>
    <x v="0"/>
    <x v="0"/>
    <x v="0"/>
    <x v="0"/>
  </r>
  <r>
    <d v="2026-07-28T12:37:08"/>
    <s v="pia.emca@gmail.com"/>
    <s v="Si"/>
    <s v="NELSON VASQUEZ 1160501"/>
    <n v="2"/>
    <s v="LAS PALMAS M.Z D # 9"/>
    <x v="0"/>
    <x v="0"/>
    <x v="0"/>
    <x v="0"/>
    <x v="0"/>
    <x v="0"/>
    <x v="0"/>
    <x v="0"/>
    <x v="1"/>
    <x v="2"/>
    <x v="0"/>
    <x v="0"/>
    <x v="0"/>
    <x v="1"/>
  </r>
  <r>
    <d v="2026-07-28T12:38:02"/>
    <s v="pia.emca@gmail.com"/>
    <s v="Si"/>
    <s v="MARIA ALEJANDRA GUERRERO 1004860"/>
    <n v="2"/>
    <s v="CR 17 # 35-49"/>
    <x v="0"/>
    <x v="0"/>
    <x v="0"/>
    <x v="0"/>
    <x v="0"/>
    <x v="0"/>
    <x v="0"/>
    <x v="0"/>
    <x v="1"/>
    <x v="2"/>
    <x v="0"/>
    <x v="1"/>
    <x v="0"/>
    <x v="1"/>
  </r>
  <r>
    <d v="2026-07-28T12:39:32"/>
    <s v="pia.emca@gmail.com"/>
    <s v="Si"/>
    <s v="FABIAN ARENAS 1252640"/>
    <n v="3"/>
    <s v="CL 30 # 20-46 APT 201"/>
    <x v="0"/>
    <x v="0"/>
    <x v="0"/>
    <x v="0"/>
    <x v="0"/>
    <x v="0"/>
    <x v="0"/>
    <x v="0"/>
    <x v="1"/>
    <x v="2"/>
    <x v="0"/>
    <x v="1"/>
    <x v="0"/>
    <x v="1"/>
  </r>
  <r>
    <d v="2026-07-28T12:40:33"/>
    <s v="pia.emca@gmail.com"/>
    <s v="Si"/>
    <s v="OSCAR ANZISAR BELTRAN 1239792"/>
    <n v="2"/>
    <s v="LLANITOS PILOTO MZ.14A # 16"/>
    <x v="0"/>
    <x v="0"/>
    <x v="0"/>
    <x v="0"/>
    <x v="0"/>
    <x v="0"/>
    <x v="0"/>
    <x v="0"/>
    <x v="1"/>
    <x v="2"/>
    <x v="2"/>
    <x v="1"/>
    <x v="0"/>
    <x v="0"/>
  </r>
  <r>
    <d v="2026-07-28T12:41:42"/>
    <s v="pia.emca@gmail.com"/>
    <s v="Si"/>
    <s v="EDGAR ZAPATA 1189480"/>
    <n v="3"/>
    <s v="CL 36 # 19-63"/>
    <x v="0"/>
    <x v="0"/>
    <x v="0"/>
    <x v="0"/>
    <x v="0"/>
    <x v="0"/>
    <x v="0"/>
    <x v="0"/>
    <x v="1"/>
    <x v="2"/>
    <x v="0"/>
    <x v="1"/>
    <x v="0"/>
    <x v="1"/>
  </r>
  <r>
    <d v="2026-07-28T12:42:38"/>
    <s v="pia.emca@gmail.com"/>
    <s v="Si"/>
    <s v="DANI FERNANDO LOPEZ 1250655"/>
    <n v="3"/>
    <s v="AV. COLON # 22-174"/>
    <x v="0"/>
    <x v="0"/>
    <x v="0"/>
    <x v="0"/>
    <x v="0"/>
    <x v="0"/>
    <x v="0"/>
    <x v="0"/>
    <x v="1"/>
    <x v="2"/>
    <x v="0"/>
    <x v="1"/>
    <x v="0"/>
    <x v="2"/>
  </r>
  <r>
    <d v="2026-07-28T12:43:25"/>
    <s v="pia.emca@gmail.com"/>
    <s v="Si"/>
    <s v="DIANA CAROLINA GIL 1030826"/>
    <n v="3"/>
    <s v="CR 24 # 32-38"/>
    <x v="0"/>
    <x v="0"/>
    <x v="0"/>
    <x v="0"/>
    <x v="0"/>
    <x v="1"/>
    <x v="1"/>
    <x v="0"/>
    <x v="1"/>
    <x v="2"/>
    <x v="1"/>
    <x v="0"/>
    <x v="0"/>
    <x v="1"/>
  </r>
  <r>
    <d v="2026-07-31T11:32:27"/>
    <s v="pia.emca@gmail.com"/>
    <s v="Si"/>
    <s v="NORA ALZATE 1107780"/>
    <n v="3"/>
    <s v="CR 34A # 13A-33"/>
    <x v="0"/>
    <x v="0"/>
    <x v="0"/>
    <x v="0"/>
    <x v="0"/>
    <x v="0"/>
    <x v="0"/>
    <x v="0"/>
    <x v="1"/>
    <x v="2"/>
    <x v="1"/>
    <x v="0"/>
    <x v="0"/>
    <x v="1"/>
  </r>
  <r>
    <d v="2026-07-31T11:33:35"/>
    <s v="pia.emca@gmail.com"/>
    <s v="Si"/>
    <s v="OSCAR MENDEZ 1242012"/>
    <n v="2"/>
    <s v="B/VILLA MZ.5 # 11"/>
    <x v="0"/>
    <x v="0"/>
    <x v="0"/>
    <x v="0"/>
    <x v="0"/>
    <x v="1"/>
    <x v="1"/>
    <x v="0"/>
    <x v="0"/>
    <x v="1"/>
    <x v="0"/>
    <x v="1"/>
    <x v="0"/>
    <x v="1"/>
  </r>
  <r>
    <d v="2026-07-31T11:34:32"/>
    <s v="pia.emca@gmail.com"/>
    <s v="Si"/>
    <s v="BRAYAN NOVOA 1186840"/>
    <n v="4"/>
    <s v="CL 37 # 22-02 LOC"/>
    <x v="0"/>
    <x v="0"/>
    <x v="0"/>
    <x v="0"/>
    <x v="0"/>
    <x v="1"/>
    <x v="1"/>
    <x v="0"/>
    <x v="0"/>
    <x v="2"/>
    <x v="2"/>
    <x v="0"/>
    <x v="0"/>
    <x v="1"/>
  </r>
  <r>
    <d v="2026-07-31T11:35:36"/>
    <s v="pia.emca@gmail.com"/>
    <s v="Si"/>
    <s v="ESTEFANY ZAPATA 1250551"/>
    <n v="4"/>
    <s v="CL 37 # 23-59 AP.303"/>
    <x v="0"/>
    <x v="0"/>
    <x v="0"/>
    <x v="0"/>
    <x v="0"/>
    <x v="0"/>
    <x v="0"/>
    <x v="0"/>
    <x v="1"/>
    <x v="2"/>
    <x v="0"/>
    <x v="1"/>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s v="P-8201"/>
    <s v="2849/2026"/>
    <d v="2026-08-01T00:00:00"/>
    <x v="0"/>
    <x v="0"/>
    <s v="USUARIO REPORA DEFICIENCIA DE PRESION"/>
    <x v="0"/>
    <n v="304"/>
    <x v="0"/>
    <x v="0"/>
    <m/>
    <s v="JHON FREDY RIVERA"/>
    <n v="1240771"/>
    <n v="3102323200"/>
    <m/>
    <n v="19"/>
    <d v="2026-08-31T00:00:00"/>
    <m/>
    <m/>
    <m/>
    <m/>
    <m/>
    <s v="ABIERTA FUERA DE LOS TÉRMINOS"/>
    <m/>
    <m/>
  </r>
  <r>
    <s v="P-8202"/>
    <s v="2850/2026"/>
    <d v="2026-08-01T00:00:00"/>
    <x v="1"/>
    <x v="0"/>
    <s v="USUARIO SOLICITA CAMBIO DE LA LLAVE DE PASO"/>
    <x v="0"/>
    <n v="316"/>
    <x v="1"/>
    <x v="1"/>
    <s v="SI"/>
    <s v="HECTOR VALENCIA"/>
    <n v="1151240"/>
    <n v="3106157755"/>
    <m/>
    <n v="19"/>
    <d v="2026-08-31T00:00:00"/>
    <d v="2026-08-01T00:00:00"/>
    <s v="N/A"/>
    <d v="2026-08-04T00:00:00"/>
    <d v="2026-08-31T00:00:00"/>
    <s v="EMCA-I-4899-2026"/>
    <s v="Cerrado"/>
    <s v="SI"/>
    <s v="SI"/>
  </r>
  <r>
    <m/>
    <s v="2851/2026"/>
    <d v="2026-08-03T00:00:00"/>
    <x v="2"/>
    <x v="1"/>
    <s v="BARRIO RINCÓN DEL BOSQUE MZ 8 NO SE REALIZÓ LA RECOLECCIÓN DE RESIDUOS EN ESTA CUADRA -PQRDS - 244547257104"/>
    <x v="0"/>
    <n v="311"/>
    <x v="2"/>
    <x v="2"/>
    <m/>
    <m/>
    <m/>
    <m/>
    <m/>
    <n v="19"/>
    <d v="2026-09-01T00:00:00"/>
    <m/>
    <m/>
    <m/>
    <m/>
    <m/>
    <s v="ABIERTA FUERA DE LOS TÉRMINOS"/>
    <m/>
    <m/>
  </r>
  <r>
    <m/>
    <s v="2852/2026"/>
    <d v="2026-08-03T00:00:00"/>
    <x v="0"/>
    <x v="1"/>
    <s v="SOLICITUD INTERVENCIÓN EN EL MANEJO DE RESIDUOS SÓLIDIOS SEPERMERCADO INTER DE LA CRA 24 # 41-30"/>
    <x v="0"/>
    <n v="311"/>
    <x v="2"/>
    <x v="3"/>
    <m/>
    <s v="JORGE HUMBERTO GUEVARA"/>
    <m/>
    <n v="3155018124"/>
    <m/>
    <n v="19"/>
    <d v="2026-09-01T00:00:00"/>
    <m/>
    <m/>
    <m/>
    <m/>
    <m/>
    <s v="ABIERTA FUERA DE LOS TÉRMINOS"/>
    <m/>
    <m/>
  </r>
  <r>
    <s v="P-8203"/>
    <s v="2853/2026"/>
    <d v="2026-08-03T00:00:00"/>
    <x v="1"/>
    <x v="0"/>
    <s v="USUARIO SOLICITA CAMBIO DE LLAVE DE PASO Y SOLICITA QUE EL VALOR DE LA LLAVESEA TRASFERIDO A 2 CUOTAS LLAMAR ANTES DE IR"/>
    <x v="0"/>
    <n v="316"/>
    <x v="1"/>
    <x v="1"/>
    <s v="SI"/>
    <s v="DIEGO MAURICIO OCAMPO VARGAS"/>
    <m/>
    <n v="316465499"/>
    <m/>
    <n v="19"/>
    <d v="2026-09-01T00:00:00"/>
    <d v="2026-08-03T00:00:00"/>
    <s v="N/A"/>
    <d v="2026-08-08T00:00:00"/>
    <d v="2026-08-31T00:00:00"/>
    <s v="EMCA-I-4898-2026"/>
    <s v="Cerrado"/>
    <s v="SI"/>
    <s v="SI"/>
  </r>
  <r>
    <s v="P-8204"/>
    <s v="2854/2026"/>
    <d v="2026-08-03T00:00:00"/>
    <x v="1"/>
    <x v="1"/>
    <s v="USUARIA REPORTA PREDIO DESOCUPADO"/>
    <x v="1"/>
    <n v="114"/>
    <x v="3"/>
    <x v="4"/>
    <s v="NO"/>
    <s v="RUBY YANETH MORA LOPEZ"/>
    <n v="1252611"/>
    <n v="3023958622"/>
    <m/>
    <n v="19"/>
    <d v="2026-09-01T00:00:00"/>
    <s v="N/A"/>
    <s v="N/A"/>
    <d v="2026-08-26T00:00:00"/>
    <d v="2026-08-31T00:00:00"/>
    <s v="EMCA-I-4860-2026"/>
    <s v="Cerrado"/>
    <s v="SI"/>
    <s v="SI"/>
  </r>
  <r>
    <s v="P-8205"/>
    <s v="2855/2026"/>
    <d v="2026-08-03T00:00:00"/>
    <x v="1"/>
    <x v="1"/>
    <s v="USUARIA REPORTA PREDIO DESOCUPADO"/>
    <x v="1"/>
    <n v="114"/>
    <x v="3"/>
    <x v="4"/>
    <s v="SI"/>
    <s v="ERIBERTO ESPITIA"/>
    <n v="1252258"/>
    <n v="3248292070"/>
    <m/>
    <n v="19"/>
    <d v="2026-09-01T00:00:00"/>
    <s v="N/A"/>
    <s v="N/A"/>
    <d v="2026-08-28T00:00:00"/>
    <d v="2026-08-31T00:00:00"/>
    <s v="EMCA-I-4862-2026"/>
    <s v="Cerrado"/>
    <s v="SI"/>
    <s v="SI"/>
  </r>
  <r>
    <s v="P-8206"/>
    <s v="2856/2026"/>
    <d v="2026-08-03T00:00:00"/>
    <x v="1"/>
    <x v="0"/>
    <s v="USUARIO SOLICITA CAMBIO DE LLAVE DE PASO"/>
    <x v="0"/>
    <n v="316"/>
    <x v="1"/>
    <x v="1"/>
    <s v="SI"/>
    <s v="ANTONIO DE LOPEZ LOPEZ"/>
    <n v="1089060"/>
    <n v="3159287871"/>
    <m/>
    <n v="19"/>
    <d v="2026-09-01T00:00:00"/>
    <d v="2026-08-03T00:00:00"/>
    <s v="N/A"/>
    <d v="2026-08-04T00:00:00"/>
    <d v="2026-08-31T00:00:00"/>
    <s v="EMCA-I-4897-2026"/>
    <s v="Cerrado"/>
    <s v="SI"/>
    <s v="SI"/>
  </r>
  <r>
    <s v="P-8207"/>
    <s v="2858/2026"/>
    <d v="2026-08-03T00:00:00"/>
    <x v="3"/>
    <x v="0"/>
    <s v="USUARIA SOLICITA CAMBIO DE LA LLAVE DE PASO"/>
    <x v="0"/>
    <n v="316"/>
    <x v="1"/>
    <x v="1"/>
    <s v="SI"/>
    <s v="LAURA LOPEZ HERRERA"/>
    <n v="1088940"/>
    <n v="3122311887"/>
    <m/>
    <n v="19"/>
    <d v="2026-09-01T00:00:00"/>
    <d v="2026-08-03T00:00:00"/>
    <s v="N/A"/>
    <d v="2026-08-04T00:00:00"/>
    <d v="2026-08-31T00:00:00"/>
    <s v="EMCA-I-4896-2026"/>
    <s v="Cerrado"/>
    <s v="SI"/>
    <s v="SI"/>
  </r>
  <r>
    <m/>
    <s v="2859/2026"/>
    <d v="2026-08-03T00:00:00"/>
    <x v="1"/>
    <x v="2"/>
    <s v="USUARIO REPORTA LUMINARIAS FUNDIDAS YA QUE EL SABADO 1 DE AGOSTO LA ARREGLARON PERO SE VOLVIERON A DAÑAR NUMEROS DE POSTE 5017,4762,4813 VIA VILLA ITALIA PARTE BAJA RECUERDO"/>
    <x v="0"/>
    <n v="316"/>
    <x v="1"/>
    <x v="5"/>
    <m/>
    <s v="RICARDO RICARDO BUITRAGO PALOMARES"/>
    <m/>
    <n v="3128567256"/>
    <m/>
    <n v="19"/>
    <d v="2026-09-01T00:00:00"/>
    <m/>
    <m/>
    <m/>
    <m/>
    <m/>
    <s v="ABIERTA FUERA DE LOS TÉRMINOS"/>
    <m/>
    <m/>
  </r>
  <r>
    <m/>
    <s v="2860/2026"/>
    <d v="2026-08-03T00:00:00"/>
    <x v="1"/>
    <x v="1"/>
    <s v="USUARIO SOLICITA QUE RECOJAN UNOS MUEBLES Y COLCHONES EN LA DIRECCION VALDEPEÑAS MZ G CASA 11"/>
    <x v="1"/>
    <n v="503"/>
    <x v="4"/>
    <x v="6"/>
    <m/>
    <s v="ERICK SANTIAGO FRACIGA SEGURA"/>
    <m/>
    <n v="3154211473"/>
    <m/>
    <n v="19"/>
    <d v="2026-09-01T00:00:00"/>
    <m/>
    <m/>
    <m/>
    <m/>
    <m/>
    <s v="ABIERTA FUERA DE LOS TÉRMINOS"/>
    <m/>
    <m/>
  </r>
  <r>
    <s v="P-8208"/>
    <s v="2861/2026"/>
    <d v="2026-08-03T00:00:00"/>
    <x v="1"/>
    <x v="0"/>
    <s v="USUARIO REPORTA FUGA ANTES DEL MEDIDOR"/>
    <x v="0"/>
    <n v="316"/>
    <x v="1"/>
    <x v="7"/>
    <s v="SI"/>
    <s v="HECTOR OSPINA"/>
    <n v="1171820"/>
    <n v="3127202691"/>
    <m/>
    <n v="19"/>
    <d v="2026-09-01T00:00:00"/>
    <d v="2026-08-03T00:00:00"/>
    <s v="N/A"/>
    <d v="2026-08-03T00:00:00"/>
    <d v="2026-08-31T00:00:00"/>
    <s v="EMCA-I-4895-2026"/>
    <s v="Cerrado"/>
    <s v="SI"/>
    <s v="SI"/>
  </r>
  <r>
    <s v="P-8209"/>
    <s v="2862/2026"/>
    <d v="2026-08-03T00:00:00"/>
    <x v="1"/>
    <x v="1"/>
    <s v="USUARIA REPORTA PREDIO DESOCUPADO"/>
    <x v="1"/>
    <n v="114"/>
    <x v="3"/>
    <x v="4"/>
    <s v="SI"/>
    <s v="JUAN PABLO ROA"/>
    <n v="1240802"/>
    <n v="3136627061"/>
    <m/>
    <n v="19"/>
    <d v="2026-09-01T00:00:00"/>
    <s v="N/A"/>
    <s v="N/A"/>
    <d v="2026-08-03T00:00:00"/>
    <d v="2026-09-01T00:00:00"/>
    <s v="EMCA-I-4937-2026"/>
    <s v="Cerrado"/>
    <s v="SI"/>
    <s v="SI"/>
  </r>
  <r>
    <s v="P-8210"/>
    <s v="2863/2026"/>
    <d v="2026-08-03T00:00:00"/>
    <x v="1"/>
    <x v="1"/>
    <s v="USUARIA REPORTA PREDIO DESOCUPADO"/>
    <x v="1"/>
    <n v="114"/>
    <x v="3"/>
    <x v="4"/>
    <s v="SI"/>
    <s v="ANGGIE VANESSA PINEDA MURILLO"/>
    <n v="1225560"/>
    <n v="3189962214"/>
    <m/>
    <n v="19"/>
    <d v="2026-09-01T00:00:00"/>
    <s v="N/A"/>
    <s v="N/A"/>
    <d v="2026-08-27T00:00:00"/>
    <d v="2026-08-31T00:00:00"/>
    <s v="EMCA-I-4908-2026"/>
    <s v="Cerrado"/>
    <s v="SI"/>
    <s v="SI"/>
  </r>
  <r>
    <m/>
    <s v="2864/2026"/>
    <d v="2026-08-03T00:00:00"/>
    <x v="4"/>
    <x v="3"/>
    <s v="SOLICITUD URGENTE INTERVENCIÓN DE RECAMARAS DE AGUAS NEGRAS SIN AUTORIZACIÓN CRA 26 # 34-44 Y 34-35"/>
    <x v="0"/>
    <n v="316"/>
    <x v="1"/>
    <x v="8"/>
    <m/>
    <s v="LINA BUITRAGO BOTERO"/>
    <m/>
    <m/>
    <m/>
    <n v="19"/>
    <d v="2026-09-01T00:00:00"/>
    <m/>
    <m/>
    <m/>
    <m/>
    <m/>
    <s v="ABIERTA FUERA DE LOS TÉRMINOS"/>
    <m/>
    <m/>
  </r>
  <r>
    <m/>
    <s v="2865/2026"/>
    <d v="2026-08-03T00:00:00"/>
    <x v="4"/>
    <x v="3"/>
    <s v="SOLICITUD URGENTE INTERVENCIÓN DE RECAMARAS DE AGUAS NEGRAS SIN AUTORIZACIÓN CRA 26 # 34-44 Y 34-35"/>
    <x v="0"/>
    <n v="316"/>
    <x v="1"/>
    <x v="8"/>
    <m/>
    <s v="FERNANDO LONDOÑO"/>
    <m/>
    <m/>
    <m/>
    <n v="19"/>
    <d v="2026-09-01T00:00:00"/>
    <m/>
    <m/>
    <m/>
    <m/>
    <m/>
    <s v="ABIERTA FUERA DE LOS TÉRMINOS"/>
    <m/>
    <m/>
  </r>
  <r>
    <s v="P-8211"/>
    <s v="2866/2026"/>
    <d v="2026-08-03T00:00:00"/>
    <x v="1"/>
    <x v="4"/>
    <s v="USUARIO SOLICITA REVISION DE REDES YA QUE EL PREDIO SE ESTA INUNDANDO Y NO SE SABE DE QUE PARTE DE LA CALLE ESTA ENTRANDO EL AGUA"/>
    <x v="0"/>
    <n v="316"/>
    <x v="1"/>
    <x v="9"/>
    <m/>
    <s v="HERNANDO CARDONA CASTILLO"/>
    <n v="1152300"/>
    <m/>
    <m/>
    <n v="19"/>
    <d v="2026-09-01T00:00:00"/>
    <m/>
    <m/>
    <m/>
    <m/>
    <m/>
    <s v="ABIERTA FUERA DE LOS TÉRMINOS"/>
    <m/>
    <m/>
  </r>
  <r>
    <s v="P-8212"/>
    <s v="2867/2026"/>
    <d v="2026-08-03T00:00:00"/>
    <x v="1"/>
    <x v="0"/>
    <s v="USUARIA REPORTA QUE AL APARTAMENTO NO LE ESTA ENTRANDO NADA DE AGUA EN LA CR 24 # 37 - 54 APT CR 24 # 37-54 AP.504"/>
    <x v="0"/>
    <n v="304"/>
    <x v="0"/>
    <x v="0"/>
    <s v="SI"/>
    <s v="NOHEMY MORENO DE VILLA"/>
    <n v="1029264"/>
    <n v="3105126930"/>
    <m/>
    <n v="19"/>
    <d v="2026-09-01T00:00:00"/>
    <d v="2026-08-04T00:00:00"/>
    <s v="N/A"/>
    <d v="2026-08-04T00:00:00"/>
    <d v="2026-08-31T00:00:00"/>
    <s v="EMCA-I-4894-2026"/>
    <s v="Cerrado"/>
    <s v="SI"/>
    <s v="SI"/>
  </r>
  <r>
    <s v="R-1516"/>
    <s v="2868/2026"/>
    <d v="2026-08-04T00:00:00"/>
    <x v="1"/>
    <x v="4"/>
    <s v="SE DEBE HACER AJUSTE A LA FACTURA DE ACUERDO A RESPUESTA DEL EMCA-E-002877 POR TRES METROS"/>
    <x v="2"/>
    <n v="127"/>
    <x v="5"/>
    <x v="10"/>
    <s v="SI"/>
    <s v="MARIA CONSUELO RIVERA"/>
    <n v="1037940"/>
    <n v="3012830396"/>
    <m/>
    <n v="19"/>
    <d v="2026-09-02T00:00:00"/>
    <s v="N/A"/>
    <s v="N/A"/>
    <s v="N/A"/>
    <d v="2026-09-01T00:00:00"/>
    <s v="EMCA-I-4931-2026"/>
    <s v="Cerrado"/>
    <s v="SI"/>
    <s v="SI"/>
  </r>
  <r>
    <s v="R-1517"/>
    <s v="2869/2026"/>
    <d v="2026-08-04T00:00:00"/>
    <x v="1"/>
    <x v="0"/>
    <s v="SE DEBE HACER AJUSTE A LA FACTURA DE ACUERDO A LA RESPUESTA DEL EMCA-E-001964-2026 POR 174 METROS"/>
    <x v="2"/>
    <n v="127"/>
    <x v="5"/>
    <x v="10"/>
    <s v="SI"/>
    <s v="MIGUEL ANGEL MEJIA"/>
    <n v="1000055"/>
    <n v="3217808737"/>
    <m/>
    <n v="19"/>
    <d v="2026-09-02T00:00:00"/>
    <s v="N/A"/>
    <s v="N/A"/>
    <s v="N/A"/>
    <d v="2026-09-01T00:00:00"/>
    <s v="EMCA-I-4932-2026"/>
    <s v="Cerrado"/>
    <s v="SI"/>
    <s v="SI"/>
  </r>
  <r>
    <m/>
    <s v="2871/2026"/>
    <d v="2026-08-04T00:00:00"/>
    <x v="4"/>
    <x v="2"/>
    <s v="COMPLEMENTACIÓN DE LA RESPUESTA EMITIDA DE LOS RADICADOS EMCA-I-3171-026-EMCA-I-3450-202-EMCA-PQR-2623-2026 NO RESOLVER INTEGRAMENTE SOLICITUDES"/>
    <x v="2"/>
    <n v="119"/>
    <x v="6"/>
    <x v="11"/>
    <s v="SI"/>
    <s v="DAVID RICARDO TARAZONA CALLEJAS"/>
    <n v="360217"/>
    <n v="3142804361"/>
    <s v="davotarazona@gmail.com"/>
    <n v="19"/>
    <d v="2026-09-02T00:00:00"/>
    <d v="2026-08-04T00:00:00"/>
    <s v="N/A"/>
    <s v="N/A"/>
    <d v="2026-09-01T00:00:00"/>
    <s v="EMCA-I-4933-2026"/>
    <s v="Cerrado"/>
    <s v="SI"/>
    <s v="SI"/>
  </r>
  <r>
    <m/>
    <s v="2870/2026"/>
    <d v="2026-08-04T00:00:00"/>
    <x v="4"/>
    <x v="1"/>
    <s v="SOLICITUD RECOGIDA DE ESCOMBROS Y MADERA EN LA CALLE 34 # 22-45"/>
    <x v="1"/>
    <n v="503"/>
    <x v="4"/>
    <x v="6"/>
    <m/>
    <s v="DIEGO ALEJANDRO GAVIRIA"/>
    <m/>
    <n v="3207218310"/>
    <m/>
    <n v="19"/>
    <d v="2026-09-02T00:00:00"/>
    <m/>
    <m/>
    <m/>
    <m/>
    <m/>
    <s v="ABIERTA FUERA DE LOS TÉRMINOS"/>
    <m/>
    <m/>
  </r>
  <r>
    <m/>
    <s v="2872/2026"/>
    <d v="2026-08-04T00:00:00"/>
    <x v="0"/>
    <x v="0"/>
    <s v="SOLICITUD REVISIÓN COBRO DEL SERVICIO DE ACOMETIDA REALIZADA EN EL PREDIO FINCA LA ESPERANZA INTERIOR CHAMBRANAS CÓDIGO 1254943"/>
    <x v="2"/>
    <n v="113"/>
    <x v="7"/>
    <x v="12"/>
    <m/>
    <s v="CARLOS ALBERTO SABOGAL GARCÍA"/>
    <n v="1254943"/>
    <n v="3172303911"/>
    <m/>
    <n v="19"/>
    <d v="2026-09-02T00:00:00"/>
    <m/>
    <m/>
    <m/>
    <m/>
    <m/>
    <s v="ABIERTA FUERA DE LOS TÉRMINOS"/>
    <m/>
    <m/>
  </r>
  <r>
    <m/>
    <s v="2873/2026"/>
    <d v="2026-08-04T00:00:00"/>
    <x v="0"/>
    <x v="1"/>
    <s v="SOLICITUD DE PRESTAMO DE DOS CONTEINER PARA EL 30 DE AGOSTO"/>
    <x v="1"/>
    <n v="503"/>
    <x v="4"/>
    <x v="13"/>
    <m/>
    <s v="HERNANDO CONTRERAS NARVAEZ"/>
    <m/>
    <m/>
    <m/>
    <n v="19"/>
    <d v="2026-09-02T00:00:00"/>
    <m/>
    <m/>
    <m/>
    <m/>
    <m/>
    <s v="ABIERTA FUERA DE LOS TÉRMINOS"/>
    <m/>
    <m/>
  </r>
  <r>
    <m/>
    <s v="2874/2026"/>
    <d v="2026-08-04T00:00:00"/>
    <x v="0"/>
    <x v="5"/>
    <s v="SOLICITUD CAMBIO DE NOMBRE DEL PREDIO AV COLÓN No. 15-165 LOCAL 163"/>
    <x v="1"/>
    <n v="500"/>
    <x v="8"/>
    <x v="14"/>
    <s v="NO"/>
    <s v="GONZALO HERRERA CASTELLANOS"/>
    <n v="1109040"/>
    <n v="3135837003"/>
    <s v="herreeagonzalo@gmail.com"/>
    <n v="19"/>
    <d v="2026-09-02T00:00:00"/>
    <s v="N/A"/>
    <s v="N/A"/>
    <s v="N/A"/>
    <d v="2026-09-01T00:00:00"/>
    <s v="EMCA-I-4945-2026"/>
    <s v="Cerrado"/>
    <s v="SI"/>
    <s v="SI"/>
  </r>
  <r>
    <m/>
    <s v="2875/2026"/>
    <d v="2026-08-04T00:00:00"/>
    <x v="3"/>
    <x v="1"/>
    <s v="RECOLECCION ESPECIAL USUARIA SOLICITA LE RECOJAN UN SOFA CAMA"/>
    <x v="1"/>
    <n v="503"/>
    <x v="4"/>
    <x v="6"/>
    <m/>
    <s v="MARLENY RODRIGUEZ RINCON"/>
    <m/>
    <n v="3107596355"/>
    <m/>
    <n v="19"/>
    <d v="2026-09-02T00:00:00"/>
    <m/>
    <m/>
    <m/>
    <m/>
    <m/>
    <s v="ABIERTA FUERA DE LOS TÉRMINOS"/>
    <m/>
    <m/>
  </r>
  <r>
    <m/>
    <s v="2876/2026"/>
    <d v="2026-08-04T00:00:00"/>
    <x v="3"/>
    <x v="1"/>
    <s v="RECOLECCION ESPECIAL USUARIA SOLICITA LE RECOJAN UN MUEBLE UNA CAMA Y UN CAJONERO"/>
    <x v="1"/>
    <n v="503"/>
    <x v="4"/>
    <x v="6"/>
    <m/>
    <s v="GENESIS REYES"/>
    <m/>
    <n v="3186061248"/>
    <m/>
    <n v="19"/>
    <d v="2026-09-02T00:00:00"/>
    <m/>
    <m/>
    <m/>
    <m/>
    <m/>
    <s v="ABIERTA FUERA DE LOS TÉRMINOS"/>
    <m/>
    <m/>
  </r>
  <r>
    <m/>
    <s v="2877/2026"/>
    <d v="2026-08-04T00:00:00"/>
    <x v="3"/>
    <x v="2"/>
    <s v="USUARIA REPORTA LUMINARIA APAGADA EN EL POSTE QUE ESTA AL LADO DE LA CASA DE LA MZ 13 CASA 31 LLANITOS GUARALA O PLAYA RICA"/>
    <x v="0"/>
    <n v="316"/>
    <x v="1"/>
    <x v="5"/>
    <s v="SI"/>
    <s v="MARTHA CECILIA PARDO ORTEGON"/>
    <m/>
    <n v="3142087693"/>
    <m/>
    <n v="19"/>
    <d v="2026-09-02T00:00:00"/>
    <d v="2026-08-04T00:00:00"/>
    <s v="N/A"/>
    <s v="N/A"/>
    <d v="2026-09-01T00:00:00"/>
    <s v="EMCA-I-4894-2026"/>
    <s v="Cerrado"/>
    <s v="SI"/>
    <s v="SI"/>
  </r>
  <r>
    <m/>
    <s v="2878/2026"/>
    <d v="2026-08-04T00:00:00"/>
    <x v="3"/>
    <x v="1"/>
    <s v="USUARIA SOLICITA LE RECOJAN UN CAJON"/>
    <x v="1"/>
    <n v="503"/>
    <x v="4"/>
    <x v="6"/>
    <m/>
    <s v="KELLY JOHANA DIENTES DIAZ"/>
    <n v="1159520"/>
    <n v="3015180653"/>
    <m/>
    <n v="19"/>
    <d v="2026-09-02T00:00:00"/>
    <m/>
    <m/>
    <m/>
    <m/>
    <m/>
    <s v="ABIERTA FUERA DE LOS TÉRMINOS"/>
    <m/>
    <m/>
  </r>
  <r>
    <s v="P-8213"/>
    <s v="2879/20026"/>
    <d v="2026-08-04T00:00:00"/>
    <x v="1"/>
    <x v="0"/>
    <s v="USUARIO REPORTA CAMBIO DE LLAVE DE PASO URGENTE FUGA INTERNO"/>
    <x v="0"/>
    <n v="316"/>
    <x v="1"/>
    <x v="1"/>
    <s v="SI"/>
    <s v="ALVARO DUQUE GANTIVA"/>
    <n v="1203080"/>
    <n v="3125864972"/>
    <m/>
    <n v="19"/>
    <d v="2026-09-02T00:00:00"/>
    <d v="2026-08-04T00:00:00"/>
    <s v="N/A"/>
    <d v="2026-08-04T00:00:00"/>
    <d v="2026-08-31T00:00:00"/>
    <s v="EMCA-I-4254-2026"/>
    <s v="Cerrado"/>
    <s v="SI"/>
    <s v="SI"/>
  </r>
  <r>
    <s v="P-8214"/>
    <s v="2880/2026"/>
    <d v="2026-08-04T00:00:00"/>
    <x v="1"/>
    <x v="0"/>
    <s v="USUARIO REPORTA DEFICIENCIA DE PRESION YA QUE LLEGA POCA AGUA AL PREDIO LLAMAR ANTES DE IR"/>
    <x v="0"/>
    <n v="304"/>
    <x v="0"/>
    <x v="0"/>
    <m/>
    <s v="MONICA AGUIRRE"/>
    <n v="1138120"/>
    <n v="3193857168"/>
    <m/>
    <n v="19"/>
    <d v="2026-09-02T00:00:00"/>
    <m/>
    <m/>
    <m/>
    <m/>
    <m/>
    <s v="ABIERTA FUERA DE LOS TÉRMINOS"/>
    <m/>
    <m/>
  </r>
  <r>
    <m/>
    <s v="2881/2026"/>
    <d v="2026-08-04T00:00:00"/>
    <x v="0"/>
    <x v="1"/>
    <s v="QUEJA HACIA LAS PERSONAL QUE HACEN RECOLECCIÓN DE RESIDUOS - UNIDAD RESIDENCIAL CAMPESTRE LOS GUAYACANES -VEREDA LA ESPAÑOLA"/>
    <x v="0"/>
    <n v="311"/>
    <x v="2"/>
    <x v="15"/>
    <s v="SI"/>
    <s v="ALIRIO CASTRO MINA"/>
    <m/>
    <n v="31132098189"/>
    <s v="urclosguayacanes@gmail.com"/>
    <n v="19"/>
    <d v="2026-09-02T00:00:00"/>
    <d v="2026-08-04T00:00:00"/>
    <s v="N/A"/>
    <s v="N/A"/>
    <d v="2026-09-01T00:00:00"/>
    <s v="EMCA-I-4936-2026"/>
    <s v="Cerrado"/>
    <s v="SI"/>
    <s v="SI"/>
  </r>
  <r>
    <m/>
    <s v="2882/2026"/>
    <d v="2026-08-04T00:00:00"/>
    <x v="0"/>
    <x v="6"/>
    <s v="SOLICITUD CERTICADO DE ARRENDAMIENTO LOCAL 1441 FRUTAS Y VERDURAS"/>
    <x v="1"/>
    <n v="503"/>
    <x v="4"/>
    <x v="16"/>
    <s v="SI"/>
    <s v="ELISENIA MURILLO MOTOYA"/>
    <m/>
    <n v="3127452809"/>
    <s v="elizenia87@hotmail.com"/>
    <n v="19"/>
    <d v="2026-09-02T00:00:00"/>
    <d v="2026-08-04T00:00:00"/>
    <s v="N/A"/>
    <s v="N/A"/>
    <d v="2026-08-19T00:00:00"/>
    <s v="EMCA-I-4254-2026"/>
    <s v="Cerrado"/>
    <s v="SI"/>
    <s v="SI"/>
  </r>
  <r>
    <m/>
    <s v="2883/2026"/>
    <d v="2026-08-04T00:00:00"/>
    <x v="0"/>
    <x v="5"/>
    <s v="SOLICITUD DE CERTIFICADO DE DISPONIBILIDAD Y VIABILIDAD TÉCNICA DE CONEXIÓN A LOS SERVICIOS PÚBLICOS DE ACUEDUCTO Y ALCANTARILLADO PREDIO DEL MORRO VEREDA LA PRADERA"/>
    <x v="1"/>
    <n v="502"/>
    <x v="9"/>
    <x v="17"/>
    <s v="SI"/>
    <s v="GUSTAVO ALBERTO DUQUE ROJAS"/>
    <m/>
    <m/>
    <s v="gustavoduque48@hotmail.com"/>
    <n v="19"/>
    <d v="2026-09-02T00:00:00"/>
    <d v="2026-08-04T00:00:00"/>
    <s v="N/A"/>
    <s v="N/A"/>
    <d v="2026-08-28T00:00:00"/>
    <s v="EMCA-I-4854-2026"/>
    <s v="Cerrado"/>
    <s v="SI"/>
    <s v="SI"/>
  </r>
  <r>
    <m/>
    <s v="2884/2026"/>
    <d v="2026-08-04T00:00:00"/>
    <x v="0"/>
    <x v="4"/>
    <s v="SOLICITUD REVISIÓN DE FACTURA POR ALTO CONSUMO DEBIDO A FUGA IMPERCEPTIBLE PLAZUELAS DE LA VILLA MZ H CS 18"/>
    <x v="2"/>
    <n v="127"/>
    <x v="5"/>
    <x v="10"/>
    <m/>
    <s v="MARIA ORFANELI BUITRAGO SANCHEZ"/>
    <m/>
    <m/>
    <m/>
    <n v="19"/>
    <d v="2026-09-02T00:00:00"/>
    <m/>
    <m/>
    <m/>
    <m/>
    <m/>
    <s v="ABIERTA FUERA DE LOS TÉRMINOS"/>
    <m/>
    <m/>
  </r>
  <r>
    <s v="R-1518"/>
    <s v="2885/2026"/>
    <d v="2026-08-04T00:00:00"/>
    <x v="1"/>
    <x v="5"/>
    <s v="AJUSTE A LA FACTURA YA QUE EL PAGO SE APLICO POR ERROR AL CODIGO 1083700"/>
    <x v="2"/>
    <n v="122"/>
    <x v="10"/>
    <x v="18"/>
    <s v="SI"/>
    <s v="NORA ELENA HERNANDEZ"/>
    <n v="1083700"/>
    <n v="3142767808"/>
    <m/>
    <n v="19"/>
    <d v="2026-09-02T00:00:00"/>
    <s v="N/A"/>
    <s v="N/A"/>
    <s v="N/A"/>
    <d v="2026-09-01T00:00:00"/>
    <s v="EMCA-I-4938-2026"/>
    <s v="Cerrado"/>
    <s v="SI"/>
    <s v="SI"/>
  </r>
  <r>
    <m/>
    <s v="2886/2026"/>
    <d v="2026-08-04T00:00:00"/>
    <x v="3"/>
    <x v="1"/>
    <s v="RECOLECCION ESPECIAL USUARIA SOLICITA LE RECOJAN DIEZ SILLAS"/>
    <x v="1"/>
    <n v="503"/>
    <x v="4"/>
    <x v="6"/>
    <m/>
    <s v="VANESA MORALES ARCILA"/>
    <m/>
    <n v="3103580164"/>
    <m/>
    <n v="19"/>
    <d v="2026-09-02T00:00:00"/>
    <m/>
    <m/>
    <m/>
    <m/>
    <m/>
    <s v="ABIERTA FUERA DE LOS TÉRMINOS"/>
    <m/>
    <m/>
  </r>
  <r>
    <s v="P-8215"/>
    <s v="2887/2026"/>
    <d v="2026-08-04T00:00:00"/>
    <x v="1"/>
    <x v="5"/>
    <s v="USUARIO SOLICITA CAMBIO DE NOMBRE EN LA FACTURA"/>
    <x v="1"/>
    <n v="500"/>
    <x v="8"/>
    <x v="14"/>
    <s v="SI"/>
    <s v="OLMEDO VARGAS LOPEZ"/>
    <n v="1120740"/>
    <n v="3014166712"/>
    <m/>
    <n v="19"/>
    <d v="2026-09-02T00:00:00"/>
    <s v="N/A"/>
    <s v="N/A"/>
    <s v="N/A"/>
    <d v="2026-08-31T00:00:00"/>
    <s v="EMCA-I-4939-2026"/>
    <s v="Cerrado"/>
    <s v="SI"/>
    <s v="SI"/>
  </r>
  <r>
    <s v="P-8216"/>
    <s v="2888/2026"/>
    <d v="2026-08-05T00:00:00"/>
    <x v="1"/>
    <x v="0"/>
    <s v="USUARIA REPORTA FUGA DE MEDIDOR LLAMAR ANTES DE IR"/>
    <x v="0"/>
    <n v="316"/>
    <x v="1"/>
    <x v="7"/>
    <s v="SI"/>
    <s v="YOLANDA PATRICIA DIAZ"/>
    <n v="1203300"/>
    <n v="3137768045"/>
    <m/>
    <n v="19"/>
    <d v="2026-09-03T00:00:00"/>
    <d v="2026-08-05T00:00:00"/>
    <s v="N/A"/>
    <d v="2026-08-05T00:00:00"/>
    <d v="2026-08-31T00:00:00"/>
    <s v="EMCA-I-4892-2026"/>
    <s v="Cerrado"/>
    <s v="SI"/>
    <s v="SI"/>
  </r>
  <r>
    <m/>
    <s v="2889/2026"/>
    <d v="2026-08-05T00:00:00"/>
    <x v="1"/>
    <x v="2"/>
    <s v="USUARIO REPORTA LUMINARIA FUNDIDA EN LA DIRECCION LLANITOS GUARALA MZ 32 EN TODA AL ENTRADA DE ESA MZ QUEDA EL POSTE 2191"/>
    <x v="0"/>
    <n v="316"/>
    <x v="1"/>
    <x v="5"/>
    <s v="SI"/>
    <s v="LUIS EDUARDO CEDIEL ARCOS"/>
    <m/>
    <n v="3233218634"/>
    <m/>
    <n v="19"/>
    <d v="2026-09-03T00:00:00"/>
    <d v="2026-08-05T00:00:00"/>
    <s v="N/A"/>
    <s v="N/A"/>
    <d v="2026-09-01T00:00:00"/>
    <s v="EMCA-I-4941-2026"/>
    <s v="Cerrado"/>
    <s v="SI"/>
    <s v="SI"/>
  </r>
  <r>
    <s v="P-8217"/>
    <s v="2890/2026"/>
    <d v="2026-08-05T00:00:00"/>
    <x v="1"/>
    <x v="1"/>
    <s v="USUARIA REPORTA QUE NO SE EFECTUA BARRIDO MANUAL POR ESE SECTOR"/>
    <x v="0"/>
    <n v="310"/>
    <x v="11"/>
    <x v="19"/>
    <s v="SI"/>
    <s v="OLINDA ROMAN AGUIRRE"/>
    <n v="1220640"/>
    <n v="3103741048"/>
    <m/>
    <n v="19"/>
    <d v="2026-09-03T00:00:00"/>
    <d v="2026-08-05T00:00:00"/>
    <s v="N/A"/>
    <s v="N/A"/>
    <d v="2026-09-01T00:00:00"/>
    <s v="EMCA-I-4941-2026"/>
    <s v="Cerrado"/>
    <s v="SI"/>
    <s v="SI"/>
  </r>
  <r>
    <s v="P-8218"/>
    <s v="2891/2026"/>
    <d v="2026-08-05T00:00:00"/>
    <x v="1"/>
    <x v="0"/>
    <s v="USUARIA SOLICITA REVISON DE REDES DE ACUEDUCTO YA QUE MANIFIESTA QUE EL PREDIO NO TIENE AGUA DESDE EL LUNES DE 3 DE AGOSTO Y EL PREDIO ESTA AL DIA NO TIENE ORDEN DE SUSPENSION LLAMAR ANTES DE IR"/>
    <x v="0"/>
    <n v="304"/>
    <x v="0"/>
    <x v="0"/>
    <s v="SI"/>
    <s v="GRACIELA MARIA LEON"/>
    <n v="1137940"/>
    <n v="7427869"/>
    <m/>
    <n v="19"/>
    <d v="2026-09-03T00:00:00"/>
    <d v="2026-08-05T00:00:00"/>
    <s v="N/A"/>
    <d v="2026-08-05T00:00:00"/>
    <d v="2026-08-31T00:00:00"/>
    <s v="EMCA-I-4891-2026"/>
    <s v="Cerrado"/>
    <s v="SI"/>
    <s v="SI"/>
  </r>
  <r>
    <s v="P-8219"/>
    <s v="2892/2026"/>
    <d v="2026-08-05T00:00:00"/>
    <x v="1"/>
    <x v="4"/>
    <s v="USUARIO REPORTA FUGA DE DOMICILIARIA YA QUE SE ESTA FILTRANDO MUCHA AGUA POR EL ANDEN LLAMAR ANTES DE IR"/>
    <x v="0"/>
    <n v="316"/>
    <x v="1"/>
    <x v="20"/>
    <s v="SI"/>
    <s v="JUAN SEBASTIAN BUITRAGO ALFONSO"/>
    <n v="1238270"/>
    <n v="3215595864"/>
    <m/>
    <n v="19"/>
    <d v="2026-09-03T00:00:00"/>
    <d v="2026-08-05T00:00:00"/>
    <s v="N/A"/>
    <d v="2026-08-05T00:00:00"/>
    <d v="2026-08-31T00:00:00"/>
    <s v="EMCA-I-4889-2026"/>
    <s v="Cerrado"/>
    <s v="SI"/>
    <s v="SI"/>
  </r>
  <r>
    <s v="P-8220"/>
    <s v="2893/2026"/>
    <d v="2026-08-05T00:00:00"/>
    <x v="1"/>
    <x v="4"/>
    <s v="USUARIO REPORTA FUGA DE DOMICILIARIA YA QUE HAY UN TUBO QUE SE REVENTO Y ESTA BOTANDO MUCHA AGUA LLAMAR ANTES DE IR 3106233100"/>
    <x v="0"/>
    <n v="316"/>
    <x v="1"/>
    <x v="20"/>
    <s v="SI"/>
    <s v="YIMMY RODRIGUEZ"/>
    <n v="1239048"/>
    <n v="3106233100"/>
    <m/>
    <n v="19"/>
    <d v="2026-09-03T00:00:00"/>
    <d v="2026-08-05T00:00:00"/>
    <s v="N/A"/>
    <d v="2026-08-05T00:00:00"/>
    <d v="2026-08-31T00:00:00"/>
    <s v="EMCA-I-4887-2026"/>
    <s v="Cerrado"/>
    <s v="SI"/>
    <s v="SI"/>
  </r>
  <r>
    <s v="P-8221"/>
    <s v="2894/2026"/>
    <d v="2026-08-05T00:00:00"/>
    <x v="1"/>
    <x v="0"/>
    <s v="USUARIO REPORTA FUGA DE MEDIDOR LLAMAR ANTES DE IR"/>
    <x v="0"/>
    <n v="316"/>
    <x v="1"/>
    <x v="7"/>
    <s v="SI"/>
    <s v="ISRAEL PATIÑO GARCIA"/>
    <n v="1160920"/>
    <n v="3122976879"/>
    <m/>
    <n v="19"/>
    <d v="2026-09-03T00:00:00"/>
    <d v="2026-08-05T00:00:00"/>
    <s v="N/A"/>
    <d v="2026-08-05T00:00:00"/>
    <d v="2026-08-31T00:00:00"/>
    <s v="EMCA-I-4886-2026"/>
    <s v="Cerrado"/>
    <s v="SI"/>
    <s v="SI"/>
  </r>
  <r>
    <s v="P-8222"/>
    <s v="2895/2026"/>
    <d v="2026-08-05T00:00:00"/>
    <x v="1"/>
    <x v="4"/>
    <s v="USUARIO REPORTA FUGA DE DOMICILIARIA YA QUE ESTA BOTANDO MUCHA AGUA LLAMAR ANTES DE IR"/>
    <x v="0"/>
    <n v="316"/>
    <x v="1"/>
    <x v="20"/>
    <s v="SI"/>
    <s v="YONATHAN CAMILO SAAVEDRA GUTIÉRREZ"/>
    <n v="1179540"/>
    <n v="3116288791"/>
    <m/>
    <n v="19"/>
    <d v="2026-09-03T00:00:00"/>
    <d v="2026-08-05T00:00:00"/>
    <s v="N/A"/>
    <d v="2026-08-06T00:00:00"/>
    <d v="2026-08-31T00:00:00"/>
    <s v="EMCA-I-4885-2026"/>
    <s v="Cerrado"/>
    <s v="SI"/>
    <s v="SI"/>
  </r>
  <r>
    <s v="R-1519"/>
    <s v="2896/2026"/>
    <d v="2026-08-05T00:00:00"/>
    <x v="1"/>
    <x v="5"/>
    <s v="SUSCRIPTOR QUE PAGA Y NO SE APLICA"/>
    <x v="2"/>
    <n v="122"/>
    <x v="10"/>
    <x v="18"/>
    <m/>
    <m/>
    <m/>
    <m/>
    <m/>
    <n v="19"/>
    <d v="2026-09-03T00:00:00"/>
    <m/>
    <m/>
    <m/>
    <m/>
    <m/>
    <s v="Vence Hoy"/>
    <m/>
    <m/>
  </r>
  <r>
    <s v="P-8223"/>
    <s v="2897/2026"/>
    <d v="2026-08-05T00:00:00"/>
    <x v="1"/>
    <x v="1"/>
    <s v="USUARIO REPORTA PREDIO DESOCUPADO"/>
    <x v="1"/>
    <n v="114"/>
    <x v="3"/>
    <x v="4"/>
    <s v="SI"/>
    <s v="OSCAR AUGUSTO SILVA COBALEDA"/>
    <n v="1254482"/>
    <n v="3002464910"/>
    <m/>
    <n v="19"/>
    <d v="2026-09-03T00:00:00"/>
    <s v="N/A"/>
    <s v="N/A"/>
    <d v="2026-08-31T00:00:00"/>
    <d v="2026-09-01T00:00:00"/>
    <s v="EMCA-I-4942-2026"/>
    <s v="Cerrado"/>
    <s v="SI"/>
    <s v="SI"/>
  </r>
  <r>
    <s v="P-8224"/>
    <s v="2899/2026"/>
    <d v="2026-08-05T00:00:00"/>
    <x v="1"/>
    <x v="1"/>
    <s v="USUARIO REPORTA PREDIO DESOCUPADO"/>
    <x v="1"/>
    <n v="114"/>
    <x v="3"/>
    <x v="4"/>
    <s v="SI"/>
    <s v="GLORIA INES GALLEGO ARISTIZABAL"/>
    <n v="1198760"/>
    <n v="3206637620"/>
    <m/>
    <n v="19"/>
    <d v="2026-09-03T00:00:00"/>
    <s v="N/A"/>
    <s v="N/A"/>
    <d v="2026-08-26T00:00:00"/>
    <d v="2026-08-31T00:00:00"/>
    <s v="EMCA-I-4859-2026"/>
    <s v="Cerrado"/>
    <s v="SI"/>
    <s v="SI"/>
  </r>
  <r>
    <m/>
    <s v="2898/2026"/>
    <d v="2026-08-05T00:00:00"/>
    <x v="0"/>
    <x v="4"/>
    <s v="SOLICITUD DE REVISION DE CONSUMO YA QUE LA VIVIENDA SE ENCUENTRA SOLA CLL 39 # 25-19 Apto 201"/>
    <x v="2"/>
    <n v="102"/>
    <x v="12"/>
    <x v="10"/>
    <m/>
    <s v="GLORIA INES GALLEGO ARISTIZABAL"/>
    <n v="1198760"/>
    <n v="3206637620"/>
    <m/>
    <n v="19"/>
    <d v="2026-09-03T00:00:00"/>
    <m/>
    <m/>
    <m/>
    <m/>
    <m/>
    <s v="Vence Hoy"/>
    <m/>
    <m/>
  </r>
  <r>
    <s v="R-1520"/>
    <s v="2900/2026"/>
    <d v="2026-08-05T00:00:00"/>
    <x v="1"/>
    <x v="4"/>
    <s v="SE DEBE HACER AJUSTE DE 22 METROS DEACUERDO A RESPUESTA EMCA-E-002940-2026"/>
    <x v="2"/>
    <n v="127"/>
    <x v="5"/>
    <x v="10"/>
    <m/>
    <s v="JHON ALEX GIRALDO ZULUAGA"/>
    <m/>
    <n v="3176842063"/>
    <m/>
    <n v="19"/>
    <d v="2026-09-03T00:00:00"/>
    <m/>
    <m/>
    <m/>
    <m/>
    <m/>
    <s v="Vence Hoy"/>
    <m/>
    <m/>
  </r>
  <r>
    <s v="P-8225"/>
    <s v="2901/2026"/>
    <d v="2026-08-05T00:00:00"/>
    <x v="1"/>
    <x v="1"/>
    <s v="USUARIA REPORTA QUE QUEDARON RESIDUOS SOLIDOS EN EL RECORRIDO HOY 5 DE AGOSTO EN LA HORAS DE LA MAÑANAY QUE LE DIJO AL FUNCIONARIO QUE QUEDARON RESIDUOS Y EL LE RESPONDIO RECOGELA USTED"/>
    <x v="0"/>
    <n v="310"/>
    <x v="11"/>
    <x v="21"/>
    <m/>
    <s v="MARY GARCIA LUZ"/>
    <n v="1254327"/>
    <n v="3215766469"/>
    <m/>
    <n v="19"/>
    <d v="2026-09-03T00:00:00"/>
    <m/>
    <m/>
    <m/>
    <m/>
    <m/>
    <s v="Vence Hoy"/>
    <m/>
    <m/>
  </r>
  <r>
    <s v="P-8226"/>
    <s v="2902/2026"/>
    <d v="2026-08-05T00:00:00"/>
    <x v="1"/>
    <x v="0"/>
    <s v="USUARIA SOLICITA CAMBIO DE LA LLAVE DE PASO"/>
    <x v="0"/>
    <n v="316"/>
    <x v="1"/>
    <x v="1"/>
    <s v="SI"/>
    <s v="MARISOL AGUIRRE"/>
    <n v="1250408"/>
    <n v="3166268862"/>
    <m/>
    <n v="19"/>
    <d v="2026-09-03T00:00:00"/>
    <d v="2026-08-05T00:00:00"/>
    <s v="N/A"/>
    <d v="2026-08-08T00:00:00"/>
    <d v="2026-08-31T00:00:00"/>
    <s v="EMCA-I-4884-2026"/>
    <s v="Cerrado"/>
    <s v="SI"/>
    <s v="SI"/>
  </r>
  <r>
    <m/>
    <s v="2903/2026"/>
    <d v="2026-08-05T00:00:00"/>
    <x v="4"/>
    <x v="1"/>
    <s v="2026EE-5865 SOLICITUD DE PODA Y MANTENIMIENTO DE ZONAS VERDES URBANIZACIÓN VERANERAS MZ 1 CASA H BARCELONA"/>
    <x v="1"/>
    <n v="503"/>
    <x v="4"/>
    <x v="22"/>
    <m/>
    <s v="MARTHA ISABEL ESPINOSA SILVA"/>
    <m/>
    <m/>
    <m/>
    <n v="19"/>
    <d v="2026-09-03T00:00:00"/>
    <m/>
    <m/>
    <m/>
    <m/>
    <m/>
    <s v="Vence Hoy"/>
    <m/>
    <m/>
  </r>
  <r>
    <s v="P-8227"/>
    <s v="2904/2026"/>
    <d v="2026-08-05T00:00:00"/>
    <x v="1"/>
    <x v="0"/>
    <s v="USUARIA SOLICITA CAMBIO DE LLAVE DE PASO LLAMAR ANTES DE IR"/>
    <x v="0"/>
    <n v="316"/>
    <x v="1"/>
    <x v="1"/>
    <s v="SI"/>
    <s v="MARIA YANETH MUÑOZ JIMENEZ"/>
    <n v="1122905"/>
    <n v="3153169706"/>
    <m/>
    <n v="19"/>
    <d v="2026-09-03T00:00:00"/>
    <d v="2026-08-05T00:00:00"/>
    <s v="N/A"/>
    <d v="2026-08-08T00:00:00"/>
    <d v="2026-08-31T00:00:00"/>
    <s v="EMCA-I-4883-2026"/>
    <s v="Cerrado"/>
    <s v="SI"/>
    <s v="SI"/>
  </r>
  <r>
    <m/>
    <s v="2905/2026"/>
    <d v="2026-08-05T00:00:00"/>
    <x v="4"/>
    <x v="1"/>
    <s v="DAÑO POR CARRO RECOLECTOR DE BASURA EN VIVIENDA CARRERA 43 # 23-58"/>
    <x v="0"/>
    <n v="315"/>
    <x v="13"/>
    <x v="23"/>
    <m/>
    <s v="CRISTHIAN FELIPE VANEGAS TELLEZ"/>
    <m/>
    <m/>
    <m/>
    <n v="19"/>
    <d v="2026-09-03T00:00:00"/>
    <m/>
    <m/>
    <m/>
    <m/>
    <m/>
    <s v="Vence Hoy"/>
    <m/>
    <m/>
  </r>
  <r>
    <m/>
    <s v="2906/2026"/>
    <d v="2026-08-05T00:00:00"/>
    <x v="1"/>
    <x v="1"/>
    <s v="SOLICITUD DE RECOLECCIÓN DE RESIDIOS VOLUMINOSOS EN EL BARRIO BALCONES DE LA VILLA"/>
    <x v="1"/>
    <n v="503"/>
    <x v="4"/>
    <x v="6"/>
    <m/>
    <s v="JOSE SIMON ALVARADO OTALVARO"/>
    <m/>
    <m/>
    <m/>
    <n v="19"/>
    <d v="2026-09-03T00:00:00"/>
    <m/>
    <m/>
    <m/>
    <m/>
    <m/>
    <s v="Vence Hoy"/>
    <m/>
    <m/>
  </r>
  <r>
    <m/>
    <s v="2907/2026"/>
    <d v="2026-08-05T00:00:00"/>
    <x v="4"/>
    <x v="2"/>
    <s v="TRASLADO POR COMPETENCIA NIU 114962 PROCESO 13467411-13482289 SOLICITUD DE CAMBIO DE TITULAR DEL SERVICIO E INSTALACIÓN DE LÁMPARA DE ALUMBRADO PÚBLICO"/>
    <x v="0"/>
    <n v="316"/>
    <x v="1"/>
    <x v="24"/>
    <m/>
    <s v="EMPRESA DE ENERGIA DEL QUINDIO SA ESP - EDEQ"/>
    <m/>
    <m/>
    <m/>
    <n v="19"/>
    <d v="2026-09-03T00:00:00"/>
    <m/>
    <m/>
    <m/>
    <m/>
    <m/>
    <s v="Vence Hoy"/>
    <m/>
    <m/>
  </r>
  <r>
    <s v="R-1521"/>
    <s v="2908/2026"/>
    <d v="2026-08-05T00:00:00"/>
    <x v="1"/>
    <x v="4"/>
    <s v="INCONFORMIDAD POR DESVIACION SIGNIFICATIVA DE CONSUMO"/>
    <x v="2"/>
    <n v="127"/>
    <x v="5"/>
    <x v="10"/>
    <m/>
    <s v="MARCELA Y BOTERO LINA"/>
    <n v="1046940"/>
    <m/>
    <m/>
    <n v="19"/>
    <d v="2026-09-03T00:00:00"/>
    <m/>
    <m/>
    <m/>
    <m/>
    <m/>
    <s v="Vence Hoy"/>
    <m/>
    <m/>
  </r>
  <r>
    <m/>
    <s v="2909/2026"/>
    <d v="2026-08-05T00:00:00"/>
    <x v="4"/>
    <x v="1"/>
    <s v="SOLICITUD DE RECOLECCION DE RESIDUOS DE VUDRIO Y MADERA"/>
    <x v="1"/>
    <n v="503"/>
    <x v="4"/>
    <x v="6"/>
    <m/>
    <s v="HERNÁN DAVID OSORIO BERRIO"/>
    <m/>
    <m/>
    <m/>
    <n v="19"/>
    <d v="2026-09-03T00:00:00"/>
    <m/>
    <m/>
    <m/>
    <m/>
    <m/>
    <s v="Vence Hoy"/>
    <m/>
    <m/>
  </r>
  <r>
    <m/>
    <s v="2910/2026"/>
    <d v="2026-08-06T00:00:00"/>
    <x v="0"/>
    <x v="1"/>
    <s v="SOLICITUD DE RECOGIDA DE ESCOMBROS BARRIO LA ESPERANZA CLL 19 # 30-33"/>
    <x v="1"/>
    <n v="503"/>
    <x v="4"/>
    <x v="6"/>
    <m/>
    <s v="ROSALÍA ALARCÓN AGUILERA"/>
    <m/>
    <n v="3163091114"/>
    <m/>
    <n v="19"/>
    <d v="2026-09-04T00:00:00"/>
    <m/>
    <m/>
    <m/>
    <m/>
    <m/>
    <s v="ABIERTO EN TÉRMINOS"/>
    <m/>
    <m/>
  </r>
  <r>
    <m/>
    <s v="2911/2026"/>
    <d v="2026-08-06T00:00:00"/>
    <x v="0"/>
    <x v="3"/>
    <s v="DERECHO DE PETICIÓN INFORMAR CON DESTINO AL PROCESO DIVISORIO - LOTE TERRENO LA MESA - CON DESTINO A PROCESO JUDICIAL"/>
    <x v="1"/>
    <n v="503"/>
    <x v="4"/>
    <x v="25"/>
    <m/>
    <s v="ALEJANDRO GUTIÉRREZ BAENA"/>
    <m/>
    <m/>
    <m/>
    <n v="19"/>
    <d v="2026-09-04T00:00:00"/>
    <m/>
    <m/>
    <m/>
    <m/>
    <m/>
    <s v="ABIERTO EN TÉRMINOS"/>
    <m/>
    <m/>
  </r>
  <r>
    <m/>
    <s v="2912/2026"/>
    <d v="2026-08-06T00:00:00"/>
    <x v="4"/>
    <x v="1"/>
    <s v="ENVIO OFICIO SG-446-2026 -PETICIÓN POR EL SEÑOR EDGAR CULMAN VARGAS PRESIDENTE JAC VERSALLES"/>
    <x v="0"/>
    <n v="311"/>
    <x v="2"/>
    <x v="3"/>
    <m/>
    <s v="MARIO AUGUSTO CASTAÑO ARANGO"/>
    <m/>
    <m/>
    <m/>
    <n v="19"/>
    <d v="2026-09-04T00:00:00"/>
    <m/>
    <m/>
    <m/>
    <m/>
    <m/>
    <s v="ABIERTO EN TÉRMINOS"/>
    <m/>
    <m/>
  </r>
  <r>
    <m/>
    <s v="2913/2026"/>
    <d v="2026-08-06T00:00:00"/>
    <x v="0"/>
    <x v="5"/>
    <s v="SOLICITUD CAMBIO DE CATEGORÍA DE SERVICIO DE COMERCIAL A RESIDENCIAL E PREDIO DESOCUPADO PREDIO CLL 30 # 24-34 CENTRO"/>
    <x v="2"/>
    <n v="118"/>
    <x v="14"/>
    <x v="26"/>
    <m/>
    <s v="LUIS EDUARDO BARRIOS GONZÁLEZ"/>
    <m/>
    <n v="3116222060"/>
    <m/>
    <n v="19"/>
    <d v="2026-09-04T00:00:00"/>
    <m/>
    <m/>
    <m/>
    <m/>
    <m/>
    <s v="ABIERTO EN TÉRMINOS"/>
    <m/>
    <m/>
  </r>
  <r>
    <m/>
    <s v="2914/2026"/>
    <d v="2026-08-06T00:00:00"/>
    <x v="0"/>
    <x v="4"/>
    <s v="SOLICITUD DE REVISÓN DE FACTURA POR CONSUMO ALTO BARRIO LA ESPERANZA CRA 29 # 17-11 REVISION DE MEDIDOR"/>
    <x v="2"/>
    <n v="127"/>
    <x v="5"/>
    <x v="10"/>
    <m/>
    <s v="ALZATE CARMEN DAVILA DE"/>
    <m/>
    <m/>
    <m/>
    <n v="19"/>
    <d v="2026-09-04T00:00:00"/>
    <m/>
    <m/>
    <m/>
    <m/>
    <m/>
    <s v="ABIERTO EN TÉRMINOS"/>
    <m/>
    <m/>
  </r>
  <r>
    <s v="P-8228"/>
    <s v="2915/2026"/>
    <d v="2026-08-06T00:00:00"/>
    <x v="1"/>
    <x v="3"/>
    <s v="USUARIO REPORTA DAÑO EN LA RED DE ALCANTARILLADO YA QUE LA RECAMARA TIENE UN ROTO Y SE ESTA SALIENDO TODA EL AGUA POR ESE ROTO"/>
    <x v="0"/>
    <n v="316"/>
    <x v="1"/>
    <x v="8"/>
    <s v="SI"/>
    <s v="JHON EDWAR JIMENEZ COLLAZOS"/>
    <n v="1109299"/>
    <n v="3161449892"/>
    <m/>
    <n v="19"/>
    <d v="2026-09-04T00:00:00"/>
    <d v="2026-08-06T00:00:00"/>
    <s v="N/A"/>
    <d v="2026-08-08T00:00:00"/>
    <d v="2026-08-31T00:00:00"/>
    <s v="EMCA-I-4882-2026"/>
    <s v="Cerrado"/>
    <m/>
    <m/>
  </r>
  <r>
    <s v="P-8229"/>
    <s v="2916/2026"/>
    <d v="2026-08-06T00:00:00"/>
    <x v="1"/>
    <x v="0"/>
    <s v="USUARIO REPORTA FUGA EN EL MEDIDOR"/>
    <x v="0"/>
    <n v="316"/>
    <x v="1"/>
    <x v="7"/>
    <m/>
    <s v="TITO JAIRO MUÑOZ LOAIZA"/>
    <m/>
    <n v="3117706933"/>
    <m/>
    <n v="19"/>
    <d v="2026-09-04T00:00:00"/>
    <m/>
    <m/>
    <m/>
    <m/>
    <m/>
    <s v="ABIERTO EN TÉRMINOS"/>
    <m/>
    <m/>
  </r>
  <r>
    <m/>
    <s v="2917/2026"/>
    <d v="2026-08-06T00:00:00"/>
    <x v="0"/>
    <x v="5"/>
    <s v="SOLICITUD DE CONEXIÓN DEFINITIVA DE SERVICIO DEL ACUEDUCTO Y ALCANTARILLADO CARRERA 32 # 9-152 CASA 139 CONJUNTO CABO MARIPOSA"/>
    <x v="1"/>
    <n v="502"/>
    <x v="9"/>
    <x v="27"/>
    <m/>
    <s v="CAMILO CERON CRISTIAN"/>
    <m/>
    <m/>
    <m/>
    <n v="19"/>
    <d v="2026-09-04T00:00:00"/>
    <m/>
    <m/>
    <m/>
    <m/>
    <m/>
    <s v="ABIERTO EN TÉRMINOS"/>
    <m/>
    <m/>
  </r>
  <r>
    <m/>
    <s v="2918/2026"/>
    <d v="2026-08-06T00:00:00"/>
    <x v="0"/>
    <x v="7"/>
    <s v="SOLICITUD DE CONEXIÓN DEFINITIVA DE SERVICIO DEL ACUEDUCTO Y ALCANTARILLADO PARCELACIÓN POTOSI CASA 10 VEREDA LA BELLA"/>
    <x v="1"/>
    <n v="502"/>
    <x v="9"/>
    <x v="27"/>
    <s v="SI"/>
    <s v="MARÍA ROSARIO BETANCOURT SOTO"/>
    <m/>
    <n v="315591490"/>
    <m/>
    <n v="19"/>
    <d v="2026-09-04T00:00:00"/>
    <d v="2026-08-06T00:00:00"/>
    <s v="N/A"/>
    <s v="N/A"/>
    <d v="2026-09-01T00:00:00"/>
    <s v="EMCA-I-4929-2026"/>
    <s v="Cerrado"/>
    <m/>
    <m/>
  </r>
  <r>
    <s v="P-8230"/>
    <s v="2919/2026"/>
    <d v="2026-08-06T00:00:00"/>
    <x v="1"/>
    <x v="4"/>
    <s v="USUARIA REPORTA FUGA EN RED DOMICILIARIA"/>
    <x v="0"/>
    <n v="316"/>
    <x v="1"/>
    <x v="20"/>
    <s v="SI"/>
    <s v="MARIA JOVITA COTAMO HERRERA"/>
    <n v="1240100"/>
    <n v="3107227044"/>
    <m/>
    <n v="19"/>
    <d v="2026-09-04T00:00:00"/>
    <d v="2026-08-06T00:00:00"/>
    <s v="N/A"/>
    <d v="2026-08-06T00:00:00"/>
    <d v="2026-08-31T00:00:00"/>
    <s v="EMCA-I-4881-2026"/>
    <s v="Cerrado"/>
    <m/>
    <m/>
  </r>
  <r>
    <s v="P-8231"/>
    <s v="2920/2026"/>
    <d v="2026-08-06T00:00:00"/>
    <x v="1"/>
    <x v="1"/>
    <s v="USUARIA REPORTA PREDIO DESOCUPADO"/>
    <x v="1"/>
    <n v="114"/>
    <x v="3"/>
    <x v="4"/>
    <m/>
    <s v="SANDRA LILIANA AGUDELO"/>
    <m/>
    <n v="3027055997"/>
    <m/>
    <n v="19"/>
    <d v="2026-09-04T00:00:00"/>
    <m/>
    <m/>
    <m/>
    <m/>
    <m/>
    <s v="ABIERTO EN TÉRMINOS"/>
    <m/>
    <m/>
  </r>
  <r>
    <s v="P-8232"/>
    <s v="2921/2026"/>
    <d v="2026-08-06T00:00:00"/>
    <x v="1"/>
    <x v="4"/>
    <s v="USUARIA REPORTA FUGA EN LA RED DOMICILIARIA"/>
    <x v="0"/>
    <n v="316"/>
    <x v="1"/>
    <x v="20"/>
    <s v="SI"/>
    <s v="SOCORRO VILLADA DORIS DEL"/>
    <n v="1239416"/>
    <n v="3176076951"/>
    <m/>
    <n v="19"/>
    <d v="2026-09-04T00:00:00"/>
    <d v="2026-08-06T00:00:00"/>
    <s v="N/A"/>
    <d v="2026-08-07T00:00:00"/>
    <d v="2026-08-31T00:00:00"/>
    <s v="EMCA-I-48880-2026"/>
    <s v="Cerrado"/>
    <m/>
    <m/>
  </r>
  <r>
    <m/>
    <s v="2922/2026"/>
    <d v="2026-08-06T00:00:00"/>
    <x v="0"/>
    <x v="8"/>
    <s v="SOLICITUD AUTORIZACIÓN DE DEPOSITO DE ESCOMBROS POR RESTAURACIÓN DE VIVIENDA"/>
    <x v="1"/>
    <n v="503"/>
    <x v="4"/>
    <x v="28"/>
    <m/>
    <s v="FERNANDO BAENA"/>
    <m/>
    <m/>
    <m/>
    <n v="19"/>
    <d v="2026-09-04T00:00:00"/>
    <m/>
    <m/>
    <m/>
    <m/>
    <m/>
    <s v="ABIERTO EN TÉRMINOS"/>
    <m/>
    <m/>
  </r>
  <r>
    <m/>
    <s v="2923/2026"/>
    <d v="2026-08-06T00:00:00"/>
    <x v="0"/>
    <x v="0"/>
    <s v="SOLICITUD DE REVISIÓN Y/O REPARACIÓN DE MEDIDOR DEL SERVICIO DE ACUEDUCTO BARRIO PORTAL DE BALCONES MZ A CASA 5 ETAPA 3"/>
    <x v="0"/>
    <n v="316"/>
    <x v="1"/>
    <x v="7"/>
    <m/>
    <s v="STEVAN SANTAMARIA MORALES"/>
    <m/>
    <n v="3136804864"/>
    <m/>
    <n v="19"/>
    <d v="2026-09-04T00:00:00"/>
    <m/>
    <m/>
    <m/>
    <m/>
    <m/>
    <s v="ABIERTO EN TÉRMINOS"/>
    <m/>
    <m/>
  </r>
  <r>
    <s v="P-8233"/>
    <s v="2924/2026"/>
    <d v="2026-08-06T00:00:00"/>
    <x v="1"/>
    <x v="3"/>
    <s v="USUARIO REPORTA DAÑO EN LA RED DE ALCANTARILLADO"/>
    <x v="0"/>
    <n v="316"/>
    <x v="1"/>
    <x v="8"/>
    <s v="SI"/>
    <s v="JHON JAIRO CANO"/>
    <n v="1126960"/>
    <n v="3143206865"/>
    <m/>
    <n v="19"/>
    <d v="2026-09-04T00:00:00"/>
    <d v="2026-08-06T00:00:00"/>
    <s v="N/A"/>
    <d v="2026-08-07T00:00:00"/>
    <d v="2026-08-31T00:00:00"/>
    <s v="EMCA-I-4879-2026"/>
    <s v="Cerrado"/>
    <m/>
    <m/>
  </r>
  <r>
    <m/>
    <s v="2925/2026"/>
    <d v="2026-08-06T00:00:00"/>
    <x v="0"/>
    <x v="5"/>
    <s v="SOLICITUD DE INSTALACION DEL SERVICIO DE AGUA EN BARRIO PORVENIR MZ E CASA 4"/>
    <x v="1"/>
    <n v="502"/>
    <x v="9"/>
    <x v="27"/>
    <m/>
    <s v="ANA MILENA GONZÁLEZ"/>
    <m/>
    <n v="3224980121"/>
    <m/>
    <n v="19"/>
    <d v="2026-09-04T00:00:00"/>
    <m/>
    <m/>
    <m/>
    <m/>
    <m/>
    <s v="ABIERTO EN TÉRMINOS"/>
    <m/>
    <m/>
  </r>
  <r>
    <s v="R-1522"/>
    <s v="2926/2026"/>
    <d v="2026-08-08T00:00:00"/>
    <x v="1"/>
    <x v="5"/>
    <s v="USUARIO SOLICITA AJUSTE EN LA FACTURA YA QUE POR ERROR CANCELO LA FACTURA CON CODIGO 1254483 EL DIA 27 DE JULIO POR UN VALOR DE 63.774 Y EL PAGO SE DEBE APLICARSE AL CODIGO 1254485"/>
    <x v="2"/>
    <n v="122"/>
    <x v="10"/>
    <x v="18"/>
    <m/>
    <s v="CRISTIAN EMILIO COLORADO"/>
    <n v="1254485"/>
    <n v="3046479817"/>
    <m/>
    <n v="19"/>
    <d v="2026-09-04T00:00:00"/>
    <m/>
    <m/>
    <m/>
    <m/>
    <m/>
    <s v="ABIERTO EN TÉRMINOS"/>
    <m/>
    <m/>
  </r>
  <r>
    <s v="P-8234"/>
    <s v="2927/2026"/>
    <d v="2026-08-08T00:00:00"/>
    <x v="1"/>
    <x v="0"/>
    <s v="USUARIA SOLICITA CAMBIO DE LLAVE DE PASO Y SOLICITA QUE EL COSTO SEA TRASFERIDO A CUOTAS LLAMAR ANTES DE IR"/>
    <x v="0"/>
    <n v="316"/>
    <x v="1"/>
    <x v="1"/>
    <m/>
    <s v="LEIDY ROCIO VARGAS TABORDA"/>
    <n v="1239330"/>
    <n v="3206119338"/>
    <m/>
    <n v="19"/>
    <d v="2026-09-04T00:00:00"/>
    <m/>
    <m/>
    <m/>
    <m/>
    <m/>
    <s v="ABIERTO EN TÉRMINOS"/>
    <m/>
    <m/>
  </r>
  <r>
    <s v="P-8235"/>
    <s v="2928/2026"/>
    <d v="2026-08-08T00:00:00"/>
    <x v="1"/>
    <x v="1"/>
    <s v="USUARIO REPORTA PREDIO DESOCUPADO"/>
    <x v="1"/>
    <n v="114"/>
    <x v="3"/>
    <x v="4"/>
    <m/>
    <s v="FABIO PERILLA"/>
    <n v="1077060"/>
    <n v="3174522536"/>
    <m/>
    <n v="19"/>
    <d v="2026-09-04T00:00:00"/>
    <m/>
    <m/>
    <m/>
    <m/>
    <m/>
    <s v="ABIERTO EN TÉRMINOS"/>
    <m/>
    <m/>
  </r>
  <r>
    <s v="P-8236"/>
    <s v="2929/2026"/>
    <d v="2026-08-08T00:00:00"/>
    <x v="1"/>
    <x v="0"/>
    <s v="USUARIA REPORTA FUGA ANTES DEL MEDIDOR LLAMAR ANTES DE IR"/>
    <x v="0"/>
    <n v="316"/>
    <x v="1"/>
    <x v="7"/>
    <m/>
    <s v="LUZ HELENA TORRES"/>
    <n v="1241690"/>
    <n v="3234414267"/>
    <m/>
    <n v="19"/>
    <d v="2026-09-04T00:00:00"/>
    <m/>
    <m/>
    <m/>
    <m/>
    <m/>
    <s v="ABIERTO EN TÉRMINOS"/>
    <m/>
    <m/>
  </r>
  <r>
    <s v="P-8237"/>
    <s v="2930/2026"/>
    <d v="2026-08-08T00:00:00"/>
    <x v="3"/>
    <x v="4"/>
    <s v="USUARIO LLAMO AL TELEFONO PARA REPORTA UNA FUGA DOMICILIARIA YA QUE SE ESTA FILTRANDO MUCHA AGUA POR EL ANDEN"/>
    <x v="0"/>
    <n v="316"/>
    <x v="1"/>
    <x v="20"/>
    <m/>
    <s v="LEIDY CARDONA"/>
    <n v="1035100"/>
    <n v="3107418235"/>
    <m/>
    <n v="19"/>
    <d v="2026-09-04T00:00:00"/>
    <m/>
    <m/>
    <m/>
    <m/>
    <m/>
    <s v="ABIERTO EN TÉRMINOS"/>
    <m/>
    <m/>
  </r>
  <r>
    <s v="P-8238"/>
    <s v="2931/2026"/>
    <d v="2026-08-08T00:00:00"/>
    <x v="3"/>
    <x v="4"/>
    <s v="USUARIA SOLICITA QUE TAPEN EL HUECO Y RECOJAN LOS ESCOMBROS"/>
    <x v="0"/>
    <n v="316"/>
    <x v="1"/>
    <x v="29"/>
    <m/>
    <s v="EVANGELINA VANEGAS DE QUINTERO"/>
    <n v="1150418"/>
    <n v="3013412322"/>
    <m/>
    <n v="19"/>
    <d v="2026-09-04T00:00:00"/>
    <m/>
    <m/>
    <m/>
    <m/>
    <m/>
    <s v="ABIERTO EN TÉRMINOS"/>
    <m/>
    <m/>
  </r>
  <r>
    <s v="P-8239"/>
    <s v="2932/2026"/>
    <d v="2026-08-11T00:00:00"/>
    <x v="1"/>
    <x v="4"/>
    <s v="USUARIO REPORTA FUGA EN LA RED DOMICILIARIA"/>
    <x v="0"/>
    <n v="316"/>
    <x v="1"/>
    <x v="20"/>
    <m/>
    <s v="OEREGRINO BERREO"/>
    <m/>
    <m/>
    <m/>
    <n v="19"/>
    <d v="2026-09-08T00:00:00"/>
    <m/>
    <m/>
    <m/>
    <m/>
    <m/>
    <s v="ABIERTO EN TÉRMINOS"/>
    <m/>
    <m/>
  </r>
  <r>
    <m/>
    <s v="2933/2026"/>
    <d v="2026-08-12T00:00:00"/>
    <x v="0"/>
    <x v="0"/>
    <s v="SOLICITUD SUSPENSIÓN DEL SERVICIO DEL PREDIO BARRIO GUADUALES MZ H CASA 13 ETAPA 3"/>
    <x v="2"/>
    <n v="301"/>
    <x v="15"/>
    <x v="30"/>
    <m/>
    <s v="ALVARO GHISLAYM LOPEZ SARAZO"/>
    <m/>
    <n v="3136804864"/>
    <m/>
    <n v="19"/>
    <d v="2026-09-09T00:00:00"/>
    <m/>
    <m/>
    <m/>
    <m/>
    <m/>
    <s v="ABIERTO EN TÉRMINOS"/>
    <m/>
    <m/>
  </r>
  <r>
    <m/>
    <s v="2934/2026"/>
    <d v="2026-08-12T00:00:00"/>
    <x v="0"/>
    <x v="4"/>
    <s v="SOLICITUD DE PAVIMENTACIÓN COMPLETA EN LA CRA 21 # 39-42"/>
    <x v="0"/>
    <n v="316"/>
    <x v="1"/>
    <x v="29"/>
    <s v="SI"/>
    <s v="ANDRÉS FELIPE MANJARRES"/>
    <m/>
    <n v="3136112026"/>
    <m/>
    <n v="19"/>
    <d v="2026-09-09T00:00:00"/>
    <d v="2026-08-12T00:00:00"/>
    <s v="N/A"/>
    <s v="N/A"/>
    <d v="2026-08-31T00:00:00"/>
    <s v="EMCA-I-4855-2026"/>
    <s v="Cerrado"/>
    <m/>
    <m/>
  </r>
  <r>
    <m/>
    <s v="2935/2026"/>
    <d v="2026-08-12T00:00:00"/>
    <x v="4"/>
    <x v="5"/>
    <s v="SOLICITUD DUPLICADO DE FACTURA TIENDA D1-1254079-1071920-1254280- BANCO DE BOGOTA -1045240-WON-1200020-OLIMPICA-1071720"/>
    <x v="1"/>
    <n v="503"/>
    <x v="4"/>
    <x v="31"/>
    <m/>
    <s v="YIRLEY LOAIZA ANALISTA DE GESTIÓN"/>
    <m/>
    <n v="1"/>
    <s v="yloaiza@energymaster.co"/>
    <n v="19"/>
    <d v="2026-09-09T00:00:00"/>
    <m/>
    <m/>
    <m/>
    <m/>
    <m/>
    <s v="ABIERTO EN TÉRMINOS"/>
    <m/>
    <m/>
  </r>
  <r>
    <m/>
    <s v="2936/2026"/>
    <d v="2026-08-12T00:00:00"/>
    <x v="4"/>
    <x v="1"/>
    <s v="INFORMACIÓN PREDIO DESHABITADO BARRIO MANANTIAL MZ F CASA 8 CÓDIGO 1237217"/>
    <x v="1"/>
    <n v="114"/>
    <x v="3"/>
    <x v="4"/>
    <m/>
    <s v="LAZARO BEDOYA AGUIRRE"/>
    <n v="1237217"/>
    <m/>
    <m/>
    <n v="19"/>
    <d v="2026-09-09T00:00:00"/>
    <m/>
    <m/>
    <m/>
    <m/>
    <m/>
    <s v="ABIERTO EN TÉRMINOS"/>
    <m/>
    <m/>
  </r>
  <r>
    <m/>
    <s v="2937/2026"/>
    <d v="2026-08-12T00:00:00"/>
    <x v="4"/>
    <x v="3"/>
    <s v="SOLICITUD DE REVISIÓN DE DAÑO CRA 25 # 26-40"/>
    <x v="0"/>
    <n v="316"/>
    <x v="1"/>
    <x v="9"/>
    <m/>
    <s v="INVERSIONES SURIMUEBLES JD SAS CARLOS ALBERTO MANJARRES"/>
    <m/>
    <m/>
    <m/>
    <n v="19"/>
    <d v="2026-09-09T00:00:00"/>
    <m/>
    <m/>
    <m/>
    <m/>
    <m/>
    <s v="ABIERTO EN TÉRMINOS"/>
    <m/>
    <m/>
  </r>
  <r>
    <m/>
    <s v="2938/2026"/>
    <d v="2026-08-12T00:00:00"/>
    <x v="4"/>
    <x v="4"/>
    <s v="DERECHO DE PETICION -SOLICITUD REVISIÓN DE FACTURA POR COBRO EXAGERADO AVENIDA COLÓN # 21-345"/>
    <x v="2"/>
    <n v="118"/>
    <x v="14"/>
    <x v="26"/>
    <m/>
    <s v="RINCON G MARTHA CECILIA"/>
    <m/>
    <m/>
    <m/>
    <n v="19"/>
    <d v="2026-09-09T00:00:00"/>
    <m/>
    <m/>
    <m/>
    <m/>
    <m/>
    <s v="ABIERTO EN TÉRMINOS"/>
    <m/>
    <m/>
  </r>
  <r>
    <m/>
    <s v="2939/2026"/>
    <d v="2026-08-12T00:00:00"/>
    <x v="1"/>
    <x v="1"/>
    <s v="USUARIA SOLICITA LE RECOJAN DOS COLCHONES"/>
    <x v="1"/>
    <n v="503"/>
    <x v="4"/>
    <x v="6"/>
    <m/>
    <s v="GILMA GLADYS DAZA"/>
    <n v="1226980"/>
    <m/>
    <m/>
    <n v="19"/>
    <d v="2026-09-09T00:00:00"/>
    <m/>
    <m/>
    <m/>
    <m/>
    <m/>
    <s v="ABIERTO EN TÉRMINOS"/>
    <m/>
    <m/>
  </r>
  <r>
    <m/>
    <s v="2940/2026"/>
    <d v="2026-08-12T00:00:00"/>
    <x v="1"/>
    <x v="3"/>
    <s v="USUARIO SOLICITA LIMPIAR SUMIDERO DE ALCANTARILLADO DEL SECTOR"/>
    <x v="0"/>
    <n v="316"/>
    <x v="1"/>
    <x v="32"/>
    <m/>
    <s v="JOSE HERIBERTO ESPINAL"/>
    <n v="1240028"/>
    <m/>
    <m/>
    <n v="19"/>
    <d v="2026-09-09T00:00:00"/>
    <m/>
    <m/>
    <m/>
    <m/>
    <m/>
    <s v="ABIERTO EN TÉRMINOS"/>
    <m/>
    <m/>
  </r>
  <r>
    <s v="R-1523"/>
    <s v="2941/2026"/>
    <d v="2026-08-12T00:00:00"/>
    <x v="1"/>
    <x v="4"/>
    <s v="INCONFORMIDAD CON EL CONSUMO"/>
    <x v="2"/>
    <n v="102"/>
    <x v="12"/>
    <x v="10"/>
    <s v="SI"/>
    <s v="JOSE NODIER RESTREPO"/>
    <n v="1016320"/>
    <n v="3128347309"/>
    <m/>
    <n v="19"/>
    <d v="2026-09-09T00:00:00"/>
    <s v="N/A"/>
    <s v="N/A"/>
    <d v="2026-08-27T00:00:00"/>
    <d v="2026-08-31T00:00:00"/>
    <s v="EMCA-I-4865-2026"/>
    <s v="Cerrado"/>
    <m/>
    <m/>
  </r>
  <r>
    <s v="P-8241"/>
    <s v="2942/2026"/>
    <d v="2026-08-12T00:00:00"/>
    <x v="1"/>
    <x v="4"/>
    <s v="USUARIO REPORTA FUGA DE DOMICILIARIA YA QUE EN EL ANDENSE ESCUCHA UNA FILTRACION DE AGUA LLAMAR ANTES DE IR"/>
    <x v="0"/>
    <n v="316"/>
    <x v="1"/>
    <x v="20"/>
    <m/>
    <s v="JAIRO OSPINA"/>
    <n v="1169440"/>
    <m/>
    <m/>
    <n v="19"/>
    <d v="2026-09-09T00:00:00"/>
    <m/>
    <m/>
    <m/>
    <m/>
    <m/>
    <s v="ABIERTO EN TÉRMINOS"/>
    <m/>
    <m/>
  </r>
  <r>
    <m/>
    <s v="2943/2026"/>
    <d v="2026-08-12T00:00:00"/>
    <x v="1"/>
    <x v="4"/>
    <s v="INCONFORMIDAD POR DESVIACION SIGNIFICATIVA"/>
    <x v="2"/>
    <n v="127"/>
    <x v="5"/>
    <x v="10"/>
    <m/>
    <s v="LEIDY LORENA CASTRO CASTAÑEDA"/>
    <n v="1240386"/>
    <n v="3175550500"/>
    <m/>
    <n v="19"/>
    <d v="2026-09-09T00:00:00"/>
    <m/>
    <m/>
    <m/>
    <m/>
    <m/>
    <s v="ABIERTO EN TÉRMINOS"/>
    <m/>
    <m/>
  </r>
  <r>
    <s v="P-8242"/>
    <s v="2944/2026"/>
    <d v="2026-08-12T00:00:00"/>
    <x v="1"/>
    <x v="0"/>
    <s v="USUARIO REPORTA DEFICIENCIA DE PRESION"/>
    <x v="0"/>
    <n v="304"/>
    <x v="0"/>
    <x v="0"/>
    <m/>
    <s v="ARIOSTO GARCIA GARCIA"/>
    <n v="1072320"/>
    <m/>
    <m/>
    <n v="19"/>
    <d v="2026-09-09T00:00:00"/>
    <m/>
    <m/>
    <m/>
    <m/>
    <m/>
    <s v="ABIERTO EN TÉRMINOS"/>
    <m/>
    <m/>
  </r>
  <r>
    <m/>
    <s v="2945/2026"/>
    <d v="2026-08-12T00:00:00"/>
    <x v="1"/>
    <x v="0"/>
    <s v="USUARIO SOLICITA QUE RECOJAN UNOS MUEBLES EN LA DIRECCION TERREZA DE BUENAVISTA CASA 10"/>
    <x v="1"/>
    <n v="503"/>
    <x v="4"/>
    <x v="6"/>
    <m/>
    <s v="OSCAR ALBEN MORA MIRANDA"/>
    <m/>
    <n v="31368140053"/>
    <m/>
    <n v="19"/>
    <d v="2026-09-09T00:00:00"/>
    <m/>
    <m/>
    <m/>
    <m/>
    <m/>
    <s v="ABIERTO EN TÉRMINOS"/>
    <m/>
    <m/>
  </r>
  <r>
    <m/>
    <s v="2946/2026"/>
    <d v="2026-08-12T00:00:00"/>
    <x v="1"/>
    <x v="2"/>
    <s v="USUARIO REPORTA LUMINARIAS FUNDIDAS EN LA DIRECCION VIA VILLA ITALIA LOS QUE ESTAN EN LA ENTRADA A MANO DERECHA"/>
    <x v="0"/>
    <n v="316"/>
    <x v="1"/>
    <x v="5"/>
    <m/>
    <s v="RICARDO RICARDO BUITRAGO PALOMARES"/>
    <m/>
    <n v="3128567256"/>
    <m/>
    <n v="19"/>
    <d v="2026-09-09T00:00:00"/>
    <m/>
    <m/>
    <m/>
    <m/>
    <m/>
    <s v="ABIERTO EN TÉRMINOS"/>
    <m/>
    <m/>
  </r>
  <r>
    <s v="P-8243"/>
    <s v="2947/2026"/>
    <d v="2026-08-12T00:00:00"/>
    <x v="1"/>
    <x v="0"/>
    <s v="USUARIA REPORTA FUGA DE MEDIDOR"/>
    <x v="0"/>
    <n v="316"/>
    <x v="1"/>
    <x v="7"/>
    <m/>
    <s v="ALBA SIRLEY ARISTIZABAL CARDONA"/>
    <n v="1250613"/>
    <m/>
    <m/>
    <n v="19"/>
    <d v="2026-09-09T00:00:00"/>
    <m/>
    <m/>
    <m/>
    <m/>
    <m/>
    <s v="ABIERTO EN TÉRMINOS"/>
    <m/>
    <m/>
  </r>
  <r>
    <s v="P-8244"/>
    <s v="2948/2026"/>
    <d v="2026-08-12T00:00:00"/>
    <x v="1"/>
    <x v="0"/>
    <s v="USUARIA REPORTA FUGA DE MEDIDOR"/>
    <x v="0"/>
    <n v="316"/>
    <x v="1"/>
    <x v="7"/>
    <m/>
    <s v="URIEL MORENO"/>
    <n v="1237193"/>
    <m/>
    <m/>
    <n v="19"/>
    <d v="2026-09-09T00:00:00"/>
    <m/>
    <m/>
    <m/>
    <m/>
    <m/>
    <s v="ABIERTO EN TÉRMINOS"/>
    <m/>
    <m/>
  </r>
  <r>
    <m/>
    <s v="2949/2026"/>
    <d v="2026-08-12T00:00:00"/>
    <x v="4"/>
    <x v="4"/>
    <s v="RECLAMO POR FACTURACIÓN INJUSTIFICADA CRA 27 # 30A-31"/>
    <x v="2"/>
    <n v="113"/>
    <x v="7"/>
    <x v="12"/>
    <m/>
    <s v="NELSON OSPINA TOBON"/>
    <m/>
    <m/>
    <m/>
    <n v="19"/>
    <d v="2026-09-09T00:00:00"/>
    <m/>
    <m/>
    <m/>
    <m/>
    <m/>
    <s v="ABIERTO EN TÉRMINOS"/>
    <m/>
    <m/>
  </r>
  <r>
    <s v="P-8245"/>
    <s v="2950/2026"/>
    <d v="2026-08-13T00:00:00"/>
    <x v="1"/>
    <x v="0"/>
    <s v="USUARIA REPORTA FUGA EN EL MEDIDOR DESDE EL DIA DEL TEMBLOR"/>
    <x v="0"/>
    <n v="316"/>
    <x v="1"/>
    <x v="7"/>
    <m/>
    <s v="GLORIA INES GOMEZ GUTIERREZ"/>
    <n v="1066500"/>
    <n v="3152092603"/>
    <m/>
    <n v="19"/>
    <d v="2026-09-10T00:00:00"/>
    <m/>
    <m/>
    <m/>
    <m/>
    <m/>
    <s v="ABIERTO EN TÉRMINOS"/>
    <m/>
    <m/>
  </r>
  <r>
    <m/>
    <s v="2951/2026"/>
    <d v="2026-08-13T00:00:00"/>
    <x v="1"/>
    <x v="2"/>
    <s v="USUARIA REPORTA UNA LUMINARIA APAGADA EN EL POSTE QUE ESTA AL LADO DE LA VIVIENDA DE LA CARRERA 19 # 40 - 46"/>
    <x v="0"/>
    <n v="316"/>
    <x v="1"/>
    <x v="5"/>
    <m/>
    <s v="RUBIELA RAMOS HERRERA"/>
    <n v="1012740"/>
    <m/>
    <m/>
    <n v="19"/>
    <d v="2026-09-10T00:00:00"/>
    <m/>
    <m/>
    <m/>
    <m/>
    <m/>
    <s v="ABIERTO EN TÉRMINOS"/>
    <m/>
    <m/>
  </r>
  <r>
    <m/>
    <s v="2952/2026"/>
    <d v="2026-08-13T00:00:00"/>
    <x v="0"/>
    <x v="6"/>
    <s v="SOLICITUD DE ARRENDAMIENTO LOCAL 2619 PLAZA DE MERCADO"/>
    <x v="1"/>
    <n v="502"/>
    <x v="9"/>
    <x v="33"/>
    <m/>
    <s v="MIRYAN HERNANDEZ DE SEGURA"/>
    <m/>
    <m/>
    <m/>
    <n v="19"/>
    <d v="2026-09-10T00:00:00"/>
    <m/>
    <m/>
    <m/>
    <m/>
    <m/>
    <s v="ABIERTO EN TÉRMINOS"/>
    <m/>
    <m/>
  </r>
  <r>
    <m/>
    <s v="2953/2026"/>
    <d v="2026-08-13T00:00:00"/>
    <x v="4"/>
    <x v="5"/>
    <s v="SOLICITUD DE FACTURA - COESCO COLOMBIA , BBVA"/>
    <x v="1"/>
    <n v="503"/>
    <x v="4"/>
    <x v="31"/>
    <m/>
    <s v="ALEJANDRA SANABRIA SANABRIA"/>
    <m/>
    <m/>
    <s v="sanabria.vertebra@gmail.com"/>
    <n v="19"/>
    <d v="2026-09-10T00:00:00"/>
    <m/>
    <m/>
    <m/>
    <m/>
    <m/>
    <s v="ABIERTO EN TÉRMINOS"/>
    <m/>
    <m/>
  </r>
  <r>
    <s v="P-8246"/>
    <s v="2954/2026"/>
    <d v="2026-08-13T00:00:00"/>
    <x v="1"/>
    <x v="0"/>
    <s v="CAMBIO DE LLAVE"/>
    <x v="0"/>
    <n v="316"/>
    <x v="1"/>
    <x v="1"/>
    <m/>
    <s v="JAIME VALENCIA"/>
    <n v="1203060"/>
    <n v="3194897155"/>
    <m/>
    <n v="19"/>
    <d v="2026-09-10T00:00:00"/>
    <m/>
    <m/>
    <m/>
    <m/>
    <m/>
    <s v="ABIERTO EN TÉRMINOS"/>
    <m/>
    <m/>
  </r>
  <r>
    <s v="R-1525"/>
    <s v="2955/2026"/>
    <d v="2026-08-13T00:00:00"/>
    <x v="1"/>
    <x v="4"/>
    <s v="INCONFORMIDAD POR DESVIACION SIGNIFICATIVA"/>
    <x v="2"/>
    <n v="107"/>
    <x v="16"/>
    <x v="10"/>
    <m/>
    <s v="LUZ DARY GIRALDO GARCIA"/>
    <n v="1242682"/>
    <n v="3137037120"/>
    <m/>
    <n v="19"/>
    <d v="2026-09-10T00:00:00"/>
    <m/>
    <m/>
    <m/>
    <m/>
    <m/>
    <s v="ABIERTO EN TÉRMINOS"/>
    <m/>
    <m/>
  </r>
  <r>
    <m/>
    <s v="2956/2026"/>
    <d v="2026-08-13T00:00:00"/>
    <x v="1"/>
    <x v="2"/>
    <s v="USUARIO REPORTA 2 LUMINARIAS APAGADAS EN LA HUERTA FRENTE A LA MZ D CASA 22 LAMPARAS # 3027 Y 3068"/>
    <x v="0"/>
    <n v="316"/>
    <x v="1"/>
    <x v="5"/>
    <m/>
    <s v="JEAN CARLOS ZAMBRANO"/>
    <n v="1097960"/>
    <m/>
    <m/>
    <n v="19"/>
    <d v="2026-09-10T00:00:00"/>
    <m/>
    <m/>
    <m/>
    <m/>
    <m/>
    <s v="ABIERTO EN TÉRMINOS"/>
    <m/>
    <m/>
  </r>
  <r>
    <s v="P-8247"/>
    <s v="2957/2026"/>
    <d v="2026-08-13T00:00:00"/>
    <x v="1"/>
    <x v="0"/>
    <s v="USUARIA SOLICITA CAMBIO DE LA LLAVE DE PASO"/>
    <x v="0"/>
    <n v="316"/>
    <x v="1"/>
    <x v="1"/>
    <m/>
    <s v="OFELIA BASTIDAS OCAMPO"/>
    <n v="1238348"/>
    <n v="3158621631"/>
    <m/>
    <n v="19"/>
    <d v="2026-09-10T00:00:00"/>
    <m/>
    <m/>
    <m/>
    <m/>
    <m/>
    <s v="ABIERTO EN TÉRMINOS"/>
    <m/>
    <m/>
  </r>
  <r>
    <m/>
    <s v="2958/2026"/>
    <d v="2026-08-13T00:00:00"/>
    <x v="4"/>
    <x v="4"/>
    <s v="PMC-605-2026 RECLAMO ACABAO ANDEN CRA 21 # 39-45-"/>
    <x v="0"/>
    <n v="316"/>
    <x v="1"/>
    <x v="23"/>
    <m/>
    <s v="MUNICIPAL PERSONERIA"/>
    <m/>
    <m/>
    <m/>
    <n v="19"/>
    <d v="2026-09-10T00:00:00"/>
    <m/>
    <m/>
    <m/>
    <m/>
    <m/>
    <s v="ABIERTO EN TÉRMINOS"/>
    <m/>
    <m/>
  </r>
  <r>
    <m/>
    <s v="2959/2026"/>
    <d v="2026-08-13T00:00:00"/>
    <x v="2"/>
    <x v="5"/>
    <s v="SOLICITUD REVISION FECHAS DEL RECIBO DE PAGO PQRDS-244557281502"/>
    <x v="1"/>
    <n v="503"/>
    <x v="4"/>
    <x v="25"/>
    <m/>
    <s v="KATERINE CASTAÑO ANGEL"/>
    <m/>
    <m/>
    <s v="kathryn693@hotmail.com"/>
    <n v="19"/>
    <d v="2026-09-10T00:00:00"/>
    <m/>
    <m/>
    <m/>
    <m/>
    <m/>
    <s v="ABIERTO EN TÉRMINOS"/>
    <m/>
    <m/>
  </r>
  <r>
    <m/>
    <s v="2960/2026"/>
    <d v="2026-08-13T00:00:00"/>
    <x v="2"/>
    <x v="1"/>
    <s v="SOLICITUD DE RECOLECCIÓN DE BASURAS EN VARIAS VIVIENDAS B/ GUADUALES MZ D ETAPA 3 PQRDS-244568423702"/>
    <x v="0"/>
    <n v="311"/>
    <x v="2"/>
    <x v="2"/>
    <m/>
    <s v="USUARIO (A)"/>
    <m/>
    <m/>
    <m/>
    <n v="19"/>
    <d v="2026-09-10T00:00:00"/>
    <m/>
    <m/>
    <m/>
    <m/>
    <m/>
    <s v="ABIERTO EN TÉRMINOS"/>
    <m/>
    <m/>
  </r>
  <r>
    <m/>
    <s v="2961/2026"/>
    <d v="2026-08-13T00:00:00"/>
    <x v="2"/>
    <x v="5"/>
    <s v="PAGO DE FACTURA BLOQUEADA MEDIO VIRTUAL CÓDIGO 1254792 PQRDS-244576926102"/>
    <x v="1"/>
    <n v="503"/>
    <x v="4"/>
    <x v="25"/>
    <m/>
    <s v="USUARIO (A)"/>
    <m/>
    <m/>
    <m/>
    <n v="19"/>
    <d v="2026-09-10T00:00:00"/>
    <m/>
    <m/>
    <m/>
    <m/>
    <m/>
    <s v="ABIERTO EN TÉRMINOS"/>
    <m/>
    <m/>
  </r>
  <r>
    <m/>
    <s v="2962/2026"/>
    <d v="2026-08-13T00:00:00"/>
    <x v="0"/>
    <x v="4"/>
    <s v="SOLICITUD DE REVISION DENTRO DE LA VIVIENDA POR QUE SE ESCUCHA COMO SI ESTUVIERA UNA LLAVE ABIERTA BARRIO VILLA TATIANA MZ 3 CASA 9"/>
    <x v="1"/>
    <n v="506"/>
    <x v="17"/>
    <x v="34"/>
    <m/>
    <s v="MARIA EUGENIA LOPEZ CARVAJAL"/>
    <m/>
    <m/>
    <m/>
    <n v="19"/>
    <d v="2026-09-10T00:00:00"/>
    <m/>
    <m/>
    <m/>
    <m/>
    <m/>
    <s v="ABIERTO EN TÉRMINOS"/>
    <m/>
    <m/>
  </r>
  <r>
    <s v="P-8248"/>
    <s v="2963/2026"/>
    <d v="2026-08-13T00:00:00"/>
    <x v="1"/>
    <x v="5"/>
    <s v="DATOS GENERALES INCORRECTOS"/>
    <x v="1"/>
    <n v="500"/>
    <x v="8"/>
    <x v="14"/>
    <m/>
    <s v="EDUAR ALEXANDER ALARCON AREVALO"/>
    <n v="1253306"/>
    <n v="3217805939"/>
    <m/>
    <n v="19"/>
    <d v="2026-09-10T00:00:00"/>
    <m/>
    <m/>
    <m/>
    <m/>
    <m/>
    <s v="ABIERTO EN TÉRMINOS"/>
    <m/>
    <m/>
  </r>
  <r>
    <m/>
    <s v="2964/2026"/>
    <d v="2026-08-14T00:00:00"/>
    <x v="0"/>
    <x v="5"/>
    <s v="SOLICITUD DE ENVIO DE LA FACTURA AL CORREO ELECTRÓNICO DEL PREDIO CALLE 44 # 21-13"/>
    <x v="1"/>
    <n v="503"/>
    <x v="4"/>
    <x v="31"/>
    <m/>
    <s v="ALBA LUCIA SANCHEZ REY"/>
    <m/>
    <m/>
    <s v="alba3721@gmail.com"/>
    <n v="19"/>
    <d v="2026-09-11T00:00:00"/>
    <m/>
    <m/>
    <m/>
    <m/>
    <m/>
    <s v="ABIERTO EN TÉRMINOS"/>
    <m/>
    <m/>
  </r>
  <r>
    <m/>
    <s v="2965/2026"/>
    <d v="2026-08-14T00:00:00"/>
    <x v="4"/>
    <x v="5"/>
    <s v="SOLICITUD DE DUPLICADO DE FACTURA CÓDIGO 1250889"/>
    <x v="1"/>
    <n v="503"/>
    <x v="4"/>
    <x v="31"/>
    <m/>
    <s v="LAURA BEDOYA TOTTO -ANALISTA DE GESTIÓN"/>
    <n v="1250889"/>
    <m/>
    <s v="lbedoya@energymaster.co"/>
    <n v="19"/>
    <d v="2026-09-11T00:00:00"/>
    <m/>
    <m/>
    <m/>
    <m/>
    <m/>
    <s v="ABIERTO EN TÉRMINOS"/>
    <m/>
    <m/>
  </r>
  <r>
    <s v="P-8249"/>
    <s v="2966/2026"/>
    <d v="2026-08-14T00:00:00"/>
    <x v="1"/>
    <x v="4"/>
    <s v="USUARIA SOLICITA REVISON DE REDES DE ACUEDUCTO YA QUE NO TIENE AGUA EN EL PREDIO LLAMAR ANTES DE IR"/>
    <x v="0"/>
    <n v="316"/>
    <x v="1"/>
    <x v="9"/>
    <m/>
    <s v="SOL ANGEL ORTIZ DE ROJAS"/>
    <m/>
    <m/>
    <s v="porasignar@gmail.com"/>
    <n v="19"/>
    <d v="2026-09-11T00:00:00"/>
    <m/>
    <m/>
    <m/>
    <m/>
    <m/>
    <s v="ABIERTO EN TÉRMINOS"/>
    <m/>
    <m/>
  </r>
  <r>
    <s v="P-8249"/>
    <s v="2967/2026"/>
    <d v="2026-08-14T00:00:00"/>
    <x v="1"/>
    <x v="4"/>
    <s v="USUARIA SOLICITA REVISION DER REDES DE ACUEDUCTO YA QUE NO TIENE AGUA EN EL PREDIO LLAMAR ANTES DE IR"/>
    <x v="0"/>
    <n v="316"/>
    <x v="1"/>
    <x v="9"/>
    <m/>
    <s v="SOL ANGEL ORTIZ DE ROJAS"/>
    <n v="1042862"/>
    <m/>
    <s v="porasignar@gmail.com"/>
    <n v="19"/>
    <d v="2026-09-11T00:00:00"/>
    <m/>
    <m/>
    <m/>
    <m/>
    <m/>
    <s v="ABIERTO EN TÉRMINOS"/>
    <m/>
    <m/>
  </r>
  <r>
    <s v="P-8250"/>
    <s v="2968/2026"/>
    <d v="2026-08-14T00:00:00"/>
    <x v="1"/>
    <x v="0"/>
    <s v="USUARIA REPORTA FUGA EN EL MEDIDOR"/>
    <x v="0"/>
    <n v="316"/>
    <x v="1"/>
    <x v="7"/>
    <m/>
    <s v="DARLY TABARES GARCIA"/>
    <n v="1251062"/>
    <m/>
    <m/>
    <n v="19"/>
    <d v="2026-09-11T00:00:00"/>
    <m/>
    <m/>
    <m/>
    <m/>
    <m/>
    <s v="ABIERTO EN TÉRMINOS"/>
    <m/>
    <m/>
  </r>
  <r>
    <m/>
    <s v="2969/2026"/>
    <d v="2026-08-14T00:00:00"/>
    <x v="1"/>
    <x v="2"/>
    <s v="USUARIO REPORTA LUMINARIA APAGADA EN EL POSTE # 9990 DIRECCION CL 42 # 16 - 58"/>
    <x v="0"/>
    <n v="316"/>
    <x v="1"/>
    <x v="5"/>
    <m/>
    <s v="LUIS VICENTE BURGOS BURGOS"/>
    <n v="1214360"/>
    <m/>
    <m/>
    <n v="19"/>
    <d v="2026-09-11T00:00:00"/>
    <m/>
    <m/>
    <m/>
    <m/>
    <m/>
    <s v="ABIERTO EN TÉRMINOS"/>
    <m/>
    <m/>
  </r>
  <r>
    <s v="P-8251"/>
    <s v="2970/2026"/>
    <d v="2026-08-14T00:00:00"/>
    <x v="1"/>
    <x v="1"/>
    <s v="USUARIA REPORTA PRDIO DESOCUPADO"/>
    <x v="1"/>
    <n v="114"/>
    <x v="3"/>
    <x v="4"/>
    <m/>
    <s v="MARIA MARIELA RAMIREZ OCAMPO"/>
    <n v="1147882"/>
    <m/>
    <m/>
    <n v="19"/>
    <d v="2026-09-11T00:00:00"/>
    <m/>
    <m/>
    <m/>
    <m/>
    <m/>
    <s v="ABIERTO EN TÉRMINOS"/>
    <m/>
    <m/>
  </r>
  <r>
    <m/>
    <s v="2971/2026"/>
    <d v="2026-08-14T00:00:00"/>
    <x v="4"/>
    <x v="4"/>
    <s v="PMC-609-2026 SEGUIMIENTO TRÁMITE PETICIÓN INSTAURADA DE LA VEEDURÍA CÍVICA ARMENIA Y QUINDÍO"/>
    <x v="1"/>
    <n v="503"/>
    <x v="4"/>
    <x v="35"/>
    <m/>
    <s v="MUNICIPAL PERSONERIA"/>
    <m/>
    <m/>
    <m/>
    <n v="19"/>
    <d v="2026-09-11T00:00:00"/>
    <m/>
    <m/>
    <m/>
    <m/>
    <m/>
    <s v="ABIERTO EN TÉRMINOS"/>
    <m/>
    <m/>
  </r>
  <r>
    <m/>
    <s v="2972/2026"/>
    <d v="2026-08-14T00:00:00"/>
    <x v="0"/>
    <x v="8"/>
    <s v="RECOLECCIÓN DE ESCOMBROS CEMENTERIO JARDINES DE PAZ Ntra SRA DEL CARMEN DE BARCELON QUINDIO"/>
    <x v="1"/>
    <n v="503"/>
    <x v="4"/>
    <x v="28"/>
    <m/>
    <s v="SEÑORA CARMEN PARROQUIA NUESTRA"/>
    <m/>
    <m/>
    <m/>
    <n v="19"/>
    <d v="2026-09-11T00:00:00"/>
    <m/>
    <m/>
    <m/>
    <m/>
    <m/>
    <s v="ABIERTO EN TÉRMINOS"/>
    <m/>
    <m/>
  </r>
  <r>
    <m/>
    <s v="2973/2026"/>
    <d v="2026-08-14T00:00:00"/>
    <x v="0"/>
    <x v="1"/>
    <s v="DERECHO PETICION- INFORME PREDIO DESOCUPADO CRA 19 # 36-59 EDIFICIO ALTA VISTA"/>
    <x v="1"/>
    <n v="114"/>
    <x v="3"/>
    <x v="4"/>
    <m/>
    <s v="LUZ ANDREA MUÑOZ BONILLA"/>
    <m/>
    <m/>
    <m/>
    <n v="19"/>
    <d v="2026-09-11T00:00:00"/>
    <m/>
    <m/>
    <m/>
    <m/>
    <m/>
    <s v="ABIERTO EN TÉRMINOS"/>
    <m/>
    <m/>
  </r>
  <r>
    <m/>
    <s v="2974/2026"/>
    <d v="2026-08-14T00:00:00"/>
    <x v="1"/>
    <x v="1"/>
    <s v="USUARIA SOLICITA QUE RECOJAN COLCHONES 3 CAMAS,ARMARIOS VARIOS COSAS EN LA DIRECCION B/VILLA MZ 8 CASA 19"/>
    <x v="1"/>
    <n v="503"/>
    <x v="4"/>
    <x v="6"/>
    <m/>
    <s v="MARIA LEONOR OCAMPO SALAZAR"/>
    <m/>
    <m/>
    <m/>
    <n v="19"/>
    <d v="2026-09-11T00:00:00"/>
    <m/>
    <m/>
    <m/>
    <m/>
    <m/>
    <s v="ABIERTO EN TÉRMINOS"/>
    <m/>
    <m/>
  </r>
  <r>
    <s v="P-8253"/>
    <s v="2975/2026"/>
    <d v="2026-08-14T00:00:00"/>
    <x v="1"/>
    <x v="0"/>
    <s v="USUARIA REPORTA FUGA DE DOMICILIARIA YA QUE EN LA ESCALERA QUE ESTA POR FUERA SE ESTA FILTRANDO MUCHA AGUA LLAMAR ANTES DE IR"/>
    <x v="0"/>
    <n v="316"/>
    <x v="1"/>
    <x v="20"/>
    <m/>
    <s v="DEYANIRA TRUJILLO"/>
    <n v="1032880"/>
    <m/>
    <m/>
    <n v="19"/>
    <d v="2026-09-11T00:00:00"/>
    <m/>
    <m/>
    <m/>
    <m/>
    <m/>
    <s v="ABIERTO EN TÉRMINOS"/>
    <m/>
    <m/>
  </r>
  <r>
    <m/>
    <s v="2976/2026"/>
    <d v="2026-08-18T00:00:00"/>
    <x v="0"/>
    <x v="5"/>
    <s v="SOLICITUD DE CANCELACIÓN DE MATRICULA CÓDIGO 1204820 PREDIO UBICADO CLL 40 # 25-14 SEGUNDO PISO"/>
    <x v="0"/>
    <n v="308"/>
    <x v="18"/>
    <x v="36"/>
    <m/>
    <s v="HUGO MARIO HOYOS JARAMILLO"/>
    <m/>
    <m/>
    <m/>
    <n v="14"/>
    <d v="2026-09-04T00:00:00"/>
    <m/>
    <m/>
    <m/>
    <m/>
    <m/>
    <s v="ABIERTO EN TÉRMINOS"/>
    <m/>
    <m/>
  </r>
  <r>
    <m/>
    <s v="2977/2026"/>
    <d v="2026-08-18T00:00:00"/>
    <x v="0"/>
    <x v="5"/>
    <s v="DERECHO DE PETICIÓN - SOLICITUD DE HABILITACIÓN PAGO PSE AL CÓDIGO 1211700 CLL 41 # 27-04"/>
    <x v="1"/>
    <n v="503"/>
    <x v="4"/>
    <x v="37"/>
    <m/>
    <s v="FUNDACION HORUS VITA"/>
    <m/>
    <m/>
    <s v="horusvita.facturacion@gmail.com"/>
    <n v="14"/>
    <d v="2026-09-07T00:00:00"/>
    <m/>
    <m/>
    <m/>
    <m/>
    <m/>
    <s v="ABIERTO EN TÉRMINOS"/>
    <m/>
    <m/>
  </r>
  <r>
    <m/>
    <s v="2978/2026"/>
    <d v="2026-08-18T00:00:00"/>
    <x v="0"/>
    <x v="5"/>
    <s v="DERECHO DE PETICIÓN - SE PROHIBEN ACUERDOS DE PAGO Y FINANCIACIONES CRA 18 B # 34-45 SAN JOSE BAJO"/>
    <x v="1"/>
    <n v="503"/>
    <x v="4"/>
    <x v="38"/>
    <m/>
    <s v="ENERIED MARTINEZ MARIN"/>
    <m/>
    <m/>
    <m/>
    <n v="14"/>
    <d v="2026-09-07T00:00:00"/>
    <m/>
    <m/>
    <m/>
    <m/>
    <m/>
    <s v="ABIERTO EN TÉRMINOS"/>
    <m/>
    <m/>
  </r>
  <r>
    <m/>
    <s v="2979/2026"/>
    <d v="2026-08-18T00:00:00"/>
    <x v="0"/>
    <x v="4"/>
    <s v="SOLICITUD ACOMPAÑAMIENTO PARA DETECTAR FUGA DE AGUA EN EL PREDIO CLL 34 # 25-50 CONJUNTO RESIDENCIAL LA BATEA CASA B6- SOLICITUD DE GEOFONO"/>
    <x v="1"/>
    <n v="506"/>
    <x v="17"/>
    <x v="34"/>
    <m/>
    <s v="JULIETA HENAO NIETO"/>
    <m/>
    <n v="3053601155"/>
    <m/>
    <n v="14"/>
    <d v="2026-09-07T00:00:00"/>
    <m/>
    <m/>
    <m/>
    <m/>
    <m/>
    <s v="ABIERTO EN TÉRMINOS"/>
    <m/>
    <m/>
  </r>
  <r>
    <s v="P-8255"/>
    <s v="2980/2026"/>
    <d v="2026-08-18T00:00:00"/>
    <x v="1"/>
    <x v="3"/>
    <s v="USUARIA REPORTA DAÑO DE RED DE ALCANTARILLADO YA QUE SE ESTA DEVOLVIENDO LAS AGUAS NEGRAS POR LOS CIFONES LLAMAR ANTES DE IR 3234283906"/>
    <x v="0"/>
    <n v="316"/>
    <x v="1"/>
    <x v="8"/>
    <m/>
    <s v="MARIA MERCEDES ARIAS"/>
    <n v="1241358"/>
    <n v="3104076849"/>
    <m/>
    <n v="14"/>
    <d v="2026-09-07T00:00:00"/>
    <m/>
    <m/>
    <m/>
    <m/>
    <m/>
    <s v="ABIERTO EN TÉRMINOS"/>
    <m/>
    <m/>
  </r>
  <r>
    <m/>
    <s v="2981/2026"/>
    <d v="2026-08-18T00:00:00"/>
    <x v="4"/>
    <x v="5"/>
    <s v="SOLICITUD DUPLICADO DE FACTURA DOLLARCITY CÓDIGO 1254752"/>
    <x v="1"/>
    <n v="503"/>
    <x v="4"/>
    <x v="31"/>
    <m/>
    <s v="ALLISON GISELLE MARTINEZ GARCÍA"/>
    <n v="1254752"/>
    <m/>
    <s v="allison.martinez@dollarcity.com"/>
    <n v="14"/>
    <d v="2026-09-07T00:00:00"/>
    <m/>
    <m/>
    <m/>
    <m/>
    <m/>
    <s v="ABIERTO EN TÉRMINOS"/>
    <m/>
    <m/>
  </r>
  <r>
    <m/>
    <s v="2982/2026"/>
    <d v="2026-08-18T00:00:00"/>
    <x v="0"/>
    <x v="5"/>
    <s v="SOLICITUD DE CONEXIÓN DE SERVICIO DEL ACUEDUCTO Y ALCANTARILLADO CARRERA 32 # 9-152 CONJUNTO CABO MARIPOSA CASA 17"/>
    <x v="1"/>
    <n v="502"/>
    <x v="9"/>
    <x v="27"/>
    <s v="SI"/>
    <s v="MARÍA MELVA VALENCIA DE LOAIZA"/>
    <m/>
    <n v="3113754945"/>
    <s v="mariamelva25@gmail.com"/>
    <n v="14"/>
    <d v="2026-09-07T00:00:00"/>
    <d v="2026-08-18T00:00:00"/>
    <s v="N/A"/>
    <s v="N/A"/>
    <d v="2026-09-01T00:00:00"/>
    <s v="EMCA-I-4930-2026"/>
    <s v="Cerrado"/>
    <m/>
    <m/>
  </r>
  <r>
    <m/>
    <s v="2983/2026"/>
    <d v="2026-08-18T00:00:00"/>
    <x v="4"/>
    <x v="5"/>
    <s v="SOLICITUD DUPLICADO DE FACTURA CÓDIGO 1254079-1045240-1200020-1071720-1071920-1254280-1254752"/>
    <x v="1"/>
    <n v="503"/>
    <x v="4"/>
    <x v="31"/>
    <m/>
    <s v="YIRLEY LOAIZA ANALISTA DE GESTIÓN"/>
    <m/>
    <m/>
    <s v="yloaiza@energymaster.co"/>
    <n v="14"/>
    <d v="2026-09-07T00:00:00"/>
    <m/>
    <m/>
    <m/>
    <m/>
    <m/>
    <s v="ABIERTO EN TÉRMINOS"/>
    <m/>
    <m/>
  </r>
  <r>
    <m/>
    <s v="2984/2026"/>
    <d v="2026-08-18T00:00:00"/>
    <x v="4"/>
    <x v="5"/>
    <s v="SOLICITUD DE FACTURA CÓDIGO 1143980 - SECTOR OSCAR TOBON MZ C CASA 6"/>
    <x v="1"/>
    <n v="503"/>
    <x v="4"/>
    <x v="31"/>
    <m/>
    <s v="JHON WILLIAM NIETO QUIROGA"/>
    <n v="1143980"/>
    <m/>
    <m/>
    <n v="14"/>
    <d v="2026-09-07T00:00:00"/>
    <m/>
    <m/>
    <m/>
    <m/>
    <m/>
    <s v="ABIERTO EN TÉRMINOS"/>
    <m/>
    <m/>
  </r>
  <r>
    <m/>
    <s v="2985/2026"/>
    <d v="2026-08-18T00:00:00"/>
    <x v="4"/>
    <x v="0"/>
    <s v="SOLICITUD INSTALACIÓN MEDIDOR BARRIO LLANITOS GUALARA MZ 42 CASA 17 PISO 2"/>
    <x v="1"/>
    <n v="503"/>
    <x v="4"/>
    <x v="25"/>
    <m/>
    <s v="RUTH ELENA SANCHEZ ZABALA"/>
    <m/>
    <m/>
    <m/>
    <n v="14"/>
    <d v="2026-09-07T00:00:00"/>
    <m/>
    <m/>
    <m/>
    <m/>
    <m/>
    <s v="ABIERTO EN TÉRMINOS"/>
    <m/>
    <m/>
  </r>
  <r>
    <m/>
    <s v="2986/2026"/>
    <d v="2026-08-18T00:00:00"/>
    <x v="4"/>
    <x v="0"/>
    <s v="TRASLADO POR COMPETENCIA -EPQ- SOLICITUD DE APOYO PARA EL CONJUNTO MIRADOR DEL CACIQUE EN LA PRIMAVERA CALLE 33 # 16-196"/>
    <x v="0"/>
    <n v="316"/>
    <x v="1"/>
    <x v="0"/>
    <m/>
    <s v="LUISA JUSTINA SERNA LONDOÑO -EPQ OFICINA PQR"/>
    <m/>
    <m/>
    <m/>
    <n v="14"/>
    <d v="2026-09-07T00:00:00"/>
    <m/>
    <m/>
    <m/>
    <m/>
    <m/>
    <s v="ABIERTO EN TÉRMINOS"/>
    <m/>
    <m/>
  </r>
  <r>
    <m/>
    <s v="2987/2026"/>
    <d v="2026-08-18T00:00:00"/>
    <x v="4"/>
    <x v="5"/>
    <s v="SOLICITUD CAMBIO DE SUSCRIPTOR EN LA FACTURA DEL SERVICIO DE ACUEDUCTO EDIFICIO CAMINO REAL CRA 25 # 41-16"/>
    <x v="1"/>
    <n v="500"/>
    <x v="8"/>
    <x v="14"/>
    <m/>
    <s v="JORGE ALONSO ISAZA PULIDO"/>
    <m/>
    <m/>
    <s v="piegro@hotmail.com"/>
    <n v="14"/>
    <d v="2026-09-07T00:00:00"/>
    <m/>
    <m/>
    <m/>
    <m/>
    <m/>
    <s v="ABIERTO EN TÉRMINOS"/>
    <m/>
    <m/>
  </r>
  <r>
    <m/>
    <s v="2988/2026"/>
    <d v="2026-08-18T00:00:00"/>
    <x v="4"/>
    <x v="5"/>
    <s v="TRASLADO POR COMPETENCIA -REPORTE DE DAÑO POR HUNDIMIENTO DE VIA EN LA CLL 32 ENTRE CARRERA 24 Y 25"/>
    <x v="0"/>
    <n v="316"/>
    <x v="1"/>
    <x v="39"/>
    <m/>
    <s v="JENNY ALEXANDRA ARISTIZABAL VÉLEZ"/>
    <m/>
    <m/>
    <m/>
    <n v="14"/>
    <d v="2026-09-07T00:00:00"/>
    <m/>
    <m/>
    <m/>
    <m/>
    <m/>
    <s v="ABIERTO EN TÉRMINOS"/>
    <m/>
    <m/>
  </r>
  <r>
    <m/>
    <s v="2989/2026"/>
    <d v="2026-08-18T00:00:00"/>
    <x v="0"/>
    <x v="1"/>
    <s v="SOLICITUD PODA DE ARBOL BARRIO VILLA ASTRID MZ G CASA 1"/>
    <x v="1"/>
    <n v="503"/>
    <x v="4"/>
    <x v="40"/>
    <m/>
    <s v="MARÍA BEATRIZ PALECHOR"/>
    <m/>
    <m/>
    <m/>
    <n v="14"/>
    <d v="2026-09-07T00:00:00"/>
    <m/>
    <m/>
    <m/>
    <m/>
    <m/>
    <s v="ABIERTO EN TÉRMINOS"/>
    <m/>
    <m/>
  </r>
  <r>
    <m/>
    <s v="2990/2026"/>
    <d v="2026-08-18T00:00:00"/>
    <x v="0"/>
    <x v="4"/>
    <s v="DERECHO DE PETICION - SOLICITUD REVISION DE FACTURA PREDIO UBICADO CLL 29A # 24-05 BARRIO CALDAS"/>
    <x v="2"/>
    <n v="102"/>
    <x v="12"/>
    <x v="10"/>
    <m/>
    <s v="CECILIA RAMIREZ HURTADO"/>
    <m/>
    <m/>
    <m/>
    <n v="14"/>
    <d v="2026-09-07T00:00:00"/>
    <m/>
    <m/>
    <m/>
    <m/>
    <m/>
    <s v="ABIERTO EN TÉRMINOS"/>
    <m/>
    <m/>
  </r>
  <r>
    <m/>
    <s v="2991/2026"/>
    <d v="2026-08-18T00:00:00"/>
    <x v="0"/>
    <x v="5"/>
    <s v="DERECHO DE PETICIÓN -DESVINCULAR LOS SERVICIOS -EVITAR COBRO DE LA TARIFA DE ACUEDUCTO, ALCANTARILLADO Y ASEO SECTOR AVENIDA COLON # 4A- CRA 32 ENTRE 20 Y 21"/>
    <x v="0"/>
    <n v="308"/>
    <x v="18"/>
    <x v="36"/>
    <m/>
    <s v="&amp; VALDES CONSTRUCTORA LESMES"/>
    <m/>
    <m/>
    <m/>
    <n v="14"/>
    <d v="2026-09-07T00:00:00"/>
    <m/>
    <m/>
    <m/>
    <m/>
    <m/>
    <s v="ABIERTO EN TÉRMINOS"/>
    <m/>
    <m/>
  </r>
  <r>
    <s v="P-8254"/>
    <s v="2992/2026"/>
    <d v="2026-08-18T00:00:00"/>
    <x v="1"/>
    <x v="3"/>
    <s v="USUARIO REPORTA DAÑO EN LA RED DE ALCANTARILLADO YA QUE LA TUBERIA ESTA FILTRANDO AGUA Y EL OLOR ES INSOPORTABLE"/>
    <x v="0"/>
    <n v="316"/>
    <x v="1"/>
    <x v="8"/>
    <m/>
    <s v="MARTHA LUCIA CASTAÑO"/>
    <n v="1011400"/>
    <n v="3155279502"/>
    <m/>
    <n v="14"/>
    <d v="2026-09-07T00:00:00"/>
    <m/>
    <m/>
    <m/>
    <m/>
    <m/>
    <s v="ABIERTO EN TÉRMINOS"/>
    <m/>
    <m/>
  </r>
  <r>
    <s v="P-8259"/>
    <s v="2993/2026"/>
    <d v="2026-08-18T00:00:00"/>
    <x v="1"/>
    <x v="3"/>
    <s v="8259 USUARIO REPORTA DAÑO EN LA RED DE ALCANTARILLADO DE LA PARTE EXTERNA"/>
    <x v="0"/>
    <n v="316"/>
    <x v="1"/>
    <x v="8"/>
    <m/>
    <s v="JAIR HUERFANO TORRES"/>
    <n v="1032862"/>
    <m/>
    <m/>
    <n v="14"/>
    <d v="2026-09-07T00:00:00"/>
    <m/>
    <m/>
    <m/>
    <m/>
    <m/>
    <s v="ABIERTO EN TÉRMINOS"/>
    <m/>
    <m/>
  </r>
  <r>
    <s v="P-8260"/>
    <s v="2994/2026"/>
    <d v="2026-08-18T00:00:00"/>
    <x v="1"/>
    <x v="0"/>
    <s v="USUARIA REPORTA DEFICIENCIA DE PRESION HACE 8 DIAS"/>
    <x v="0"/>
    <n v="304"/>
    <x v="0"/>
    <x v="0"/>
    <m/>
    <s v="ROMELIA SANCHEZ PINILLA"/>
    <n v="1060160"/>
    <n v="3147094635"/>
    <m/>
    <n v="14"/>
    <d v="2026-09-07T00:00:00"/>
    <m/>
    <m/>
    <m/>
    <m/>
    <m/>
    <s v="ABIERTO EN TÉRMINOS"/>
    <m/>
    <m/>
  </r>
  <r>
    <s v="P-8261"/>
    <s v="2995/2026"/>
    <d v="2026-08-18T00:00:00"/>
    <x v="1"/>
    <x v="1"/>
    <s v="USUARIA REPORTA PREDIO DESOCUPADO"/>
    <x v="1"/>
    <n v="114"/>
    <x v="3"/>
    <x v="4"/>
    <m/>
    <s v="DOLLY PATRICIA VELASCO BUITRAGO"/>
    <n v="1196720"/>
    <m/>
    <m/>
    <n v="14"/>
    <d v="2026-09-07T00:00:00"/>
    <m/>
    <m/>
    <m/>
    <m/>
    <m/>
    <s v="ABIERTO EN TÉRMINOS"/>
    <m/>
    <m/>
  </r>
  <r>
    <s v="P-8256"/>
    <s v="2996/2026"/>
    <d v="2026-08-18T00:00:00"/>
    <x v="1"/>
    <x v="0"/>
    <s v="USUARIO SOLICITA CAMBIO DE LLAVE DE PASO URGENTE FUGA INTERNO"/>
    <x v="0"/>
    <n v="316"/>
    <x v="1"/>
    <x v="1"/>
    <m/>
    <s v="LUIS ALFONSO GARZON"/>
    <n v="1144040"/>
    <n v="3202828851"/>
    <s v="porasignar@gmail.com1"/>
    <n v="14"/>
    <d v="2026-09-07T00:00:00"/>
    <m/>
    <m/>
    <m/>
    <m/>
    <m/>
    <s v="ABIERTO EN TÉRMINOS"/>
    <m/>
    <m/>
  </r>
  <r>
    <s v="P-8256"/>
    <s v="2997/2026"/>
    <d v="2026-08-18T00:00:00"/>
    <x v="1"/>
    <x v="0"/>
    <s v="CAMBIO DE LLAVE"/>
    <x v="0"/>
    <n v="316"/>
    <x v="1"/>
    <x v="1"/>
    <m/>
    <s v="LUIS ALFONSO GARZON"/>
    <n v="1144040"/>
    <n v="3202828851"/>
    <s v="porasignar@gmail.com1"/>
    <n v="14"/>
    <d v="2026-09-07T00:00:00"/>
    <m/>
    <m/>
    <m/>
    <m/>
    <m/>
    <s v="ABIERTO EN TÉRMINOS"/>
    <m/>
    <m/>
  </r>
  <r>
    <s v="P-8257"/>
    <s v="2998/2026"/>
    <d v="2026-08-18T00:00:00"/>
    <x v="1"/>
    <x v="0"/>
    <s v="USUARIA REPORTA FUGA DE MEDIDOR LLAMAR ANTES DE IR"/>
    <x v="0"/>
    <n v="316"/>
    <x v="1"/>
    <x v="7"/>
    <m/>
    <s v="LUZ STELLA ACEVEDO"/>
    <n v="1238194"/>
    <n v="3053291868"/>
    <m/>
    <n v="14"/>
    <d v="2026-09-07T00:00:00"/>
    <m/>
    <m/>
    <m/>
    <m/>
    <m/>
    <s v="ABIERTO EN TÉRMINOS"/>
    <m/>
    <m/>
  </r>
  <r>
    <m/>
    <s v="2999/2026"/>
    <d v="2026-08-18T00:00:00"/>
    <x v="1"/>
    <x v="4"/>
    <s v="USUARIO REPORTA DAÑO DE RED DE ACUEDUCTO YA QUE HAY UN TUBO QUE SE REVENTO Y ESTA BOTANDO MUCHA AGUA EN LA DIRECCION LINCON MZ D CASA 6"/>
    <x v="0"/>
    <n v="316"/>
    <x v="1"/>
    <x v="41"/>
    <m/>
    <s v="JORGE IVAN ALZATE GALEANO"/>
    <m/>
    <m/>
    <s v="NOOO"/>
    <n v="14"/>
    <d v="2026-09-07T00:00:00"/>
    <m/>
    <m/>
    <m/>
    <m/>
    <m/>
    <s v="ABIERTO EN TÉRMINOS"/>
    <m/>
    <m/>
  </r>
  <r>
    <s v="P-8258"/>
    <s v="3000/2026"/>
    <d v="2026-08-18T00:00:00"/>
    <x v="1"/>
    <x v="1"/>
    <s v="USUARIA REPORTA PREDIO DESOCUPADO"/>
    <x v="1"/>
    <n v="114"/>
    <x v="3"/>
    <x v="4"/>
    <m/>
    <s v="HECTOR SOLARTE BURBANO"/>
    <n v="1096100"/>
    <n v="3003517678"/>
    <s v="_x000a_hsolarte811@gmail.com"/>
    <n v="14"/>
    <d v="2026-09-07T00:00:00"/>
    <m/>
    <m/>
    <m/>
    <m/>
    <m/>
    <s v="ABIERTO EN TÉRMINOS"/>
    <m/>
    <m/>
  </r>
  <r>
    <s v="R-1526"/>
    <s v="3001/2026"/>
    <d v="2026-08-18T00:00:00"/>
    <x v="1"/>
    <x v="5"/>
    <s v="USUARIA SOLICITA AJUSTE DE CLASE DE USO DE COMERCIAL A RESIDENCIAL"/>
    <x v="2"/>
    <n v="118"/>
    <x v="14"/>
    <x v="26"/>
    <m/>
    <s v="AMPARO EDILSA FLOREZ OCAMPO"/>
    <n v="1242220"/>
    <n v="3104119819"/>
    <m/>
    <n v="14"/>
    <d v="2026-09-07T00:00:00"/>
    <m/>
    <m/>
    <m/>
    <m/>
    <m/>
    <s v="ABIERTO EN TÉRMINOS"/>
    <m/>
    <m/>
  </r>
  <r>
    <m/>
    <s v="3002/2026"/>
    <d v="2026-08-18T00:00:00"/>
    <x v="0"/>
    <x v="0"/>
    <s v="SOLICITUD CAMBIO DE ACOMETIDA CÓDIGO 1022240 CRA 23 # 32-43"/>
    <x v="0"/>
    <n v="316"/>
    <x v="1"/>
    <x v="42"/>
    <m/>
    <s v="DIEGO FERNANDO ORTIZ BELTRAN"/>
    <m/>
    <m/>
    <s v="diegortiz731@gmail.com"/>
    <n v="14"/>
    <d v="2026-09-07T00:00:00"/>
    <m/>
    <m/>
    <m/>
    <m/>
    <m/>
    <s v="ABIERTO EN TÉRMINOS"/>
    <m/>
    <m/>
  </r>
  <r>
    <s v="P-8262"/>
    <s v="3003/2026"/>
    <d v="2026-08-18T00:00:00"/>
    <x v="1"/>
    <x v="0"/>
    <s v="USUARIO REPORTA DEFICIENCIA DE PRESION DESDE HACE 15 DIAS"/>
    <x v="0"/>
    <n v="304"/>
    <x v="0"/>
    <x v="0"/>
    <m/>
    <s v="JAVIER FRANCISCO PEÑA GUERRERO"/>
    <n v="1139820"/>
    <m/>
    <s v="felipepena0884@gmail.com"/>
    <n v="14"/>
    <d v="2026-09-07T00:00:00"/>
    <m/>
    <m/>
    <m/>
    <m/>
    <m/>
    <s v="ABIERTO EN TÉRMINOS"/>
    <m/>
    <m/>
  </r>
  <r>
    <m/>
    <s v="3004/2026"/>
    <d v="2026-08-18T00:00:00"/>
    <x v="4"/>
    <x v="5"/>
    <s v="CAMBIO DE SERVICIO DE AGUA POTABLE PROVISIONAL A RESIDENCIAL VIVIENDA BOSQUES DE SAN JUAN CASA 7 SECTOR LA BELLA"/>
    <x v="2"/>
    <n v="118"/>
    <x v="14"/>
    <x v="26"/>
    <m/>
    <s v="LILIANA RAMIREZ GIRALDO"/>
    <n v="1254315"/>
    <m/>
    <m/>
    <n v="14"/>
    <d v="2026-09-07T00:00:00"/>
    <m/>
    <m/>
    <m/>
    <m/>
    <m/>
    <s v="ABIERTO EN TÉRMINOS"/>
    <m/>
    <m/>
  </r>
  <r>
    <m/>
    <s v="3005/2026"/>
    <d v="2026-08-18T00:00:00"/>
    <x v="4"/>
    <x v="0"/>
    <s v="SOLICITUD DUPLICADO DE FACTURA CÓDIGO 1250889"/>
    <x v="1"/>
    <n v="503"/>
    <x v="4"/>
    <x v="31"/>
    <m/>
    <s v="YINETH SILVA JEFE SSA NALSANI SAS"/>
    <n v="1250889"/>
    <m/>
    <m/>
    <n v="14"/>
    <d v="2026-09-07T00:00:00"/>
    <m/>
    <m/>
    <m/>
    <m/>
    <m/>
    <s v="ABIERTO EN TÉRMINOS"/>
    <m/>
    <m/>
  </r>
  <r>
    <m/>
    <s v="3006/2026"/>
    <d v="2026-08-18T00:00:00"/>
    <x v="1"/>
    <x v="1"/>
    <s v="USUARIO SOLICITA QUE RECOJAN UNA PALMA YA QUE ESTA EMPECADA EN ESTOPAS EN LA DIRECCION CR 33 # 17-07 POPULAR"/>
    <x v="1"/>
    <n v="503"/>
    <x v="4"/>
    <x v="6"/>
    <m/>
    <s v="MARIO HURTADO ESCOBAR"/>
    <m/>
    <n v="3215627823"/>
    <m/>
    <n v="14"/>
    <d v="2026-09-07T00:00:00"/>
    <m/>
    <m/>
    <m/>
    <m/>
    <m/>
    <s v="ABIERTO EN TÉRMINOS"/>
    <m/>
    <m/>
  </r>
  <r>
    <m/>
    <s v="3007/2026"/>
    <d v="2026-08-18T00:00:00"/>
    <x v="4"/>
    <x v="5"/>
    <s v="SOLICITUD ENVIO FACTURA AL PAGO OPORTUNO DE AGOSTO DE 2026 - DAVIVIENDA"/>
    <x v="1"/>
    <n v="503"/>
    <x v="4"/>
    <x v="31"/>
    <m/>
    <s v="NATALIA FERNANDA BRICEÑO PINTO"/>
    <m/>
    <m/>
    <m/>
    <n v="14"/>
    <d v="2026-09-07T00:00:00"/>
    <m/>
    <m/>
    <m/>
    <m/>
    <m/>
    <s v="ABIERTO EN TÉRMINOS"/>
    <m/>
    <m/>
  </r>
  <r>
    <m/>
    <s v="3008/2026"/>
    <d v="2026-08-19T00:00:00"/>
    <x v="0"/>
    <x v="4"/>
    <s v="SOLICITUD FORMAL DE INTERVENCIÓN Y REMPLAZO DE ACOMETIDA GALVANIZADA POR FUGA DETECTADA EN VISTA TÉCNICA (ORDEN VERIFICACIÓN No. 7845 CÓDIGO 1204340) EN LA CLL 40 # 26-23 BAJOS"/>
    <x v="0"/>
    <n v="316"/>
    <x v="1"/>
    <x v="42"/>
    <m/>
    <s v="LUIS FERNANDO LOPEZ ROMAN"/>
    <n v="1204340"/>
    <m/>
    <m/>
    <n v="14"/>
    <d v="2026-09-07T00:00:00"/>
    <m/>
    <m/>
    <m/>
    <m/>
    <m/>
    <s v="ABIERTO EN TÉRMINOS"/>
    <m/>
    <m/>
  </r>
  <r>
    <m/>
    <s v="3009/2026"/>
    <d v="2026-08-19T00:00:00"/>
    <x v="0"/>
    <x v="3"/>
    <s v="DERECHO DE PETICIÓN -SOLICITUD DE REVISIÓN Y SOLUCION DEFINITIVA DE LA RED DE ALCANTARILLADO EN LA CLLE 33 ENTRE 24 Y 23"/>
    <x v="0"/>
    <n v="316"/>
    <x v="1"/>
    <x v="8"/>
    <m/>
    <s v="MAGED SORAYA MAGED"/>
    <m/>
    <m/>
    <m/>
    <n v="14"/>
    <d v="2026-09-08T00:00:00"/>
    <m/>
    <m/>
    <m/>
    <m/>
    <m/>
    <s v="ABIERTO EN TÉRMINOS"/>
    <m/>
    <m/>
  </r>
  <r>
    <m/>
    <s v="3010/2026"/>
    <d v="2026-08-19T00:00:00"/>
    <x v="4"/>
    <x v="5"/>
    <s v="SOLICITUD DE FACTURA CÓDIGO 1250889"/>
    <x v="1"/>
    <n v="503"/>
    <x v="4"/>
    <x v="31"/>
    <m/>
    <s v="NALSANI S A"/>
    <m/>
    <m/>
    <s v="porasignar@gmail.com"/>
    <n v="14"/>
    <d v="2026-09-08T00:00:00"/>
    <m/>
    <m/>
    <m/>
    <m/>
    <m/>
    <s v="ABIERTO EN TÉRMINOS"/>
    <m/>
    <m/>
  </r>
  <r>
    <m/>
    <s v="3011/2026"/>
    <d v="2026-08-19T00:00:00"/>
    <x v="4"/>
    <x v="1"/>
    <s v="INVIAS- RAD 2026S-VQUI-058499 SOLICITUD DE MANEJO RESIDUOS SÓLIDOS EN E SECTOR SIERREA MORENA ,PR13+200 DE LA RUTA 4003A"/>
    <x v="1"/>
    <n v="503"/>
    <x v="4"/>
    <x v="25"/>
    <m/>
    <s v="INSTITUTO NACIONAL DE VIAS"/>
    <m/>
    <m/>
    <s v="porasignar@gmail.com"/>
    <n v="14"/>
    <d v="2026-09-08T00:00:00"/>
    <m/>
    <m/>
    <m/>
    <m/>
    <m/>
    <s v="ABIERTO EN TÉRMINOS"/>
    <m/>
    <m/>
  </r>
  <r>
    <m/>
    <s v="3012/2026"/>
    <d v="2026-08-19T00:00:00"/>
    <x v="4"/>
    <x v="9"/>
    <s v="TRASLADO POR COMPETENCIA NECESIDADES JAC BARRIO SAN JOSÉ"/>
    <x v="0"/>
    <n v="316"/>
    <x v="1"/>
    <x v="8"/>
    <m/>
    <s v="CAMILO ANDRES HENAO VALENCIA"/>
    <m/>
    <m/>
    <m/>
    <n v="14"/>
    <d v="2026-09-08T00:00:00"/>
    <m/>
    <m/>
    <m/>
    <m/>
    <m/>
    <s v="ABIERTO EN TÉRMINOS"/>
    <m/>
    <m/>
  </r>
  <r>
    <m/>
    <s v="3013/2026"/>
    <d v="2026-08-19T00:00:00"/>
    <x v="4"/>
    <x v="10"/>
    <s v="SOLICITUD DE COTIZACIÓN DE ANÁLISIS DE AGUA FÍSICO QUÍMICO Y MICROBIOLÓGICO FINCA DANUBIO (JORGE HERNÁN VELASQUEZ )"/>
    <x v="1"/>
    <n v="503"/>
    <x v="4"/>
    <x v="43"/>
    <s v="SI"/>
    <s v="JORGE HERNAN VELASQUEZ VILLEGAS"/>
    <m/>
    <m/>
    <s v="_x000a_oficinavelasquez@hotmail.com_x000a_mvelasqueznicolas@yahoo.com"/>
    <n v="14"/>
    <d v="2026-09-08T00:00:00"/>
    <d v="2026-08-19T00:00:00"/>
    <s v="N/A"/>
    <s v="N/A"/>
    <d v="2026-08-24T00:00:00"/>
    <s v="EMCA-I-4703-2026"/>
    <s v="Cerrado"/>
    <m/>
    <m/>
  </r>
  <r>
    <m/>
    <s v="3014/2026"/>
    <d v="2026-08-19T00:00:00"/>
    <x v="4"/>
    <x v="10"/>
    <s v="SOLICITUD DE COTIZACIÓN DE ANÁLISIS FÍSICO Y MICROBIOLÓGICO DE AGUA FINCA BETANIA (JUAN GUILLERMO VELASQUEZ )"/>
    <x v="1"/>
    <n v="503"/>
    <x v="4"/>
    <x v="43"/>
    <s v="SI"/>
    <s v="JUAN GUILLERMO VELASQUEZ PAVA"/>
    <m/>
    <m/>
    <s v="_x000a_oficinavelasquez@hotmail.com_x000a_mvelasqueznicolas@yahoo.com"/>
    <n v="14"/>
    <d v="2026-09-08T00:00:00"/>
    <d v="2026-08-19T00:00:00"/>
    <s v="N/A"/>
    <s v="N/A"/>
    <d v="2026-08-24T00:00:00"/>
    <s v="EMCA-I-4704-2026"/>
    <s v="Cerrado"/>
    <m/>
    <m/>
  </r>
  <r>
    <m/>
    <s v="3015/2026"/>
    <d v="2026-08-19T00:00:00"/>
    <x v="4"/>
    <x v="8"/>
    <s v="INFRAESTRUCTURA CIRCASIA- SI-350-14-59-1721-SOLICITUD DE INFORMACIÓN PROCEDIMIENTO RECEPCIÓN DE RESIDUOS DE CONSTRUCCIÓN Y DEMOLICIÓN (RCD)"/>
    <x v="1"/>
    <n v="503"/>
    <x v="4"/>
    <x v="44"/>
    <m/>
    <s v="MUNICIPIO DE CIRCASIA"/>
    <m/>
    <m/>
    <s v="porasignar@gmail.com"/>
    <n v="14"/>
    <d v="2026-09-08T00:00:00"/>
    <m/>
    <m/>
    <m/>
    <m/>
    <m/>
    <s v="ABIERTO EN TÉRMINOS"/>
    <m/>
    <m/>
  </r>
  <r>
    <m/>
    <s v="3016/2026"/>
    <d v="2026-08-19T00:00:00"/>
    <x v="4"/>
    <x v="6"/>
    <s v="SA-242-2026 SOLICITUD SUSPENSIÓN PARCIAL CONTRATO DE ARRENDAMIENTO 04 DE 2026"/>
    <x v="0"/>
    <n v="308"/>
    <x v="18"/>
    <x v="45"/>
    <s v="SI"/>
    <s v="ALCALDIA CALARCÁ"/>
    <m/>
    <m/>
    <s v="alcalde@calarca-quindio.gov.co"/>
    <n v="14"/>
    <d v="2026-09-08T00:00:00"/>
    <d v="2026-08-19T00:00:00"/>
    <s v="N/A"/>
    <s v="N/A"/>
    <d v="2026-08-24T00:00:00"/>
    <s v="EMCA-I-4675-2026"/>
    <s v="Cerrado"/>
    <m/>
    <m/>
  </r>
  <r>
    <m/>
    <s v="3017/2026"/>
    <d v="2026-08-19T00:00:00"/>
    <x v="4"/>
    <x v="4"/>
    <s v="SOLICITUD DE REVISIÓN DEL MEDIDOR POR FUGA IGUAL MENTE SE SOLICITA SERVICIO DE GEOFONO BARRIO VERACRUZ MZ 15 CASA 19"/>
    <x v="1"/>
    <n v="506"/>
    <x v="17"/>
    <x v="34"/>
    <m/>
    <s v="NIBIA CRUZ GUTIÉRREZ"/>
    <m/>
    <m/>
    <m/>
    <n v="14"/>
    <d v="2026-09-08T00:00:00"/>
    <m/>
    <m/>
    <m/>
    <m/>
    <m/>
    <s v="ABIERTO EN TÉRMINOS"/>
    <m/>
    <m/>
  </r>
  <r>
    <s v="R-1530"/>
    <s v="3018/2026"/>
    <d v="2026-08-19T00:00:00"/>
    <x v="1"/>
    <x v="4"/>
    <s v="USUARIA REPORTA INCONFORMIDAD CON EL CONSUMO YA QUE LA FACTURA DE AGOSTO INCREMENTO BASTANTE VIVEN LAS MISMAS PERSONAS LLAMAR ANTES DE IR"/>
    <x v="2"/>
    <n v="127"/>
    <x v="5"/>
    <x v="10"/>
    <m/>
    <s v="LIBIA RAMOS LIBIA"/>
    <n v="1242932"/>
    <n v="3017563572"/>
    <s v="NOOO"/>
    <n v="14"/>
    <d v="2026-09-08T00:00:00"/>
    <m/>
    <m/>
    <m/>
    <m/>
    <m/>
    <s v="ABIERTO EN TÉRMINOS"/>
    <m/>
    <m/>
  </r>
  <r>
    <s v="P-8263"/>
    <s v="3019/2026"/>
    <d v="2026-08-19T00:00:00"/>
    <x v="1"/>
    <x v="1"/>
    <s v="USUARIA REPORTA PREDIO DESOCUPADO"/>
    <x v="1"/>
    <n v="114"/>
    <x v="3"/>
    <x v="4"/>
    <m/>
    <s v="TRANSITO MARTINEZ"/>
    <n v="1242954"/>
    <n v="3136341772"/>
    <m/>
    <n v="14"/>
    <d v="2026-09-08T00:00:00"/>
    <m/>
    <m/>
    <m/>
    <m/>
    <m/>
    <s v="ABIERTO EN TÉRMINOS"/>
    <m/>
    <m/>
  </r>
  <r>
    <m/>
    <s v="3020/2026"/>
    <d v="2026-08-19T00:00:00"/>
    <x v="4"/>
    <x v="1"/>
    <s v="CBC-202-2026 SOLICITUD DE RECOLECCIÓN DE RESIDUOS VOLUMINOSOS EN EL CEMENTERIO DE CORREGIMIENTO DE BARCELONA"/>
    <x v="1"/>
    <n v="503"/>
    <x v="4"/>
    <x v="6"/>
    <m/>
    <s v="YENIFFER MELISSA QUITIAN CABRA"/>
    <m/>
    <m/>
    <s v="barcelona@calarca-quindio.gov.co"/>
    <n v="14"/>
    <d v="2026-09-08T00:00:00"/>
    <m/>
    <m/>
    <m/>
    <m/>
    <m/>
    <s v="ABIERTO EN TÉRMINOS"/>
    <m/>
    <m/>
  </r>
  <r>
    <s v="P-8264"/>
    <s v="3021/2026"/>
    <d v="2026-08-19T00:00:00"/>
    <x v="1"/>
    <x v="1"/>
    <s v="USUARIA REPORTA QUE HOY 19 DE AGOSTO EN LAS HORAS DE LA MAÑANA LA USUARIA DEJO LOS RESIDUOS AL LADO DE LA PUERTA Y CUANDO OBSERVO Y NO LE RECOGIERON LA BASURA Y A LOS OTROS PREDIOS SI LE RECOGIERON LA BASURA MENOS A ESTE PREDIO"/>
    <x v="0"/>
    <n v="311"/>
    <x v="2"/>
    <x v="2"/>
    <m/>
    <s v="IRENIS USECHE"/>
    <n v="1237241"/>
    <m/>
    <m/>
    <n v="14"/>
    <d v="2026-09-08T00:00:00"/>
    <m/>
    <m/>
    <m/>
    <m/>
    <m/>
    <s v="ABIERTO EN TÉRMINOS"/>
    <m/>
    <m/>
  </r>
  <r>
    <m/>
    <s v="3022/2026"/>
    <d v="2026-08-19T00:00:00"/>
    <x v="0"/>
    <x v="4"/>
    <s v="SOLICITUD DE VISITA Y REVISION DE FACTURA POR AUMENTO DEL RECIBO EN EL SECTOR DEL BARRIO LAURELES MZ 3 CASA 9 ETAPA 3"/>
    <x v="2"/>
    <n v="127"/>
    <x v="5"/>
    <x v="10"/>
    <m/>
    <s v="LUZ STELLA MORENO"/>
    <m/>
    <m/>
    <m/>
    <n v="14"/>
    <d v="2026-09-08T00:00:00"/>
    <m/>
    <m/>
    <m/>
    <m/>
    <m/>
    <s v="ABIERTO EN TÉRMINOS"/>
    <m/>
    <m/>
  </r>
  <r>
    <s v="R-1531"/>
    <s v="3023/2026"/>
    <d v="2026-08-19T00:00:00"/>
    <x v="1"/>
    <x v="5"/>
    <s v="USUARIA REPORTA AJUSTE DE CAMBIO DE CLASE DE USO DE COMERCIAL A RESIDENCIAL YA QUE EL LOCAL CUENTA CON SUS SERVICIOS INDEPENDIENTES"/>
    <x v="2"/>
    <n v="118"/>
    <x v="14"/>
    <x v="26"/>
    <m/>
    <s v="MARIELA CARDONA MARIELA"/>
    <n v="1252331"/>
    <n v="3206889243"/>
    <s v="NOOOO3"/>
    <n v="14"/>
    <d v="2026-09-08T00:00:00"/>
    <m/>
    <m/>
    <m/>
    <m/>
    <m/>
    <s v="ABIERTO EN TÉRMINOS"/>
    <m/>
    <m/>
  </r>
  <r>
    <m/>
    <s v="3024/2026"/>
    <d v="2026-08-19T00:00:00"/>
    <x v="0"/>
    <x v="1"/>
    <s v="NOTIFICACIÓN PREDIO DESOCUPADO BARRIO LAS COLINAS CLL 8 # 7-14"/>
    <x v="1"/>
    <n v="114"/>
    <x v="3"/>
    <x v="4"/>
    <m/>
    <s v="LUIS TREJOS LUIS"/>
    <m/>
    <m/>
    <m/>
    <n v="14"/>
    <d v="2026-09-08T00:00:00"/>
    <m/>
    <m/>
    <m/>
    <m/>
    <m/>
    <s v="ABIERTO EN TÉRMINOS"/>
    <m/>
    <m/>
  </r>
  <r>
    <m/>
    <s v="3025/2026"/>
    <d v="2026-08-20T00:00:00"/>
    <x v="0"/>
    <x v="1"/>
    <s v="SOLICITUD DE VISITA FINCA EL REMANSO POR COBRO DE SERVICIO DE RECOLECCÓN DE BASURA Y NO SE RECIBE DICHO SERVICIO UBICADA EN LA VEREDA LA ARGEL"/>
    <x v="2"/>
    <n v="105"/>
    <x v="19"/>
    <x v="46"/>
    <m/>
    <s v="LUIS ALBERTO LONDOÑO"/>
    <m/>
    <m/>
    <s v="idaho2817@hotmail.com"/>
    <n v="14"/>
    <d v="2026-09-08T00:00:00"/>
    <m/>
    <m/>
    <m/>
    <m/>
    <m/>
    <s v="ABIERTO EN TÉRMINOS"/>
    <m/>
    <m/>
  </r>
  <r>
    <m/>
    <s v="3026/2026"/>
    <d v="2026-08-20T00:00:00"/>
    <x v="4"/>
    <x v="5"/>
    <s v="SOLICITUD DE FACTURA DE AGOSTO CÓDIGO 1237217"/>
    <x v="1"/>
    <n v="503"/>
    <x v="4"/>
    <x v="31"/>
    <m/>
    <s v="LAZARO BEDOYA AGUIRRE"/>
    <n v="1237217"/>
    <m/>
    <m/>
    <n v="14"/>
    <d v="2026-09-09T00:00:00"/>
    <m/>
    <m/>
    <m/>
    <m/>
    <m/>
    <s v="ABIERTO EN TÉRMINOS"/>
    <m/>
    <m/>
  </r>
  <r>
    <s v="P-8265"/>
    <s v="3027/2026"/>
    <d v="2026-08-20T00:00:00"/>
    <x v="1"/>
    <x v="1"/>
    <s v="USUARIA REPORTA PREDIO DESOCUPADO"/>
    <x v="1"/>
    <n v="114"/>
    <x v="3"/>
    <x v="4"/>
    <m/>
    <s v="LUZ ADRIANA RODRIGUEZ"/>
    <n v="1133820"/>
    <m/>
    <m/>
    <n v="14"/>
    <d v="2026-09-09T00:00:00"/>
    <m/>
    <m/>
    <m/>
    <m/>
    <m/>
    <s v="ABIERTO EN TÉRMINOS"/>
    <m/>
    <m/>
  </r>
  <r>
    <m/>
    <s v="3028/2026"/>
    <d v="2026-08-20T00:00:00"/>
    <x v="1"/>
    <x v="2"/>
    <s v="ALUMBRADO PUBLICO USUARIO REPORTA LUMINARIAS APAGADAS EN EL POSTE 3063 EN LA CL 34A # 22 - 46"/>
    <x v="0"/>
    <n v="316"/>
    <x v="1"/>
    <x v="5"/>
    <m/>
    <s v="CARLOS ARTURO GAVIRIA ORTIZ"/>
    <n v="1022680"/>
    <m/>
    <s v="carlosgaviria1967@gmail.com"/>
    <n v="14"/>
    <d v="2026-09-09T00:00:00"/>
    <m/>
    <m/>
    <m/>
    <m/>
    <m/>
    <s v="ABIERTO EN TÉRMINOS"/>
    <m/>
    <m/>
  </r>
  <r>
    <s v="P-8266"/>
    <s v="3029/2026"/>
    <d v="2026-08-20T00:00:00"/>
    <x v="1"/>
    <x v="1"/>
    <s v="USUARIO REPORTA PREDIO DESOCUPADO"/>
    <x v="1"/>
    <n v="114"/>
    <x v="3"/>
    <x v="4"/>
    <m/>
    <s v="CARLOS AUGUSTO HOLGUIN"/>
    <n v="1010540"/>
    <m/>
    <m/>
    <n v="14"/>
    <d v="2026-09-09T00:00:00"/>
    <m/>
    <m/>
    <m/>
    <m/>
    <m/>
    <s v="ABIERTO EN TÉRMINOS"/>
    <m/>
    <m/>
  </r>
  <r>
    <s v="P-8267"/>
    <s v="3030/2026"/>
    <d v="2026-08-20T00:00:00"/>
    <x v="1"/>
    <x v="0"/>
    <s v="USUARIA SOLICITA CAMBIO DE LLAVE DE PASO"/>
    <x v="0"/>
    <n v="316"/>
    <x v="1"/>
    <x v="1"/>
    <m/>
    <s v="JHON JAIRO GONZALEZ"/>
    <n v="1251719"/>
    <m/>
    <m/>
    <n v="14"/>
    <d v="2026-09-09T00:00:00"/>
    <m/>
    <m/>
    <m/>
    <m/>
    <m/>
    <s v="ABIERTO EN TÉRMINOS"/>
    <m/>
    <m/>
  </r>
  <r>
    <s v="P-8268"/>
    <s v="3031/2026"/>
    <d v="2026-08-20T00:00:00"/>
    <x v="1"/>
    <x v="1"/>
    <s v="USUARIO REPORTA PREDIO DESOCUPADO"/>
    <x v="1"/>
    <n v="114"/>
    <x v="3"/>
    <x v="4"/>
    <m/>
    <s v="CARLOS ANDRES FORERO QUINTERO"/>
    <n v="1240798"/>
    <m/>
    <s v="N"/>
    <n v="14"/>
    <d v="2026-09-09T00:00:00"/>
    <m/>
    <m/>
    <m/>
    <m/>
    <m/>
    <s v="ABIERTO EN TÉRMINOS"/>
    <m/>
    <m/>
  </r>
  <r>
    <s v="P-8269"/>
    <s v="3032/2026"/>
    <d v="2026-08-20T00:00:00"/>
    <x v="1"/>
    <x v="1"/>
    <s v="USUARIA REPORTA PREDIO DESOCUPADO"/>
    <x v="1"/>
    <n v="114"/>
    <x v="3"/>
    <x v="4"/>
    <m/>
    <s v="DELIA MARIA ACOSTA ROSERO"/>
    <n v="1226822"/>
    <m/>
    <s v="S"/>
    <n v="14"/>
    <d v="2026-09-09T00:00:00"/>
    <m/>
    <m/>
    <m/>
    <m/>
    <m/>
    <s v="ABIERTO EN TÉRMINOS"/>
    <m/>
    <m/>
  </r>
  <r>
    <s v="P-8270"/>
    <s v="3033/2026"/>
    <d v="2026-08-20T00:00:00"/>
    <x v="1"/>
    <x v="3"/>
    <s v="USUARIO REPORTA DAÑO DE RED DE ALCANTARILLADO YA QUE POR DETRAS DE ESTE PREDIO PASA UNA RED DE ALCANTARILLADO DONDE SE ROMPIO UN TUBO Y TODA LAS AGUAS NEGRAS CAEN POR DONDE PASA UNA QUEBRADA YA ESTA GENERANDO MALOS OLORES Y ESTA EFECTANDO A LA COMUNIDAD"/>
    <x v="0"/>
    <n v="316"/>
    <x v="1"/>
    <x v="8"/>
    <m/>
    <s v="RAFAEL ORLANDO REYES"/>
    <n v="1222840"/>
    <m/>
    <m/>
    <n v="14"/>
    <d v="2026-09-09T00:00:00"/>
    <m/>
    <m/>
    <m/>
    <m/>
    <m/>
    <s v="ABIERTO EN TÉRMINOS"/>
    <m/>
    <m/>
  </r>
  <r>
    <s v="R-1532"/>
    <s v="3034/2026"/>
    <d v="2026-08-20T00:00:00"/>
    <x v="1"/>
    <x v="4"/>
    <s v="USUARIO REPORTA INCONFORMIDAD CON EL CONSUMO DE LA FACTURA DEL MES DE JULIO YA QUE INCREMENTO BASTANTE EL CONSUMO EL USUARIO MANIFIESTA QUE EL PREDIO NO LO HABITA NADIE SOLO SE USA PARA BODEGA LLAMAR ANTES DE IR"/>
    <x v="2"/>
    <n v="127"/>
    <x v="5"/>
    <x v="10"/>
    <m/>
    <s v="CARLOS AUGUSTO HOLGUIN"/>
    <n v="1010540"/>
    <n v="3147854207"/>
    <m/>
    <n v="14"/>
    <d v="2026-09-09T00:00:00"/>
    <m/>
    <m/>
    <m/>
    <m/>
    <m/>
    <s v="ABIERTO EN TÉRMINOS"/>
    <m/>
    <m/>
  </r>
  <r>
    <s v="P-8272"/>
    <s v="3035/2026"/>
    <d v="2026-08-20T00:00:00"/>
    <x v="1"/>
    <x v="1"/>
    <s v="USUARIA REPORTA PREDIO DESOCUPADO"/>
    <x v="1"/>
    <n v="114"/>
    <x v="3"/>
    <x v="4"/>
    <m/>
    <s v="MARYORI RIAÑO SALGADO"/>
    <n v="1254553"/>
    <m/>
    <m/>
    <n v="14"/>
    <d v="2026-09-09T00:00:00"/>
    <m/>
    <m/>
    <m/>
    <m/>
    <m/>
    <s v="ABIERTO EN TÉRMINOS"/>
    <m/>
    <m/>
  </r>
  <r>
    <s v="P-8273"/>
    <s v="3036/2026"/>
    <d v="2026-08-20T00:00:00"/>
    <x v="1"/>
    <x v="1"/>
    <s v="USUARIA REPORTA PREDIO DESOCUPADO LLAMAR ANTES DE IR YA QUE VIVE EN LA TEBIADA"/>
    <x v="1"/>
    <n v="114"/>
    <x v="3"/>
    <x v="4"/>
    <m/>
    <s v="LILIANA NIÑO MORALES"/>
    <n v="1053620"/>
    <n v="3045236279"/>
    <s v="LILOLA2@YAHOO.COM"/>
    <n v="14"/>
    <d v="2026-09-09T00:00:00"/>
    <m/>
    <m/>
    <m/>
    <m/>
    <m/>
    <s v="ABIERTO EN TÉRMINOS"/>
    <m/>
    <m/>
  </r>
  <r>
    <s v="P-8274"/>
    <s v="3037/2026"/>
    <d v="2026-08-20T00:00:00"/>
    <x v="1"/>
    <x v="1"/>
    <s v="USUARIA REPORTA PREDIO DESOCUPADO LLAMAR ANTES DE IR YA QUE VIVE EN LA TEBIADA"/>
    <x v="1"/>
    <n v="114"/>
    <x v="3"/>
    <x v="4"/>
    <m/>
    <s v="LILIANA NIÑO MORALES"/>
    <n v="1053760"/>
    <n v="3045236279"/>
    <s v="LILOLA2@YAHOO.COM"/>
    <n v="14"/>
    <d v="2026-09-09T00:00:00"/>
    <m/>
    <m/>
    <m/>
    <m/>
    <m/>
    <s v="ABIERTO EN TÉRMINOS"/>
    <m/>
    <m/>
  </r>
  <r>
    <m/>
    <s v="3038/2026"/>
    <d v="2026-08-20T00:00:00"/>
    <x v="0"/>
    <x v="5"/>
    <s v="SOLICITUD LEVANTAMIENTO RESTRICCIÓN DEL PREDIO EN VERACRUZ MZ 14 CASA 2 PISO 2"/>
    <x v="1"/>
    <n v="503"/>
    <x v="4"/>
    <x v="47"/>
    <m/>
    <s v="JOSE ISRAEL BELTRAN TOVAR"/>
    <m/>
    <m/>
    <m/>
    <n v="14"/>
    <d v="2026-09-09T00:00:00"/>
    <m/>
    <m/>
    <m/>
    <m/>
    <m/>
    <s v="ABIERTO EN TÉRMINOS"/>
    <m/>
    <m/>
  </r>
  <r>
    <s v="P-8275"/>
    <s v="3039/2026"/>
    <d v="2026-08-20T00:00:00"/>
    <x v="1"/>
    <x v="0"/>
    <s v="USUARIO REPORTA DEFICIENCIA DE PRESION EN EL PREDIO"/>
    <x v="0"/>
    <n v="304"/>
    <x v="0"/>
    <x v="0"/>
    <m/>
    <s v="JOAN SEBASTIAN MARTINEZ"/>
    <n v="1140040"/>
    <n v="3206723550"/>
    <m/>
    <n v="14"/>
    <d v="2026-09-09T00:00:00"/>
    <m/>
    <m/>
    <m/>
    <m/>
    <m/>
    <s v="ABIERTO EN TÉRMINOS"/>
    <m/>
    <m/>
  </r>
  <r>
    <m/>
    <s v="3040/2026"/>
    <d v="2026-08-20T00:00:00"/>
    <x v="1"/>
    <x v="4"/>
    <s v="SOLICITUD DE VISITA TÉCNICA Y REVISIÓN POR FUGA DE AGUA EN EL CRA 25 # 32-32"/>
    <x v="1"/>
    <n v="506"/>
    <x v="17"/>
    <x v="34"/>
    <m/>
    <s v="GLORIA GONZÁLEZ ARBELÁEZ"/>
    <m/>
    <m/>
    <s v="glogoa7@gmail.com"/>
    <n v="14"/>
    <d v="2026-09-09T00:00:00"/>
    <m/>
    <m/>
    <m/>
    <m/>
    <m/>
    <s v="ABIERTO EN TÉRMINOS"/>
    <m/>
    <m/>
  </r>
  <r>
    <m/>
    <s v="3041/2026"/>
    <d v="2026-08-20T00:00:00"/>
    <x v="0"/>
    <x v="6"/>
    <s v="SOLICITUD DE AUTORIZACIÓN PARA ADECUACIONES EN EL LOCAL COMERCIAL No. 121 Y 122"/>
    <x v="1"/>
    <n v="503"/>
    <x v="4"/>
    <x v="48"/>
    <m/>
    <s v="ANGIE VALENTINA REYES AGUIRRE"/>
    <m/>
    <m/>
    <s v="areyesaguirre0816@gmail.com"/>
    <n v="14"/>
    <d v="2026-09-09T00:00:00"/>
    <m/>
    <m/>
    <m/>
    <m/>
    <m/>
    <s v="ABIERTO EN TÉRMINOS"/>
    <m/>
    <m/>
  </r>
  <r>
    <m/>
    <s v="3042/2026"/>
    <d v="2026-08-20T00:00:00"/>
    <x v="4"/>
    <x v="5"/>
    <s v="SOLICITUD DE FACTURAS MES DE AGOSTO"/>
    <x v="1"/>
    <n v="503"/>
    <x v="4"/>
    <x v="31"/>
    <m/>
    <s v="ALCALDIA CALARCÁ"/>
    <m/>
    <m/>
    <s v="alcalde@calarca-quindio.gov.co"/>
    <n v="14"/>
    <d v="2026-09-09T00:00:00"/>
    <m/>
    <m/>
    <m/>
    <m/>
    <m/>
    <s v="ABIERTO EN TÉRMINOS"/>
    <m/>
    <m/>
  </r>
  <r>
    <s v="P-8276"/>
    <s v="3043/2026"/>
    <d v="2026-08-21T00:00:00"/>
    <x v="1"/>
    <x v="3"/>
    <s v="8276 USUARIA SOLICITA LIMPIA DE LOS SUMIDEROS DEL SECTOR YA QUE ESTAN TAPADOS"/>
    <x v="0"/>
    <n v="316"/>
    <x v="1"/>
    <x v="32"/>
    <m/>
    <s v="BLANCA CIELO RUIZ"/>
    <n v="1116940"/>
    <n v="3137842214"/>
    <m/>
    <n v="14"/>
    <d v="2026-09-09T00:00:00"/>
    <m/>
    <m/>
    <m/>
    <m/>
    <m/>
    <s v="ABIERTO EN TÉRMINOS"/>
    <m/>
    <m/>
  </r>
  <r>
    <m/>
    <s v="3044/2026"/>
    <d v="2026-08-21T00:00:00"/>
    <x v="1"/>
    <x v="2"/>
    <s v="USUARIO REPORTA LUMINARIA APAGADA EN EL POSTE QUE ESTA ALFRENTE DE LA CARRERA 20 # 36 - 60"/>
    <x v="0"/>
    <n v="316"/>
    <x v="1"/>
    <x v="5"/>
    <m/>
    <s v="ERIBERTO QUINTERO"/>
    <n v="1014100"/>
    <n v="3117877588"/>
    <m/>
    <n v="14"/>
    <d v="2026-09-10T00:00:00"/>
    <m/>
    <m/>
    <m/>
    <m/>
    <m/>
    <s v="ABIERTO EN TÉRMINOS"/>
    <m/>
    <m/>
  </r>
  <r>
    <m/>
    <s v="3045/2026"/>
    <d v="2026-08-21T00:00:00"/>
    <x v="4"/>
    <x v="5"/>
    <s v="SOLICITUD DUPLICADO DE FACTURA CÓDIGO 1250889 TOTTO -DE 1-1254079 -DOLLARCITY-1254752"/>
    <x v="1"/>
    <n v="503"/>
    <x v="4"/>
    <x v="31"/>
    <m/>
    <s v="YIRLEY LOAIZA ANALISTA DE GESTIÓN"/>
    <m/>
    <m/>
    <s v="yloaiza@energymaster.co"/>
    <n v="14"/>
    <d v="2026-09-10T00:00:00"/>
    <m/>
    <m/>
    <m/>
    <m/>
    <m/>
    <s v="ABIERTO EN TÉRMINOS"/>
    <m/>
    <m/>
  </r>
  <r>
    <s v="P-8277"/>
    <s v="3046/2026"/>
    <d v="2026-08-21T00:00:00"/>
    <x v="1"/>
    <x v="1"/>
    <s v="USUARIO REPORTA PREDIO DESOCUPADO"/>
    <x v="1"/>
    <n v="114"/>
    <x v="3"/>
    <x v="4"/>
    <m/>
    <s v="EDILBERTO RODRIGUEZ"/>
    <n v="1188900"/>
    <m/>
    <m/>
    <n v="14"/>
    <d v="2026-09-10T00:00:00"/>
    <m/>
    <m/>
    <m/>
    <m/>
    <m/>
    <s v="ABIERTO EN TÉRMINOS"/>
    <m/>
    <m/>
  </r>
  <r>
    <s v="P-8278"/>
    <s v="3047/2026"/>
    <d v="2026-08-21T00:00:00"/>
    <x v="1"/>
    <x v="4"/>
    <s v="USUARIO REPORTA FUGA EN LA RED DOMICILIARIA DONDE MISMO SE REPARO EL DAÑO HACE DOS MESES"/>
    <x v="0"/>
    <n v="316"/>
    <x v="1"/>
    <x v="20"/>
    <m/>
    <s v="JHON CARDONA"/>
    <n v="1238864"/>
    <n v="3144341897"/>
    <m/>
    <n v="14"/>
    <d v="2026-09-10T00:00:00"/>
    <m/>
    <m/>
    <m/>
    <m/>
    <m/>
    <s v="ABIERTO EN TÉRMINOS"/>
    <m/>
    <m/>
  </r>
  <r>
    <m/>
    <s v="3048/2026"/>
    <d v="2026-08-21T00:00:00"/>
    <x v="1"/>
    <x v="1"/>
    <s v="USUARIO SOLICITA QUE RECOJAN UNA BASE CAMA Y MADERA QUE YA ESTA EMPACADA EN UNA ESTOPA LA DIRECCION CL 35 # 21 - 14 B/ SIMON BOLIVAR"/>
    <x v="1"/>
    <n v="503"/>
    <x v="4"/>
    <x v="6"/>
    <m/>
    <s v="JOHN JAIRO SUAREZ SALAZAR"/>
    <n v="1254248"/>
    <n v="3202244185"/>
    <m/>
    <n v="14"/>
    <d v="2026-09-10T00:00:00"/>
    <m/>
    <m/>
    <m/>
    <m/>
    <m/>
    <s v="ABIERTO EN TÉRMINOS"/>
    <m/>
    <m/>
  </r>
  <r>
    <s v="P-8279"/>
    <s v="3049/2026"/>
    <d v="2026-08-21T00:00:00"/>
    <x v="1"/>
    <x v="0"/>
    <s v="USUARIA REPORTA DEFICIENCIA DE PRESION YA QUE LLEGA MUY POCA AGUA AL SEGUNDO PISO"/>
    <x v="0"/>
    <n v="304"/>
    <x v="0"/>
    <x v="0"/>
    <m/>
    <s v="MARIA RUBIELA HOYOS"/>
    <n v="1240782"/>
    <n v="3115788384"/>
    <m/>
    <n v="14"/>
    <d v="2026-09-10T00:00:00"/>
    <m/>
    <m/>
    <m/>
    <m/>
    <m/>
    <s v="ABIERTO EN TÉRMINOS"/>
    <m/>
    <m/>
  </r>
  <r>
    <s v="P-8280"/>
    <s v="3050/2026"/>
    <d v="2026-08-21T00:00:00"/>
    <x v="3"/>
    <x v="4"/>
    <s v="USUARIO REPORTA FUGA ACOMETIDA"/>
    <x v="0"/>
    <n v="316"/>
    <x v="1"/>
    <x v="20"/>
    <m/>
    <s v="ANA ROSA COBALEDA"/>
    <n v="1250904"/>
    <n v="3128557615"/>
    <m/>
    <n v="14"/>
    <d v="2026-09-10T00:00:00"/>
    <m/>
    <m/>
    <m/>
    <m/>
    <m/>
    <s v="ABIERTO EN TÉRMINOS"/>
    <m/>
    <m/>
  </r>
  <r>
    <m/>
    <s v="3051/2026"/>
    <d v="2026-08-21T00:00:00"/>
    <x v="1"/>
    <x v="1"/>
    <s v="USUARIO SOLICITA QUE RECOJAN 2 COLCHONES EN LA DIRECCION VERACRUZ MZ 25 # 4"/>
    <x v="1"/>
    <n v="503"/>
    <x v="4"/>
    <x v="6"/>
    <m/>
    <s v="JUAN JOSE MORENO VELASQUEZ"/>
    <m/>
    <n v="3148835093"/>
    <m/>
    <n v="14"/>
    <d v="2026-09-10T00:00:00"/>
    <m/>
    <m/>
    <m/>
    <m/>
    <m/>
    <s v="ABIERTO EN TÉRMINOS"/>
    <m/>
    <m/>
  </r>
  <r>
    <s v="R-1533"/>
    <s v="3052/2026"/>
    <d v="2026-08-21T00:00:00"/>
    <x v="1"/>
    <x v="4"/>
    <s v="1533 INCONFORMIDAD CON EL CONSUMO FACTURADO EN EL ULTIMO PERIODO"/>
    <x v="2"/>
    <n v="127"/>
    <x v="5"/>
    <x v="10"/>
    <m/>
    <s v="RAMIRO GOMEZ GOMEZ"/>
    <n v="1016080"/>
    <m/>
    <m/>
    <n v="14"/>
    <d v="2026-09-10T00:00:00"/>
    <m/>
    <m/>
    <m/>
    <m/>
    <m/>
    <s v="ABIERTO EN TÉRMINOS"/>
    <m/>
    <m/>
  </r>
  <r>
    <m/>
    <s v="3053/2026"/>
    <d v="2026-08-21T00:00:00"/>
    <x v="0"/>
    <x v="4"/>
    <s v="DERECHO DE PETICIÓN Y RECLAMACIÓN POR INCREMENTO INUSUAL EN LE COBRO DEL SERVICIO DE ACUEDUCTO INMUEBLE UBICADO AV. CACIQUE 41-56 APTO 304"/>
    <x v="2"/>
    <n v="127"/>
    <x v="5"/>
    <x v="10"/>
    <m/>
    <s v="ALBA YOHAIDY MENA FIGUEROA"/>
    <m/>
    <m/>
    <m/>
    <n v="14"/>
    <d v="2026-09-10T00:00:00"/>
    <m/>
    <m/>
    <m/>
    <m/>
    <m/>
    <s v="ABIERTO EN TÉRMINOS"/>
    <m/>
    <m/>
  </r>
  <r>
    <s v="P-8281"/>
    <s v="3054/2026"/>
    <d v="2026-08-21T00:00:00"/>
    <x v="1"/>
    <x v="1"/>
    <s v="USUARIO REPORTA PREDIO DESOCUPADO"/>
    <x v="1"/>
    <n v="114"/>
    <x v="3"/>
    <x v="4"/>
    <m/>
    <s v="GONZALO HERRERA CASTELLANOS"/>
    <n v="1135660"/>
    <m/>
    <m/>
    <n v="14"/>
    <d v="2026-09-10T00:00:00"/>
    <m/>
    <m/>
    <m/>
    <m/>
    <m/>
    <s v="ABIERTO EN TÉRMINOS"/>
    <m/>
    <m/>
  </r>
  <r>
    <m/>
    <s v="3055/2026"/>
    <d v="2026-08-21T00:00:00"/>
    <x v="0"/>
    <x v="4"/>
    <s v="SOLICITUD DE REVISIÓN Y ACLARACIÓN DE COBROS DURANTE PERIODOS SIN CONSUMO DEL SERVICIO EN EL INMUEBLE DE LA URBANIZACIÓN ASOMECA MZ C CASA 1 ETAPA 3"/>
    <x v="2"/>
    <n v="119"/>
    <x v="6"/>
    <x v="11"/>
    <m/>
    <s v="ALAIS SEBASTIÁN CUELLO AGUDELO"/>
    <m/>
    <m/>
    <m/>
    <n v="14"/>
    <d v="2026-09-10T00:00:00"/>
    <m/>
    <m/>
    <m/>
    <m/>
    <m/>
    <s v="ABIERTO EN TÉRMINOS"/>
    <m/>
    <m/>
  </r>
  <r>
    <s v="P-8282"/>
    <s v="3056/2026"/>
    <d v="2026-08-21T00:00:00"/>
    <x v="1"/>
    <x v="3"/>
    <s v="USUARIO REPORTA DAÑO EN LA RED DE ALCANTARILLADO"/>
    <x v="0"/>
    <n v="316"/>
    <x v="1"/>
    <x v="8"/>
    <m/>
    <s v="JAIME VALENCIA"/>
    <n v="1203060"/>
    <n v="3194897155"/>
    <m/>
    <n v="14"/>
    <d v="2026-09-10T00:00:00"/>
    <m/>
    <m/>
    <m/>
    <m/>
    <m/>
    <s v="ABIERTO EN TÉRMINOS"/>
    <m/>
    <m/>
  </r>
  <r>
    <s v="P-8283"/>
    <s v="3057/2026"/>
    <d v="2026-08-21T00:00:00"/>
    <x v="1"/>
    <x v="1"/>
    <s v="USUARIO REPORTA PREDIO DESOCUPADO POR EVACUACION DEL EDIFICIO"/>
    <x v="1"/>
    <n v="114"/>
    <x v="3"/>
    <x v="4"/>
    <m/>
    <s v="MUÑOZ ARNOBY AGUIRRE"/>
    <n v="1206500"/>
    <m/>
    <m/>
    <n v="14"/>
    <d v="2026-09-10T00:00:00"/>
    <m/>
    <m/>
    <m/>
    <m/>
    <m/>
    <s v="ABIERTO EN TÉRMINOS"/>
    <m/>
    <m/>
  </r>
  <r>
    <s v="P-8284"/>
    <s v="3058/2026"/>
    <d v="2026-08-21T00:00:00"/>
    <x v="1"/>
    <x v="1"/>
    <s v="USUARIO REPORTA PREDIO DESOCUPADO POR EVACUACION DEL EDIFICIO"/>
    <x v="1"/>
    <n v="114"/>
    <x v="3"/>
    <x v="4"/>
    <m/>
    <s v="JOSE ALEXANDER QUITIANO"/>
    <n v="1206560"/>
    <n v="3175198925"/>
    <m/>
    <n v="14"/>
    <d v="2026-09-10T00:00:00"/>
    <m/>
    <m/>
    <m/>
    <m/>
    <m/>
    <s v="ABIERTO EN TÉRMINOS"/>
    <m/>
    <m/>
  </r>
  <r>
    <s v="P-8285"/>
    <s v="3059/2026"/>
    <d v="2026-08-21T00:00:00"/>
    <x v="1"/>
    <x v="1"/>
    <s v="USUARIO REPORTA PREDIO DESOCUPADO POR EVACUACION DEL EDIFICIO"/>
    <x v="1"/>
    <n v="114"/>
    <x v="3"/>
    <x v="4"/>
    <m/>
    <s v="JOSE ALEXANDER QUITIANO"/>
    <n v="1206600"/>
    <n v="3175198925"/>
    <m/>
    <n v="14"/>
    <d v="2026-09-10T00:00:00"/>
    <m/>
    <m/>
    <m/>
    <m/>
    <m/>
    <s v="ABIERTO EN TÉRMINOS"/>
    <m/>
    <m/>
  </r>
  <r>
    <s v="P-8286"/>
    <s v="3060/2026"/>
    <d v="2026-08-21T00:00:00"/>
    <x v="1"/>
    <x v="1"/>
    <s v="USUARIA REPORTA PREDIO DESOCUPADO POR EVACUACION DEL EDIFICIO"/>
    <x v="1"/>
    <n v="114"/>
    <x v="3"/>
    <x v="4"/>
    <m/>
    <s v="BEATRIZ OFELIA PEREZ BONETH"/>
    <n v="1206420"/>
    <m/>
    <m/>
    <n v="14"/>
    <d v="2026-09-10T00:00:00"/>
    <m/>
    <m/>
    <m/>
    <m/>
    <m/>
    <s v="ABIERTO EN TÉRMINOS"/>
    <m/>
    <m/>
  </r>
  <r>
    <s v="P-8287"/>
    <s v="3061/2026"/>
    <d v="2026-08-21T00:00:00"/>
    <x v="1"/>
    <x v="1"/>
    <s v="USUARIO REPORTA PREDIO DESOCUPADO"/>
    <x v="1"/>
    <n v="114"/>
    <x v="3"/>
    <x v="4"/>
    <m/>
    <s v="LUZ ESPERANZA ARBELAEZ ATEHORTUA"/>
    <n v="1206640"/>
    <n v="3007972032"/>
    <m/>
    <n v="14"/>
    <d v="2026-09-10T00:00:00"/>
    <m/>
    <m/>
    <m/>
    <m/>
    <m/>
    <s v="ABIERTO EN TÉRMINOS"/>
    <m/>
    <m/>
  </r>
  <r>
    <s v="P-8288"/>
    <s v="3062/2026"/>
    <d v="2026-08-21T00:00:00"/>
    <x v="1"/>
    <x v="1"/>
    <s v="USUARIO REPORTA PREDIO DESOCUPADO"/>
    <x v="1"/>
    <n v="114"/>
    <x v="3"/>
    <x v="4"/>
    <m/>
    <s v="DIEGO GALLEGO MEJIA"/>
    <n v="1188000"/>
    <n v="3103902775"/>
    <m/>
    <n v="14"/>
    <d v="2026-09-10T00:00:00"/>
    <m/>
    <m/>
    <m/>
    <m/>
    <m/>
    <s v="ABIERTO EN TÉRMINOS"/>
    <m/>
    <m/>
  </r>
  <r>
    <m/>
    <s v="3063/2026"/>
    <d v="2026-08-21T00:00:00"/>
    <x v="0"/>
    <x v="3"/>
    <s v="SOLICITUD DE VISITA PARA REVISIÓN DE ALCANTARILLADO BARRIO JARDIN CRA 35 # 21-31"/>
    <x v="0"/>
    <n v="316"/>
    <x v="1"/>
    <x v="9"/>
    <m/>
    <s v="LUDIVIA MORALES HOLGUIN"/>
    <m/>
    <m/>
    <m/>
    <n v="14"/>
    <d v="2026-09-10T00:00:00"/>
    <m/>
    <m/>
    <m/>
    <m/>
    <m/>
    <s v="ABIERTO EN TÉRMINOS"/>
    <m/>
    <m/>
  </r>
  <r>
    <s v="P-8289"/>
    <s v="3064/2026"/>
    <d v="2026-08-21T00:00:00"/>
    <x v="1"/>
    <x v="0"/>
    <s v="USUARIO SOLICITA CAMBIO DE LLAVE DE PASO"/>
    <x v="0"/>
    <n v="316"/>
    <x v="1"/>
    <x v="1"/>
    <m/>
    <s v="OLMED MARIN VALENCIA"/>
    <n v="1145540"/>
    <n v="3142869829"/>
    <m/>
    <n v="14"/>
    <d v="2026-09-10T00:00:00"/>
    <m/>
    <m/>
    <m/>
    <m/>
    <m/>
    <s v="ABIERTO EN TÉRMINOS"/>
    <m/>
    <m/>
  </r>
  <r>
    <s v="P-8290"/>
    <s v="3065/2026"/>
    <d v="2026-08-21T00:00:00"/>
    <x v="1"/>
    <x v="1"/>
    <s v="USUARIO REPORTA PREDIO DESOCUPADO"/>
    <x v="1"/>
    <n v="114"/>
    <x v="3"/>
    <x v="4"/>
    <m/>
    <s v="FANNY RIOS MUÑOZ"/>
    <n v="1206660"/>
    <n v="3202633164"/>
    <m/>
    <n v="14"/>
    <d v="2026-09-10T00:00:00"/>
    <m/>
    <m/>
    <m/>
    <m/>
    <m/>
    <s v="ABIERTO EN TÉRMINOS"/>
    <m/>
    <m/>
  </r>
  <r>
    <s v="P-8291"/>
    <s v="3066/2026"/>
    <d v="2026-08-21T00:00:00"/>
    <x v="1"/>
    <x v="1"/>
    <s v="USUARIO REPORTA PREDIO DESOCUPADO"/>
    <x v="1"/>
    <n v="114"/>
    <x v="3"/>
    <x v="4"/>
    <m/>
    <s v="OMAIRA RIVERA BERNAL"/>
    <n v="1206620"/>
    <n v="3116080505"/>
    <m/>
    <n v="14"/>
    <d v="2026-09-10T00:00:00"/>
    <m/>
    <m/>
    <m/>
    <m/>
    <m/>
    <s v="ABIERTO EN TÉRMINOS"/>
    <m/>
    <m/>
  </r>
  <r>
    <s v="P-8292"/>
    <s v="3067/2026"/>
    <d v="2026-08-21T00:00:00"/>
    <x v="1"/>
    <x v="1"/>
    <s v="USUARIO REPORTA PREDIO DESOCUPADO"/>
    <x v="1"/>
    <n v="114"/>
    <x v="3"/>
    <x v="4"/>
    <m/>
    <s v="OMAIRA RIVERA BERNAL"/>
    <n v="1206540"/>
    <n v="3116080505"/>
    <m/>
    <n v="14"/>
    <d v="2026-09-10T00:00:00"/>
    <m/>
    <m/>
    <m/>
    <m/>
    <m/>
    <s v="ABIERTO EN TÉRMINOS"/>
    <m/>
    <m/>
  </r>
  <r>
    <s v="P-8293"/>
    <s v="3068/2026"/>
    <d v="2026-08-21T00:00:00"/>
    <x v="1"/>
    <x v="1"/>
    <s v="USUARIO REPORTA PREDIO DESOCUPADO"/>
    <x v="1"/>
    <n v="114"/>
    <x v="3"/>
    <x v="4"/>
    <m/>
    <s v="OMAIRA RIVERA BERNAL"/>
    <n v="1206400"/>
    <n v="3116080505"/>
    <m/>
    <n v="14"/>
    <d v="2026-09-10T00:00:00"/>
    <m/>
    <m/>
    <m/>
    <m/>
    <m/>
    <s v="ABIERTO EN TÉRMINOS"/>
    <m/>
    <m/>
  </r>
  <r>
    <s v="P-8294"/>
    <s v="3069/2026"/>
    <d v="2026-08-21T00:00:00"/>
    <x v="1"/>
    <x v="0"/>
    <s v="USUARIA REPORTA DEFICIENCIA DE PRESION YA QUE LLEGA MUY POCA AGUA AL PREDIO"/>
    <x v="0"/>
    <n v="304"/>
    <x v="0"/>
    <x v="0"/>
    <m/>
    <s v="ELIZABETH ZAPATA GOMEZ"/>
    <n v="1250332"/>
    <n v="3233587462"/>
    <m/>
    <n v="14"/>
    <d v="2026-09-10T00:00:00"/>
    <m/>
    <m/>
    <m/>
    <m/>
    <m/>
    <s v="ABIERTO EN TÉRMINOS"/>
    <m/>
    <m/>
  </r>
  <r>
    <m/>
    <s v="3070/2026"/>
    <d v="2026-08-21T00:00:00"/>
    <x v="0"/>
    <x v="4"/>
    <s v="RECLAMO POR ALTO COSTO DE RECIBO DE ACUEDUCTO POR DAÑO INVISIBLE BARRIO EL CACIQUE No. 41-48"/>
    <x v="2"/>
    <n v="127"/>
    <x v="5"/>
    <x v="10"/>
    <m/>
    <s v="ALFONSO LÓPEZ AGUIRRE"/>
    <m/>
    <m/>
    <m/>
    <n v="14"/>
    <d v="2026-09-10T00:00:00"/>
    <m/>
    <m/>
    <m/>
    <m/>
    <m/>
    <s v="ABIERTO EN TÉRMINOS"/>
    <m/>
    <m/>
  </r>
  <r>
    <m/>
    <s v="3071/2026"/>
    <d v="2026-08-21T00:00:00"/>
    <x v="0"/>
    <x v="3"/>
    <s v="AUTORIZACIÓN PARA CAMBIO DE ALCANTARILLADO DEL INMUEBLE DEL BARRIO PORVENIR CLL 12A # 9-03 BARCELONA"/>
    <x v="0"/>
    <n v="316"/>
    <x v="1"/>
    <x v="42"/>
    <m/>
    <s v="MARTHA INÉS SANCHEZ"/>
    <m/>
    <m/>
    <m/>
    <n v="14"/>
    <d v="2026-09-10T00:00:00"/>
    <m/>
    <m/>
    <m/>
    <m/>
    <m/>
    <s v="ABIERTO EN TÉRMINOS"/>
    <m/>
    <m/>
  </r>
  <r>
    <s v="P-8295"/>
    <s v="3072/2026"/>
    <d v="2026-08-21T00:00:00"/>
    <x v="1"/>
    <x v="0"/>
    <s v="USUARIA REPORTA DEFICIENCIA DE PRESION YA QUE LLEGA MUY POCA AGUA AL PREDIO"/>
    <x v="0"/>
    <n v="304"/>
    <x v="0"/>
    <x v="0"/>
    <m/>
    <s v="JULIA SANCHEZ CONTRERAS"/>
    <n v="1139880"/>
    <n v="3127791140"/>
    <m/>
    <n v="14"/>
    <d v="2026-09-10T00:00:00"/>
    <m/>
    <m/>
    <m/>
    <m/>
    <m/>
    <s v="ABIERTO EN TÉRMINOS"/>
    <m/>
    <m/>
  </r>
  <r>
    <s v="P-8298"/>
    <s v="3073/2026"/>
    <d v="2026-08-21T00:00:00"/>
    <x v="1"/>
    <x v="0"/>
    <s v="USUARIA SOLICITA CAMBIO DE LA LLAVE DE PASO"/>
    <x v="0"/>
    <n v="316"/>
    <x v="1"/>
    <x v="1"/>
    <m/>
    <s v="CLAUDIA USAQUEN"/>
    <n v="1179286"/>
    <n v="3172704330"/>
    <m/>
    <n v="14"/>
    <d v="2026-09-10T00:00:00"/>
    <m/>
    <m/>
    <m/>
    <m/>
    <m/>
    <s v="ABIERTO EN TÉRMINOS"/>
    <m/>
    <m/>
  </r>
  <r>
    <s v="P-8296"/>
    <s v="3074/2026"/>
    <d v="2026-08-21T00:00:00"/>
    <x v="1"/>
    <x v="1"/>
    <s v="USUARIO REPORTA QUE NO SE EFECTUA BARRIDO MANUAL YA QUE HACE TIEMPO NO SE EFECTUA EL BARRIDO POR ESE SECTOR"/>
    <x v="0"/>
    <n v="310"/>
    <x v="11"/>
    <x v="19"/>
    <m/>
    <s v="JHON EIMAR GARCIA"/>
    <n v="1240416"/>
    <n v="3024329932"/>
    <m/>
    <n v="14"/>
    <d v="2026-09-10T00:00:00"/>
    <m/>
    <m/>
    <m/>
    <m/>
    <m/>
    <s v="ABIERTO EN TÉRMINOS"/>
    <m/>
    <m/>
  </r>
  <r>
    <m/>
    <s v="3075/2026"/>
    <d v="2026-08-21T00:00:00"/>
    <x v="1"/>
    <x v="2"/>
    <s v="USUARIO REPORTA LUMINARIA QUE SE ENCUENTRA TODO EL DIA ENCENDIDA EN LA DIRECCION LLANITOS PILOTO MZ.16B # 22 EN TODA LA MITAD DE LA CUADRA"/>
    <x v="0"/>
    <n v="316"/>
    <x v="1"/>
    <x v="49"/>
    <m/>
    <s v="JHON EIMAR GARCIA"/>
    <m/>
    <n v="3024329932"/>
    <m/>
    <n v="14"/>
    <d v="2026-09-10T00:00:00"/>
    <m/>
    <m/>
    <m/>
    <m/>
    <m/>
    <s v="ABIERTO EN TÉRMINOS"/>
    <m/>
    <m/>
  </r>
  <r>
    <s v="P-8297"/>
    <s v="3076/2026"/>
    <d v="2026-08-21T00:00:00"/>
    <x v="1"/>
    <x v="5"/>
    <s v="DATOS GENERALES INCORRECTOS CAMBIO DE NOMBRE"/>
    <x v="1"/>
    <n v="500"/>
    <x v="8"/>
    <x v="14"/>
    <m/>
    <s v="MARTHA INÉS SANCHEZ"/>
    <n v="6003744"/>
    <n v="3202738636"/>
    <m/>
    <n v="14"/>
    <d v="2026-09-10T00:00:00"/>
    <m/>
    <m/>
    <m/>
    <m/>
    <m/>
    <s v="ABIERTO EN TÉRMINOS"/>
    <m/>
    <m/>
  </r>
  <r>
    <m/>
    <s v="3077/2026"/>
    <d v="2026-08-21T00:00:00"/>
    <x v="4"/>
    <x v="5"/>
    <s v="SOLICITUD MEDIO DE PAGO PARA REALIZAR EL 50%"/>
    <x v="1"/>
    <n v="503"/>
    <x v="4"/>
    <x v="25"/>
    <m/>
    <s v="LUZ KARIME HALABY BLANCO"/>
    <m/>
    <m/>
    <m/>
    <n v="14"/>
    <d v="2026-09-10T00:00:00"/>
    <m/>
    <m/>
    <m/>
    <m/>
    <m/>
    <s v="ABIERTO EN TÉRMINOS"/>
    <m/>
    <m/>
  </r>
  <r>
    <m/>
    <s v="3078/2026"/>
    <d v="2026-08-21T00:00:00"/>
    <x v="4"/>
    <x v="10"/>
    <s v="COTIZACION ANALISIS DE AGUA PREVIO A COSECHA"/>
    <x v="1"/>
    <n v="503"/>
    <x v="4"/>
    <x v="43"/>
    <m/>
    <s v="JHON SEBASTIÁN NIETO QUINTERO"/>
    <m/>
    <m/>
    <m/>
    <n v="14"/>
    <d v="2026-09-10T00:00:00"/>
    <m/>
    <m/>
    <m/>
    <m/>
    <m/>
    <s v="ABIERTO EN TÉRMINOS"/>
    <m/>
    <m/>
  </r>
  <r>
    <m/>
    <s v="3079/2026"/>
    <d v="2026-08-21T00:00:00"/>
    <x v="4"/>
    <x v="3"/>
    <s v="REMISION POR COMPETENCIA -DERECHO DE PETICIÓN -SOLICITUD DE REVISIÓN TÉCNICA DE RED DE ALCANTARILLADO CRA 17 # 32-41 PROPIEDAD DEL MUNICIPIO"/>
    <x v="0"/>
    <n v="316"/>
    <x v="1"/>
    <x v="9"/>
    <m/>
    <s v="ALCALDIA CALARCÁ"/>
    <m/>
    <m/>
    <s v="alcalde@calarca-quindio.gov.co"/>
    <n v="14"/>
    <d v="2026-09-10T00:00:00"/>
    <m/>
    <m/>
    <m/>
    <m/>
    <m/>
    <s v="ABIERTO EN TÉRMINOS"/>
    <m/>
    <m/>
  </r>
  <r>
    <m/>
    <s v="3080/2026"/>
    <d v="2026-08-21T00:00:00"/>
    <x v="4"/>
    <x v="4"/>
    <s v="SOLICITUD DE REVISION DE MEDIDOR Y VERIFICACION DE CONSUMO CODIGO - 1254969"/>
    <x v="2"/>
    <n v="102"/>
    <x v="12"/>
    <x v="10"/>
    <m/>
    <s v="DANIEL RODRÍGUEZ SERNA"/>
    <m/>
    <m/>
    <m/>
    <n v="14"/>
    <d v="2026-09-10T00:00:00"/>
    <m/>
    <m/>
    <m/>
    <m/>
    <m/>
    <s v="ABIERTO EN TÉRMINOS"/>
    <m/>
    <m/>
  </r>
  <r>
    <s v="P-8299"/>
    <s v="3081/2026"/>
    <d v="2026-08-22T00:00:00"/>
    <x v="3"/>
    <x v="0"/>
    <s v="USUARIO REPORTA POR LLAMADA TELEFONICA FUGA DE MEDIDOR LLAMAR ANTES DE IR"/>
    <x v="0"/>
    <n v="316"/>
    <x v="1"/>
    <x v="7"/>
    <m/>
    <s v="JEISON ANDRES PATIÑO OCAMPO"/>
    <n v="1253147"/>
    <m/>
    <m/>
    <n v="14"/>
    <d v="2026-09-10T00:00:00"/>
    <m/>
    <m/>
    <m/>
    <m/>
    <m/>
    <s v="ABIERTO EN TÉRMINOS"/>
    <m/>
    <m/>
  </r>
  <r>
    <s v="P-8300"/>
    <s v="3082/2026"/>
    <d v="2026-08-22T00:00:00"/>
    <x v="3"/>
    <x v="3"/>
    <s v="LIMPIAR SUMIDERO DE ALCANTARILLADO"/>
    <x v="0"/>
    <n v="316"/>
    <x v="1"/>
    <x v="32"/>
    <m/>
    <s v="CLAUDIA MARCELA GORDILLO"/>
    <n v="1125660"/>
    <n v="3204355306"/>
    <m/>
    <n v="14"/>
    <d v="2026-09-10T00:00:00"/>
    <m/>
    <m/>
    <m/>
    <m/>
    <m/>
    <s v="ABIERTO EN TÉRMINOS"/>
    <m/>
    <m/>
  </r>
  <r>
    <s v="P-8301"/>
    <s v="3083/2026"/>
    <d v="2026-08-22T00:00:00"/>
    <x v="3"/>
    <x v="4"/>
    <s v="USUARIO REPORTA POR LLAMADA TELEFONICA FUGA DE DOMICILIARIA LLAMAR ANTES DE IR"/>
    <x v="0"/>
    <n v="316"/>
    <x v="1"/>
    <x v="20"/>
    <m/>
    <s v="DIAZA DIAZA DIAZA"/>
    <n v="1037980"/>
    <m/>
    <m/>
    <n v="14"/>
    <d v="2026-09-10T00:00:00"/>
    <m/>
    <m/>
    <m/>
    <m/>
    <m/>
    <s v="ABIERTO EN TÉRMINOS"/>
    <m/>
    <m/>
  </r>
  <r>
    <m/>
    <s v="3084/2026"/>
    <d v="2026-08-24T00:00:00"/>
    <x v="0"/>
    <x v="4"/>
    <s v="SOLICITUD DE REVISION DE FACTURA POR CONSUMO MUY ALTO CRA 23 # 38-50 APTO 104"/>
    <x v="2"/>
    <n v="127"/>
    <x v="5"/>
    <x v="10"/>
    <m/>
    <s v="LEIDY LILIANA PETEVIA CRISTOBAL"/>
    <m/>
    <m/>
    <m/>
    <n v="14"/>
    <d v="2026-09-10T00:00:00"/>
    <m/>
    <m/>
    <m/>
    <m/>
    <m/>
    <s v="ABIERTO EN TÉRMINOS"/>
    <m/>
    <m/>
  </r>
  <r>
    <m/>
    <s v="3085/2026"/>
    <d v="2026-08-24T00:00:00"/>
    <x v="0"/>
    <x v="3"/>
    <s v="DERECHO DE PETICIÓN -VERTIMIENTO DE AGUAS INDUSTRIALES AL ALCANTARILLADO Y SUELO DENTRO DE LA OBRA ARND"/>
    <x v="1"/>
    <n v="503"/>
    <x v="4"/>
    <x v="25"/>
    <m/>
    <s v="WILLINGTON VALENCIA SAMBONI"/>
    <m/>
    <m/>
    <s v="willingtonvalencia1982@gmail.com"/>
    <n v="14"/>
    <d v="2026-09-11T00:00:00"/>
    <m/>
    <m/>
    <m/>
    <m/>
    <m/>
    <s v="ABIERTO EN TÉRMINOS"/>
    <m/>
    <m/>
  </r>
  <r>
    <m/>
    <s v="3086/2026"/>
    <d v="2026-08-24T00:00:00"/>
    <x v="0"/>
    <x v="5"/>
    <s v="SOLICITUD Y REPORTE DE DAÑOS VEREDA LA PRIMAVERA CALARCA"/>
    <x v="1"/>
    <n v="503"/>
    <x v="4"/>
    <x v="50"/>
    <m/>
    <s v="JUNTA DE ACCIÓN COMUNAL VEREDA l LA PRIMAVERA -JAC"/>
    <m/>
    <m/>
    <m/>
    <n v="14"/>
    <d v="2026-09-11T00:00:00"/>
    <m/>
    <m/>
    <m/>
    <m/>
    <m/>
    <s v="ABIERTO EN TÉRMINOS"/>
    <m/>
    <m/>
  </r>
  <r>
    <m/>
    <s v="3087/2026"/>
    <d v="2026-08-24T00:00:00"/>
    <x v="4"/>
    <x v="8"/>
    <s v="RECOLECCION DE ESCOMBROS CRA 24 # 41-33 APTO 202"/>
    <x v="1"/>
    <n v="503"/>
    <x v="4"/>
    <x v="28"/>
    <m/>
    <s v="MARCO FIDEL DIAZ CASTAÑO"/>
    <m/>
    <m/>
    <s v="marcofideldiaz1948@gmail.com"/>
    <n v="14"/>
    <d v="2026-09-11T00:00:00"/>
    <m/>
    <m/>
    <m/>
    <m/>
    <m/>
    <s v="ABIERTO EN TÉRMINOS"/>
    <m/>
    <m/>
  </r>
  <r>
    <m/>
    <s v="3088/2026"/>
    <d v="2026-08-24T00:00:00"/>
    <x v="4"/>
    <x v="4"/>
    <s v="SOLICITUD DE PRÉSTAMO DE GEÓFONO PARA DETECCIÓN Y LICALIZACIÓN DE FUGA -CONJUNTO RESIDENCIAL MIRADOR DEL CACIQUE"/>
    <x v="1"/>
    <n v="503"/>
    <x v="4"/>
    <x v="43"/>
    <s v="SI"/>
    <s v="CONJUNTO RESIDENCIAL MIRADOR DEL CACIQUE"/>
    <m/>
    <m/>
    <s v="miradordelcaciqueadmon@gmail.com"/>
    <n v="14"/>
    <d v="2026-09-11T00:00:00"/>
    <d v="2026-08-24T00:00:00"/>
    <s v="N/A"/>
    <s v="N/A"/>
    <d v="2026-08-27T00:00:00"/>
    <s v="EMCA-I-4830-2026"/>
    <s v="Cerrado"/>
    <m/>
    <m/>
  </r>
  <r>
    <m/>
    <s v="3089/2026"/>
    <d v="2026-08-24T00:00:00"/>
    <x v="4"/>
    <x v="4"/>
    <s v="SOLICITUD DE REVISIÓN Y AJUSTE DE FACTURA POR COBRO EXCESIVO Y CORRECCIÓN DE ESTRATO SOCIOECONÓMICO CLL 38 # 30-13 B/SANTANDER"/>
    <x v="2"/>
    <n v="102"/>
    <x v="12"/>
    <x v="10"/>
    <m/>
    <s v="MARIA ISABEL VELOZA VASQUEZ"/>
    <m/>
    <m/>
    <m/>
    <n v="14"/>
    <d v="2026-09-11T00:00:00"/>
    <m/>
    <m/>
    <m/>
    <m/>
    <m/>
    <s v="ABIERTO EN TÉRMINOS"/>
    <m/>
    <m/>
  </r>
  <r>
    <m/>
    <s v="3090/2026"/>
    <d v="2026-08-24T00:00:00"/>
    <x v="4"/>
    <x v="7"/>
    <s v="SOLICITUD CAMBIO DE SERVICIO DE AGUA POTABLE PROVISIONAL A RESIDENCIAL BOSQUES DE SAN JUAN CASA 7 SECTOR LA BELLA"/>
    <x v="2"/>
    <n v="118"/>
    <x v="14"/>
    <x v="26"/>
    <m/>
    <s v="LILIANA RAMIREZ GIRALDO"/>
    <m/>
    <m/>
    <m/>
    <n v="14"/>
    <d v="2026-09-11T00:00:00"/>
    <m/>
    <m/>
    <m/>
    <m/>
    <m/>
    <s v="ABIERTO EN TÉRMINOS"/>
    <m/>
    <m/>
  </r>
  <r>
    <m/>
    <s v="3091/2026"/>
    <d v="2026-08-24T00:00:00"/>
    <x v="0"/>
    <x v="0"/>
    <s v="SOLICITUD DESCUENTO DE SERVICIOS EN EL BARRIO LLANITOS PILOTO MZ 15 CASA 3"/>
    <x v="2"/>
    <n v="109"/>
    <x v="20"/>
    <x v="51"/>
    <m/>
    <s v="ARMANDINA DEL LOPEZ CARVAJAL"/>
    <m/>
    <m/>
    <m/>
    <n v="14"/>
    <d v="2026-09-11T00:00:00"/>
    <m/>
    <m/>
    <m/>
    <m/>
    <m/>
    <s v="ABIERTO EN TÉRMINOS"/>
    <m/>
    <m/>
  </r>
  <r>
    <m/>
    <s v="3092/2026"/>
    <d v="2026-08-24T00:00:00"/>
    <x v="0"/>
    <x v="3"/>
    <s v="DERECHO DE PETICIÓN -SOLICITUD DE REVISION DEL ALCANTARILLADO DE LA VIVIENDA CLL 40 # 29-22"/>
    <x v="0"/>
    <n v="316"/>
    <x v="1"/>
    <x v="9"/>
    <m/>
    <s v="SANDRA MILENA MARTINEZ"/>
    <m/>
    <m/>
    <m/>
    <n v="14"/>
    <d v="2026-09-11T00:00:00"/>
    <m/>
    <m/>
    <m/>
    <m/>
    <m/>
    <s v="ABIERTO EN TÉRMINOS"/>
    <m/>
    <m/>
  </r>
  <r>
    <s v="P-8302"/>
    <s v="3093/2026"/>
    <d v="2026-08-24T00:00:00"/>
    <x v="1"/>
    <x v="1"/>
    <s v="USUARIO REPORTA PREDIO DESOCUPADO"/>
    <x v="1"/>
    <n v="114"/>
    <x v="3"/>
    <x v="4"/>
    <m/>
    <s v="JHON JAIRO NIETO HOLGUIN"/>
    <n v="1027560"/>
    <m/>
    <m/>
    <n v="14"/>
    <d v="2026-09-11T00:00:00"/>
    <m/>
    <m/>
    <m/>
    <m/>
    <m/>
    <s v="ABIERTO EN TÉRMINOS"/>
    <m/>
    <m/>
  </r>
  <r>
    <s v="P-8303"/>
    <s v="3094/2026"/>
    <d v="2026-08-24T00:00:00"/>
    <x v="1"/>
    <x v="1"/>
    <s v="USUARIO REPORTA PREDIO DESOCUPADO"/>
    <x v="1"/>
    <n v="114"/>
    <x v="3"/>
    <x v="4"/>
    <m/>
    <s v="BERNAL GIRALDO DANIEL MARIANO"/>
    <n v="1027580"/>
    <n v="3217830254"/>
    <m/>
    <n v="14"/>
    <d v="2026-09-11T00:00:00"/>
    <m/>
    <m/>
    <m/>
    <m/>
    <m/>
    <s v="ABIERTO EN TÉRMINOS"/>
    <m/>
    <m/>
  </r>
  <r>
    <s v="P-8306"/>
    <s v="3095/2026"/>
    <d v="2026-08-24T00:00:00"/>
    <x v="1"/>
    <x v="0"/>
    <s v="USUARIO SOLICITA CAMBIO DE LLAVE"/>
    <x v="0"/>
    <n v="316"/>
    <x v="1"/>
    <x v="1"/>
    <m/>
    <s v="DIEGO FERNANDO OVALLE MONTES"/>
    <n v="1127920"/>
    <n v="3113103670"/>
    <m/>
    <n v="14"/>
    <d v="2026-09-11T00:00:00"/>
    <m/>
    <m/>
    <m/>
    <m/>
    <m/>
    <s v="ABIERTO EN TÉRMINOS"/>
    <m/>
    <m/>
  </r>
  <r>
    <s v="P-8308"/>
    <s v="3096/2026"/>
    <d v="2026-08-24T00:00:00"/>
    <x v="1"/>
    <x v="0"/>
    <s v="USUARIA REPORTA FUGA DE MEDIDOR YA ESTA BOTANDO MUCHA AGUA LLAMAR ANTES DE IR"/>
    <x v="0"/>
    <n v="316"/>
    <x v="1"/>
    <x v="7"/>
    <m/>
    <s v="LUZ MARY PARRA"/>
    <n v="1060740"/>
    <n v="3152616633"/>
    <m/>
    <n v="14"/>
    <d v="2026-09-11T00:00:00"/>
    <m/>
    <m/>
    <m/>
    <m/>
    <m/>
    <s v="ABIERTO EN TÉRMINOS"/>
    <m/>
    <m/>
  </r>
  <r>
    <s v="P-8310"/>
    <s v="3097/2026"/>
    <d v="2026-08-24T00:00:00"/>
    <x v="1"/>
    <x v="1"/>
    <s v="USUARIA REPORTA PREDIO DESOCUPADO Y SOLICITA LLAMAR ANTES DE IR Y PREGUNTAR POR LA SEÑORA RUBI SIERRA ES LA ENCARGADA"/>
    <x v="1"/>
    <n v="114"/>
    <x v="3"/>
    <x v="4"/>
    <m/>
    <s v="JUDITH HERRERO"/>
    <n v="1252765"/>
    <n v="3147810444"/>
    <m/>
    <n v="14"/>
    <d v="2026-09-11T00:00:00"/>
    <m/>
    <m/>
    <m/>
    <m/>
    <m/>
    <s v="ABIERTO EN TÉRMINOS"/>
    <m/>
    <m/>
  </r>
  <r>
    <s v="R-1534"/>
    <s v="3098/2026"/>
    <d v="2026-08-24T00:00:00"/>
    <x v="1"/>
    <x v="4"/>
    <s v="USUARIA REPORTA COBRO POR PROMEDIO YA QUE LA FACTURA DEL PERIODO DE AGOSTO LE PROMEDIARON 15 METROS TENIENDO EN CUENTA QUE ESE PREDIO ESTA DESOCUPADO Y LOS MESES ANTERIORES ES DE 0 METROS"/>
    <x v="2"/>
    <n v="120"/>
    <x v="21"/>
    <x v="10"/>
    <m/>
    <s v="LUZ STELLA PELAEZ MONTOYA"/>
    <n v="1165000"/>
    <n v="3175543172"/>
    <m/>
    <n v="14"/>
    <d v="2026-09-11T00:00:00"/>
    <m/>
    <m/>
    <m/>
    <m/>
    <m/>
    <s v="ABIERTO EN TÉRMINOS"/>
    <m/>
    <m/>
  </r>
  <r>
    <s v="P-8304"/>
    <s v="3099/2026"/>
    <d v="2026-08-24T00:00:00"/>
    <x v="1"/>
    <x v="1"/>
    <s v="USUARIA REPORTA PREDIO DESOCUPADO"/>
    <x v="1"/>
    <n v="114"/>
    <x v="3"/>
    <x v="4"/>
    <m/>
    <s v="YESICA VALLADARES"/>
    <n v="1252396"/>
    <n v="3205891495"/>
    <m/>
    <n v="14"/>
    <d v="2026-09-11T00:00:00"/>
    <m/>
    <m/>
    <m/>
    <m/>
    <m/>
    <s v="ABIERTO EN TÉRMINOS"/>
    <m/>
    <m/>
  </r>
  <r>
    <s v="P-8305"/>
    <s v="3100/2026"/>
    <d v="2026-08-24T00:00:00"/>
    <x v="1"/>
    <x v="4"/>
    <s v="USUARIA SOLICITA REPARCHEO Y QUE SE RECOJAN LOS ESCOMBROS QUE DEJO LA EMPRESA HACE 20 DIAS"/>
    <x v="0"/>
    <n v="316"/>
    <x v="1"/>
    <x v="29"/>
    <m/>
    <s v="LIBRADA ALARCON SANCHEZ"/>
    <n v="1167160"/>
    <n v="3186547180"/>
    <m/>
    <n v="14"/>
    <d v="2026-09-11T00:00:00"/>
    <m/>
    <m/>
    <m/>
    <m/>
    <m/>
    <s v="ABIERTO EN TÉRMINOS"/>
    <m/>
    <m/>
  </r>
  <r>
    <s v="P-8307"/>
    <s v="3101/2026"/>
    <d v="2026-08-24T00:00:00"/>
    <x v="1"/>
    <x v="1"/>
    <s v="USUARIA REPORTA PREDIO DESOCUPADO POR EVACUACION YA QUE EL PREDIO DEBE DE SER DEMOLIDO UNA PARTE"/>
    <x v="1"/>
    <n v="114"/>
    <x v="3"/>
    <x v="4"/>
    <m/>
    <s v="CONSUELO PEREZ CIFUENTES"/>
    <n v="1196640"/>
    <n v="3117602210"/>
    <m/>
    <n v="14"/>
    <d v="2026-09-11T00:00:00"/>
    <m/>
    <m/>
    <m/>
    <m/>
    <m/>
    <s v="ABIERTO EN TÉRMINOS"/>
    <m/>
    <m/>
  </r>
  <r>
    <s v="P-8309"/>
    <s v="3102/2026"/>
    <d v="2026-08-24T00:00:00"/>
    <x v="1"/>
    <x v="1"/>
    <s v="8309 USUARIA REPORTA PREDIO DESOCUPADO POR EVACUACION YA QUE EL PREDIO DEBE DE SER DEMOLIDO UNA PARTE"/>
    <x v="1"/>
    <n v="114"/>
    <x v="3"/>
    <x v="4"/>
    <m/>
    <s v="CONSUELO PEREZ CIFUENTES"/>
    <n v="1253332"/>
    <n v="3117602210"/>
    <m/>
    <n v="14"/>
    <d v="2026-09-11T00:00:00"/>
    <m/>
    <m/>
    <m/>
    <m/>
    <m/>
    <s v="ABIERTO EN TÉRMINOS"/>
    <m/>
    <m/>
  </r>
  <r>
    <m/>
    <s v="3103/2026"/>
    <d v="2026-08-24T00:00:00"/>
    <x v="1"/>
    <x v="2"/>
    <s v="USUARIA REPORTA LUMINARIA APAGADA HACE MAS DE 15 DIAS FRENTE A LA MZ C CASA 5 DE MONTE CARLO"/>
    <x v="0"/>
    <n v="316"/>
    <x v="1"/>
    <x v="5"/>
    <m/>
    <s v="SANDRA LILIANA OVIEDO BARRETO"/>
    <n v="1252180"/>
    <m/>
    <m/>
    <n v="14"/>
    <d v="2026-09-11T00:00:00"/>
    <m/>
    <m/>
    <m/>
    <m/>
    <m/>
    <s v="ABIERTO EN TÉRMINOS"/>
    <m/>
    <m/>
  </r>
  <r>
    <m/>
    <s v="3104/2026"/>
    <d v="2026-08-24T00:00:00"/>
    <x v="4"/>
    <x v="4"/>
    <s v="PERSONERIA - PMC-605-2026 RECLAMO ACABADO ANDEN CRA 21 # 39-45"/>
    <x v="0"/>
    <n v="316"/>
    <x v="1"/>
    <x v="23"/>
    <m/>
    <s v="MUNICIPAL PERSONERIA"/>
    <m/>
    <m/>
    <m/>
    <n v="14"/>
    <d v="2026-09-11T00:00:00"/>
    <m/>
    <m/>
    <m/>
    <m/>
    <m/>
    <s v="ABIERTO EN TÉRMINOS"/>
    <m/>
    <m/>
  </r>
  <r>
    <s v="P-8311"/>
    <s v="3105/2026"/>
    <d v="2026-08-24T00:00:00"/>
    <x v="1"/>
    <x v="1"/>
    <s v="USUARIA REPORTA PREDIO DESOCUPADO POR EVACUACIÓN DEL PREDIO"/>
    <x v="1"/>
    <n v="114"/>
    <x v="3"/>
    <x v="4"/>
    <m/>
    <s v="MERY ARBELAEZ"/>
    <n v="1206460"/>
    <n v="3174566184"/>
    <m/>
    <n v="14"/>
    <d v="2026-09-11T00:00:00"/>
    <m/>
    <m/>
    <m/>
    <m/>
    <m/>
    <s v="ABIERTO EN TÉRMINOS"/>
    <m/>
    <m/>
  </r>
  <r>
    <s v="P-8313"/>
    <s v="3106/2026"/>
    <d v="2026-08-24T00:00:00"/>
    <x v="1"/>
    <x v="1"/>
    <s v="USUARIA REPORTA PREDIO DESOCUPADO"/>
    <x v="1"/>
    <n v="114"/>
    <x v="3"/>
    <x v="4"/>
    <m/>
    <s v="MO CASTAÑO"/>
    <n v="1196900"/>
    <n v="3126108222"/>
    <m/>
    <n v="14"/>
    <d v="2026-09-11T00:00:00"/>
    <m/>
    <m/>
    <m/>
    <m/>
    <m/>
    <s v="ABIERTO EN TÉRMINOS"/>
    <m/>
    <m/>
  </r>
  <r>
    <m/>
    <s v="3107/2026"/>
    <d v="2026-08-24T00:00:00"/>
    <x v="5"/>
    <x v="3"/>
    <s v="DERECHO DE PETICIÓN - SOLICITUD DE INNFORMACIÓN SOBRE MANEJO DE RESIDUOS Y VERTIMIENTOS DEL TALLER DANIAUTOS CRA 17 # 36-46"/>
    <x v="1"/>
    <n v="503"/>
    <x v="4"/>
    <x v="25"/>
    <m/>
    <s v="USUARIO (A)"/>
    <m/>
    <m/>
    <m/>
    <n v="14"/>
    <d v="2026-09-11T00:00:00"/>
    <m/>
    <m/>
    <m/>
    <m/>
    <m/>
    <s v="ABIERTO EN TÉRMINOS"/>
    <m/>
    <m/>
  </r>
  <r>
    <s v="R-1535"/>
    <s v="3108/2026"/>
    <d v="2026-08-24T00:00:00"/>
    <x v="1"/>
    <x v="4"/>
    <s v="USUARIA INCONFORME CON EL CONSUMO YA QUE DICE QUE SOLO VIVEN DOS PERSONAS"/>
    <x v="2"/>
    <n v="127"/>
    <x v="5"/>
    <x v="10"/>
    <m/>
    <s v="LUZ LEIDY CRUZ VILLA"/>
    <n v="1109340"/>
    <n v="3217746021"/>
    <m/>
    <n v="14"/>
    <d v="2026-09-11T00:00:00"/>
    <m/>
    <m/>
    <m/>
    <m/>
    <m/>
    <s v="ABIERTO EN TÉRMINOS"/>
    <m/>
    <m/>
  </r>
  <r>
    <s v="P-8312"/>
    <s v="3109/2026"/>
    <d v="2026-08-24T00:00:00"/>
    <x v="1"/>
    <x v="1"/>
    <s v="USUARIO REPORTA PREDIO DESOCUPADO"/>
    <x v="1"/>
    <n v="114"/>
    <x v="3"/>
    <x v="4"/>
    <m/>
    <s v="CARLOS MAURICIO BENAVIDES PACHECO"/>
    <n v="1050640"/>
    <m/>
    <s v="porasignar@gmail.com"/>
    <n v="14"/>
    <d v="2026-09-11T00:00:00"/>
    <m/>
    <m/>
    <m/>
    <m/>
    <m/>
    <s v="ABIERTO EN TÉRMINOS"/>
    <m/>
    <m/>
  </r>
  <r>
    <m/>
    <s v="3110/2026"/>
    <d v="2026-08-24T00:00:00"/>
    <x v="1"/>
    <x v="1"/>
    <s v="USUARIA SOLICITA QUE RECOJAN UNAS TEJAS DEBIDO AL TERREMOTO EN LA DIRECCION VERACRUZ MZ 35 CASA 6"/>
    <x v="1"/>
    <n v="503"/>
    <x v="4"/>
    <x v="6"/>
    <m/>
    <s v="ROSARIO RENGIFO"/>
    <m/>
    <m/>
    <m/>
    <n v="14"/>
    <d v="2026-09-11T00:00:00"/>
    <m/>
    <m/>
    <m/>
    <m/>
    <m/>
    <s v="ABIERTO EN TÉRMINOS"/>
    <m/>
    <m/>
  </r>
  <r>
    <m/>
    <s v="3111/2026"/>
    <d v="2026-08-24T00:00:00"/>
    <x v="4"/>
    <x v="10"/>
    <s v="SOLICITUD DE COTIZACION ESTUDIO DE AGUA DE FINCA LA ESMERALDA VEREDA PRADERA BAJA -"/>
    <x v="1"/>
    <n v="503"/>
    <x v="4"/>
    <x v="43"/>
    <m/>
    <s v="DEYANIRA DE LA ROSA CASTRO"/>
    <m/>
    <m/>
    <m/>
    <n v="14"/>
    <d v="2026-09-11T00:00:00"/>
    <m/>
    <m/>
    <m/>
    <m/>
    <m/>
    <s v="ABIERTO EN TÉRMINOS"/>
    <m/>
    <m/>
  </r>
  <r>
    <m/>
    <s v="3112/2026"/>
    <d v="2026-08-24T00:00:00"/>
    <x v="4"/>
    <x v="8"/>
    <s v="SOLICITUD DE AUTORIZACIÓN PAR USO DE ESCOMBRER MUNICIPAL (SECTOR VERSALLES /AGUACATAL )Y REQUISITOS RCD"/>
    <x v="1"/>
    <n v="503"/>
    <x v="4"/>
    <x v="52"/>
    <m/>
    <s v="JUAN JOSE DIAZ OSPINA"/>
    <m/>
    <m/>
    <s v="arq.juanjodiaz@gmail.com"/>
    <n v="14"/>
    <d v="2026-09-11T00:00:00"/>
    <m/>
    <m/>
    <m/>
    <m/>
    <m/>
    <s v="ABIERTO EN TÉRMINOS"/>
    <m/>
    <m/>
  </r>
  <r>
    <s v="P-8314"/>
    <s v="3113/2026"/>
    <d v="2026-08-24T00:00:00"/>
    <x v="3"/>
    <x v="1"/>
    <s v="USUARIO REPORTA PREDIO DESOCUPADO"/>
    <x v="1"/>
    <n v="114"/>
    <x v="3"/>
    <x v="4"/>
    <m/>
    <s v="CLAUDIA LILIANA ORTIZ"/>
    <n v="1192060"/>
    <n v="3164758387"/>
    <m/>
    <n v="14"/>
    <d v="2026-09-11T00:00:00"/>
    <m/>
    <m/>
    <m/>
    <m/>
    <m/>
    <s v="ABIERTO EN TÉRMINOS"/>
    <m/>
    <m/>
  </r>
  <r>
    <m/>
    <s v="3114/2026"/>
    <d v="2026-08-25T00:00:00"/>
    <x v="0"/>
    <x v="5"/>
    <s v="SOLICITUD DE CONEXIÓN TEMPORAL DE SERVICIO DEL ACUEDUCTO Y ALCANTARILLAO CRA 32 # 9-152 LOTER TERRENO # 72 CONJUNTO CABO MARIPOSA"/>
    <x v="1"/>
    <n v="502"/>
    <x v="9"/>
    <x v="27"/>
    <m/>
    <s v="PAOLA ANDREA BOTERO SERNA"/>
    <m/>
    <m/>
    <s v="paolaboteroserna@gmail.com"/>
    <n v="14"/>
    <d v="2026-09-11T00:00:00"/>
    <m/>
    <m/>
    <m/>
    <m/>
    <m/>
    <s v="ABIERTO EN TÉRMINOS"/>
    <m/>
    <m/>
  </r>
  <r>
    <m/>
    <s v="3115/2026"/>
    <d v="2026-08-25T00:00:00"/>
    <x v="0"/>
    <x v="6"/>
    <s v="SOLICITUD DE LOCAL EN ARRENDAMIENTO PLAZA DE MERCADO"/>
    <x v="1"/>
    <n v="502"/>
    <x v="9"/>
    <x v="33"/>
    <m/>
    <s v="JORGE GORDILLO GUTIÉRREZ"/>
    <m/>
    <m/>
    <s v="gordillojorge241@gmail.com"/>
    <n v="14"/>
    <d v="2026-09-14T00:00:00"/>
    <m/>
    <m/>
    <m/>
    <m/>
    <m/>
    <s v="ABIERTO EN TÉRMINOS"/>
    <m/>
    <m/>
  </r>
  <r>
    <m/>
    <s v="3116/2026"/>
    <d v="2026-08-25T00:00:00"/>
    <x v="0"/>
    <x v="5"/>
    <s v="SOLICITUD DE INDEPENDIZACIÓN DE SERVICIOS CARRERA 25 # 27-20 BAJOS"/>
    <x v="1"/>
    <n v="502"/>
    <x v="9"/>
    <x v="27"/>
    <m/>
    <s v="BRAVO ELIZABETH GUERRERO"/>
    <m/>
    <m/>
    <m/>
    <n v="14"/>
    <d v="2026-09-14T00:00:00"/>
    <m/>
    <m/>
    <m/>
    <m/>
    <m/>
    <s v="ABIERTO EN TÉRMINOS"/>
    <m/>
    <m/>
  </r>
  <r>
    <m/>
    <s v="3117/2026"/>
    <d v="2026-08-25T00:00:00"/>
    <x v="0"/>
    <x v="5"/>
    <s v="DERECHO DE PETICIÓN SOLICITUD - DE FACTURACIÓN DIGITAL CÓDIGO 1129240"/>
    <x v="1"/>
    <n v="503"/>
    <x v="4"/>
    <x v="31"/>
    <m/>
    <s v="DIEGO FELIPE MURCIA BERNAL"/>
    <m/>
    <m/>
    <s v="dfm196250@gmail.com"/>
    <n v="14"/>
    <d v="2026-09-14T00:00:00"/>
    <m/>
    <m/>
    <m/>
    <m/>
    <m/>
    <s v="ABIERTO EN TÉRMINOS"/>
    <m/>
    <m/>
  </r>
  <r>
    <m/>
    <s v="3118/2026"/>
    <d v="2026-08-25T00:00:00"/>
    <x v="4"/>
    <x v="4"/>
    <s v="SOLICITUD DE VISITA TÉCNICA HOTEL EL VIAJERO CÓDIGO 1000500"/>
    <x v="2"/>
    <n v="102"/>
    <x v="12"/>
    <x v="10"/>
    <m/>
    <s v="JOSÉ DIEVER LOPEZ BORJA"/>
    <n v="1000500"/>
    <m/>
    <s v="josedieverlopezborja@gmail.com"/>
    <n v="14"/>
    <d v="2026-09-14T00:00:00"/>
    <m/>
    <m/>
    <m/>
    <m/>
    <m/>
    <s v="ABIERTO EN TÉRMINOS"/>
    <m/>
    <m/>
  </r>
  <r>
    <s v="P-8316"/>
    <s v="3119/2026"/>
    <d v="2026-08-25T00:00:00"/>
    <x v="1"/>
    <x v="1"/>
    <s v="USUARIO REPORTA PREDIO DESOCUPADO"/>
    <x v="1"/>
    <n v="114"/>
    <x v="3"/>
    <x v="4"/>
    <m/>
    <s v="MARIA CRISTINA BARAHONA"/>
    <n v="1044080"/>
    <n v="3153487526"/>
    <m/>
    <n v="14"/>
    <d v="2026-09-14T00:00:00"/>
    <m/>
    <m/>
    <m/>
    <m/>
    <m/>
    <s v="ABIERTO EN TÉRMINOS"/>
    <m/>
    <m/>
  </r>
  <r>
    <m/>
    <s v="3120/2026"/>
    <d v="2026-08-25T00:00:00"/>
    <x v="4"/>
    <x v="4"/>
    <s v="D-14039- SOLICITUD EVALUACIÓN TUBERÍA - AUTOPISTAS DEL CAFÉ"/>
    <x v="0"/>
    <n v="316"/>
    <x v="1"/>
    <x v="9"/>
    <m/>
    <s v="AUTOPISTAS DEL CAFÉ"/>
    <m/>
    <m/>
    <m/>
    <n v="14"/>
    <d v="2026-09-14T00:00:00"/>
    <m/>
    <m/>
    <m/>
    <m/>
    <m/>
    <s v="ABIERTO EN TÉRMINOS"/>
    <m/>
    <m/>
  </r>
  <r>
    <m/>
    <s v="3121/2026"/>
    <d v="2026-08-25T00:00:00"/>
    <x v="1"/>
    <x v="1"/>
    <s v="USUARIA SOLICITA QUE RECOJAN UNA VITRINA DEBIDO AL TERREMOTO EN LA DIRECCION AV.COLON # 17-25 DROGUERIA"/>
    <x v="1"/>
    <n v="503"/>
    <x v="4"/>
    <x v="6"/>
    <m/>
    <s v="LILIANA ALEJANDRA RANGEL"/>
    <m/>
    <n v="3177121481"/>
    <m/>
    <n v="14"/>
    <d v="2026-09-14T00:00:00"/>
    <m/>
    <m/>
    <m/>
    <m/>
    <m/>
    <s v="ABIERTO EN TÉRMINOS"/>
    <m/>
    <m/>
  </r>
  <r>
    <m/>
    <s v="3122/2026"/>
    <d v="2026-08-25T00:00:00"/>
    <x v="0"/>
    <x v="5"/>
    <s v="SOLICITUD DE INDEPENDIZACIÓN DE SERVICIOS CARRERA 21 # 36-40 APTO 201"/>
    <x v="1"/>
    <n v="502"/>
    <x v="9"/>
    <x v="27"/>
    <m/>
    <s v="ARNULFO ARIZA OVALLE"/>
    <m/>
    <m/>
    <m/>
    <n v="14"/>
    <d v="2026-09-14T00:00:00"/>
    <m/>
    <m/>
    <m/>
    <m/>
    <m/>
    <s v="ABIERTO EN TÉRMINOS"/>
    <m/>
    <m/>
  </r>
  <r>
    <s v="P-8315"/>
    <s v="3123/2026"/>
    <d v="2026-08-25T00:00:00"/>
    <x v="1"/>
    <x v="0"/>
    <s v="USUARIO REPORTA DEFICIENCIA DE PRESION HACE YA 15 DIAS QUE NO ENTRA BUENA PRESION AL PREDIO"/>
    <x v="0"/>
    <n v="304"/>
    <x v="0"/>
    <x v="0"/>
    <m/>
    <s v="EDISSON HENAO MORENO"/>
    <n v="1240791"/>
    <m/>
    <m/>
    <n v="14"/>
    <d v="2026-09-14T00:00:00"/>
    <m/>
    <m/>
    <m/>
    <m/>
    <m/>
    <s v="ABIERTO EN TÉRMINOS"/>
    <m/>
    <m/>
  </r>
  <r>
    <s v="P-8317"/>
    <s v="3124/2026"/>
    <d v="2026-08-25T00:00:00"/>
    <x v="1"/>
    <x v="0"/>
    <s v="USUARIO REPORTA DEFICIENCIA DE PRESION"/>
    <x v="0"/>
    <n v="304"/>
    <x v="0"/>
    <x v="0"/>
    <m/>
    <s v="GARZON CARDONA ANTONIO ANTONIO"/>
    <n v="1156300"/>
    <m/>
    <m/>
    <n v="14"/>
    <d v="2026-09-14T00:00:00"/>
    <m/>
    <m/>
    <m/>
    <m/>
    <m/>
    <s v="ABIERTO EN TÉRMINOS"/>
    <m/>
    <m/>
  </r>
  <r>
    <m/>
    <s v="3125/2026"/>
    <d v="2026-08-25T00:00:00"/>
    <x v="0"/>
    <x v="5"/>
    <s v="SOLICITUD DE CONEXIÓN DE SERVICIO DEL ACUEDUCTO Y ALCANTARILLADO CARRERA 32 # 9-152 CONJUNTO CABO MARIPOSA CASA 38"/>
    <x v="1"/>
    <n v="502"/>
    <x v="9"/>
    <x v="27"/>
    <m/>
    <s v="CARLOS ENRIQUE GIRALDO BOTERO"/>
    <m/>
    <m/>
    <s v="cabomariposa@gmail.com"/>
    <n v="14"/>
    <d v="2026-09-14T00:00:00"/>
    <m/>
    <m/>
    <m/>
    <m/>
    <m/>
    <s v="ABIERTO EN TÉRMINOS"/>
    <m/>
    <m/>
  </r>
  <r>
    <s v="R-1538"/>
    <s v="3126/2026"/>
    <d v="2026-08-25T00:00:00"/>
    <x v="1"/>
    <x v="4"/>
    <s v="USUARIA REPORTA INCONFORMIDAD CON EL CONSUMO DEL MES DE AGOSTO YA QUE INCREMENTO BASTANTE LLAMAR ANTES DE IR"/>
    <x v="2"/>
    <n v="127"/>
    <x v="5"/>
    <x v="10"/>
    <m/>
    <s v="DIANA MARCELA BERRIO CASTAÑO"/>
    <n v="1253569"/>
    <n v="3044652971"/>
    <m/>
    <n v="14"/>
    <d v="2026-09-14T00:00:00"/>
    <m/>
    <m/>
    <m/>
    <m/>
    <m/>
    <s v="ABIERTO EN TÉRMINOS"/>
    <m/>
    <m/>
  </r>
  <r>
    <m/>
    <s v="3127/2026"/>
    <d v="2026-08-25T00:00:00"/>
    <x v="0"/>
    <x v="5"/>
    <s v="SOLICITUD DE CONEXIÓN DE SERVICIO DEL ACUEDUCTO Y ALCANTARILLAO CRA 32 # 9-152 CASA 129 CONJUNTO CABO MARIPOSA"/>
    <x v="1"/>
    <n v="502"/>
    <x v="9"/>
    <x v="27"/>
    <m/>
    <s v="DANYELA CATALINA BOLAÑO VILLAMARIN"/>
    <m/>
    <m/>
    <s v="cabomariposa@gmail.com"/>
    <n v="14"/>
    <d v="2026-09-14T00:00:00"/>
    <m/>
    <m/>
    <m/>
    <m/>
    <m/>
    <s v="ABIERTO EN TÉRMINOS"/>
    <m/>
    <m/>
  </r>
  <r>
    <m/>
    <s v="3128/2026"/>
    <d v="2026-08-25T00:00:00"/>
    <x v="0"/>
    <x v="5"/>
    <s v="SOLICITUD DE CONEXIÓN DE SERVICIO DEL ACUEDUCTO Y ALCANTARILLAO TESORO CAMPESTRE CASA 59"/>
    <x v="1"/>
    <n v="502"/>
    <x v="9"/>
    <x v="27"/>
    <m/>
    <s v="JOHANA BEDOYA PINEDA"/>
    <m/>
    <m/>
    <s v="cabomariposa@gmail.com"/>
    <n v="14"/>
    <d v="2026-09-14T00:00:00"/>
    <m/>
    <m/>
    <m/>
    <m/>
    <m/>
    <s v="ABIERTO EN TÉRMINOS"/>
    <m/>
    <m/>
  </r>
  <r>
    <m/>
    <s v="3129/2026"/>
    <d v="2026-08-25T00:00:00"/>
    <x v="0"/>
    <x v="1"/>
    <s v="SOLICITUD DE SUSPENSIÓN DE COBRO O AJUSTE POR NO CONSUMO DE SERVICIO DE AGUA EN EL EDIFICIO TORRE CONCASA CRA 25 # 37-37"/>
    <x v="1"/>
    <n v="114"/>
    <x v="3"/>
    <x v="4"/>
    <m/>
    <s v="FRANCY ELENA LOPEZ MARULANDA"/>
    <m/>
    <m/>
    <m/>
    <n v="14"/>
    <d v="2026-09-14T00:00:00"/>
    <m/>
    <m/>
    <m/>
    <m/>
    <m/>
    <s v="ABIERTO EN TÉRMINOS"/>
    <m/>
    <m/>
  </r>
  <r>
    <s v="P-8318"/>
    <s v="3130/2026"/>
    <d v="2026-08-25T00:00:00"/>
    <x v="1"/>
    <x v="5"/>
    <s v="DATOS GENERALES INCORRECTOS"/>
    <x v="1"/>
    <n v="500"/>
    <x v="8"/>
    <x v="14"/>
    <m/>
    <s v="CARLOS ALBERTO URBINA CORTES"/>
    <n v="1241270"/>
    <m/>
    <m/>
    <n v="14"/>
    <d v="2026-09-14T00:00:00"/>
    <m/>
    <m/>
    <m/>
    <m/>
    <m/>
    <s v="ABIERTO EN TÉRMINOS"/>
    <m/>
    <m/>
  </r>
  <r>
    <m/>
    <s v="3131/2026"/>
    <d v="2026-08-25T00:00:00"/>
    <x v="4"/>
    <x v="5"/>
    <s v="SOLICITUD DUPLICADO DE FACTURA CÓDIGO 1250889-1254752"/>
    <x v="1"/>
    <n v="503"/>
    <x v="4"/>
    <x v="31"/>
    <m/>
    <s v="YIRLEY LOAIZA ANALISTA DE GESTIÓN"/>
    <m/>
    <m/>
    <s v="yloaiza@energymaster.co"/>
    <n v="14"/>
    <d v="2026-09-14T00:00:00"/>
    <m/>
    <m/>
    <m/>
    <m/>
    <m/>
    <s v="ABIERTO EN TÉRMINOS"/>
    <m/>
    <m/>
  </r>
  <r>
    <m/>
    <s v="3132/20226"/>
    <d v="2026-08-26T00:00:00"/>
    <x v="0"/>
    <x v="5"/>
    <s v="SOLICITUD DE CONEXIÓN DE SERVICIO DEL ACUEDUCTO Y ALCANTARILLADO AVENIDA COLÓN No. 21-309 LOCAL 2"/>
    <x v="1"/>
    <n v="502"/>
    <x v="9"/>
    <x v="27"/>
    <m/>
    <s v="CAMILO ANDRÉS ALZATE CANO"/>
    <m/>
    <m/>
    <s v="zinalzate@hotmail.com"/>
    <n v="14"/>
    <d v="2026-09-14T00:00:00"/>
    <m/>
    <m/>
    <m/>
    <m/>
    <m/>
    <s v="ABIERTO EN TÉRMINOS"/>
    <m/>
    <m/>
  </r>
  <r>
    <m/>
    <s v="3133/2026"/>
    <d v="2026-08-26T00:00:00"/>
    <x v="0"/>
    <x v="5"/>
    <s v="SOLICITUD DE CONEXIÓN DE SERVICIO DEL ACUEDUCTO Y ALCANTARILLADO CALLE 31 # 19-33 PISO 2"/>
    <x v="1"/>
    <n v="502"/>
    <x v="9"/>
    <x v="27"/>
    <m/>
    <s v="YENY ALEXANDRA MORALES GARCIA"/>
    <m/>
    <m/>
    <s v="yeny-alex@live.com"/>
    <n v="14"/>
    <d v="2026-09-15T00:00:00"/>
    <m/>
    <m/>
    <m/>
    <m/>
    <m/>
    <s v="ABIERTO EN TÉRMINOS"/>
    <m/>
    <m/>
  </r>
  <r>
    <s v="R-1539"/>
    <s v="3134/2026"/>
    <d v="2026-08-26T00:00:00"/>
    <x v="1"/>
    <x v="4"/>
    <s v="USUARIO REPORTA INCONFORMIDAD CON EL CONSUMO YA QUE LA FACTURA DEL MES DE AGOSTO INCREMENTO BASTANTE MANIFIESTA QUE SON LAS MISMAS PERSONAS QUE VIVEN Y NO HAY DAÑOS LLAMAR ANTES DE IR"/>
    <x v="2"/>
    <n v="127"/>
    <x v="5"/>
    <x v="10"/>
    <m/>
    <s v="JESUS EMILIO CUELLAR"/>
    <n v="1196580"/>
    <n v="3112379952"/>
    <m/>
    <n v="14"/>
    <d v="2026-09-15T00:00:00"/>
    <m/>
    <m/>
    <m/>
    <m/>
    <m/>
    <s v="ABIERTO EN TÉRMINOS"/>
    <m/>
    <m/>
  </r>
  <r>
    <m/>
    <s v="3135/2026"/>
    <d v="2026-08-26T00:00:00"/>
    <x v="1"/>
    <x v="2"/>
    <s v="USUARIA REPORTA LUMINARIA FUNDIDA EN LA DIRECCION SAN BERNARDO CASA 9 NUMERO DEL POSTE 2639"/>
    <x v="0"/>
    <n v="316"/>
    <x v="1"/>
    <x v="5"/>
    <m/>
    <s v="GLORIA ESPERANZA AMAYA"/>
    <m/>
    <n v="3125439773"/>
    <m/>
    <n v="14"/>
    <d v="2026-09-15T00:00:00"/>
    <m/>
    <m/>
    <m/>
    <m/>
    <m/>
    <s v="ABIERTO EN TÉRMINOS"/>
    <m/>
    <m/>
  </r>
  <r>
    <m/>
    <s v="3136/2026"/>
    <d v="2026-08-26T00:00:00"/>
    <x v="0"/>
    <x v="5"/>
    <s v="SOLICITUD DE CANCELACIÓN DE MATRICULA CÓDIGO 1045360 PREDIO UBICADO CARRERA 25 # 40-15 PISO 2"/>
    <x v="0"/>
    <n v="308"/>
    <x v="18"/>
    <x v="36"/>
    <m/>
    <s v="HUGO MARIO HOYOS JARAMILLO"/>
    <m/>
    <m/>
    <m/>
    <n v="14"/>
    <d v="2026-09-15T00:00:00"/>
    <m/>
    <m/>
    <m/>
    <m/>
    <m/>
    <s v="ABIERTO EN TÉRMINOS"/>
    <m/>
    <m/>
  </r>
  <r>
    <m/>
    <s v="3137/2026"/>
    <d v="2026-08-26T00:00:00"/>
    <x v="0"/>
    <x v="5"/>
    <s v="SOLICITUD DE CANCELACIÓN DE MATRICULA CÓDIGO 1045320 PREDIO UBICADO CARRERA 25 # 40-13 LOCAL"/>
    <x v="0"/>
    <n v="308"/>
    <x v="18"/>
    <x v="36"/>
    <m/>
    <s v="HUGO MARIO HOYOS JARAMILLO"/>
    <m/>
    <m/>
    <m/>
    <n v="14"/>
    <d v="2026-09-15T00:00:00"/>
    <m/>
    <m/>
    <m/>
    <m/>
    <m/>
    <s v="ABIERTO EN TÉRMINOS"/>
    <m/>
    <m/>
  </r>
  <r>
    <m/>
    <s v="3138/2026"/>
    <d v="2026-08-26T00:00:00"/>
    <x v="0"/>
    <x v="6"/>
    <s v="DERECHO DE PETICIÓN SOLICITUD DE COPIA DEL CONTRATO DE ARRENDAMIENTO CELEBRADO CON EL ESTABLECIMIENTO COMERCIAL DOLLAR CITY"/>
    <x v="1"/>
    <n v="503"/>
    <x v="4"/>
    <x v="25"/>
    <m/>
    <s v="LUIS EDUARDO SOLER MUÑOZ"/>
    <m/>
    <m/>
    <m/>
    <n v="14"/>
    <d v="2026-09-15T00:00:00"/>
    <m/>
    <m/>
    <m/>
    <m/>
    <m/>
    <s v="ABIERTO EN TÉRMINOS"/>
    <m/>
    <m/>
  </r>
  <r>
    <m/>
    <s v="3139/2026"/>
    <d v="2026-08-26T00:00:00"/>
    <x v="0"/>
    <x v="4"/>
    <s v="SOLICITUD DE REVISION PARA IDENTIFICAR SI HAY FUGAS EN LA DIRECCION CALLE 38 # 29A-12 PISO 2"/>
    <x v="1"/>
    <n v="506"/>
    <x v="17"/>
    <x v="34"/>
    <m/>
    <s v="LUIS ALFONSO PESCADOR"/>
    <m/>
    <m/>
    <m/>
    <n v="14"/>
    <d v="2026-09-15T00:00:00"/>
    <m/>
    <m/>
    <m/>
    <m/>
    <m/>
    <s v="ABIERTO EN TÉRMINOS"/>
    <m/>
    <m/>
  </r>
  <r>
    <m/>
    <s v="3140/2026"/>
    <d v="2026-08-26T00:00:00"/>
    <x v="4"/>
    <x v="8"/>
    <s v="SOLICITUD DE RECOLECCIÓN DE ESCOMBROS CALLE 47 # 25-50"/>
    <x v="1"/>
    <n v="503"/>
    <x v="4"/>
    <x v="28"/>
    <m/>
    <s v="LUCELLY ZULUAGA AGUILAR"/>
    <m/>
    <m/>
    <s v="urbanizaciontorresdelprado@gmail.com"/>
    <n v="14"/>
    <d v="2026-09-15T00:00:00"/>
    <m/>
    <m/>
    <m/>
    <m/>
    <m/>
    <s v="ABIERTO EN TÉRMINOS"/>
    <m/>
    <m/>
  </r>
  <r>
    <m/>
    <s v="3141/2026"/>
    <d v="2026-08-26T00:00:00"/>
    <x v="0"/>
    <x v="4"/>
    <s v="SOLICITUD DE REVISION DE FACTURA POR CONSUMO MUY ALTO CRA 25 # 45-19"/>
    <x v="2"/>
    <n v="127"/>
    <x v="5"/>
    <x v="10"/>
    <m/>
    <s v="LUZ STELLA SOSSA VELEZ"/>
    <m/>
    <m/>
    <m/>
    <n v="14"/>
    <d v="2026-09-15T00:00:00"/>
    <m/>
    <m/>
    <m/>
    <m/>
    <m/>
    <s v="ABIERTO EN TÉRMINOS"/>
    <m/>
    <m/>
  </r>
  <r>
    <s v="P-8320"/>
    <s v="3142/2026"/>
    <d v="2026-08-26T00:00:00"/>
    <x v="1"/>
    <x v="1"/>
    <s v="USUARIO REPORTA PREDIO DESOCUPADO POR EVACUACION DEBIDO AL TERREMOTO"/>
    <x v="1"/>
    <n v="114"/>
    <x v="3"/>
    <x v="4"/>
    <m/>
    <s v="JOHAN FERNANDO NOVOA"/>
    <n v="1209720"/>
    <n v="3148038971"/>
    <m/>
    <n v="14"/>
    <d v="2026-09-15T00:00:00"/>
    <m/>
    <m/>
    <m/>
    <m/>
    <m/>
    <s v="ABIERTO EN TÉRMINOS"/>
    <m/>
    <m/>
  </r>
  <r>
    <s v="P-8321"/>
    <s v="3143/2026"/>
    <d v="2026-08-26T00:00:00"/>
    <x v="1"/>
    <x v="1"/>
    <s v="USUARIA REPORTA PREDIO DESOCUPADO"/>
    <x v="1"/>
    <n v="114"/>
    <x v="3"/>
    <x v="4"/>
    <m/>
    <s v="PRECIADO CARONA LUISA FERNANDA"/>
    <n v="1251594"/>
    <m/>
    <m/>
    <n v="14"/>
    <d v="2026-09-15T00:00:00"/>
    <m/>
    <m/>
    <m/>
    <m/>
    <m/>
    <s v="ABIERTO EN TÉRMINOS"/>
    <m/>
    <m/>
  </r>
  <r>
    <s v="P-8319"/>
    <s v="3144/2026"/>
    <d v="2026-08-26T00:00:00"/>
    <x v="1"/>
    <x v="1"/>
    <s v="USUARIO REPORTA PREDIO DESOCUPADO"/>
    <x v="1"/>
    <n v="114"/>
    <x v="3"/>
    <x v="4"/>
    <m/>
    <s v="HALLEY DAVID GIL GONZALEZ"/>
    <n v="1056480"/>
    <n v="3135899855"/>
    <m/>
    <n v="14"/>
    <d v="2026-09-15T00:00:00"/>
    <m/>
    <m/>
    <m/>
    <m/>
    <m/>
    <s v="ABIERTO EN TÉRMINOS"/>
    <m/>
    <m/>
  </r>
  <r>
    <m/>
    <s v="3145/2026"/>
    <d v="2026-08-26T00:00:00"/>
    <x v="0"/>
    <x v="5"/>
    <s v="SOLICITUD DE CAMBIO DE DIRECCIÓN PARA ENTREGA DE FACTURACIÓN CON CÓDIGO 1000053 - 1065069 EN EL CONJUNTO ZAGUANES MZ 5 CASA 1"/>
    <x v="1"/>
    <n v="503"/>
    <x v="4"/>
    <x v="53"/>
    <m/>
    <s v="MARIO ATHEORTUA ECHEVERRY"/>
    <m/>
    <m/>
    <m/>
    <n v="14"/>
    <d v="2026-09-15T00:00:00"/>
    <m/>
    <m/>
    <m/>
    <m/>
    <m/>
    <s v="ABIERTO EN TÉRMINOS"/>
    <m/>
    <m/>
  </r>
  <r>
    <s v="P-8322"/>
    <s v="3146/2026"/>
    <d v="2026-08-26T00:00:00"/>
    <x v="1"/>
    <x v="1"/>
    <s v="USUARIA REPORTA QUUE NO SE EFECTUA BARRIDO MANUAL LLEGAN HASTA LA ESQUINA PERO NO PASAN POR ESTE PREDIO Y HAY UN LOTE QUE NUNCA SE HA BARRIDO Y NO DESYERBAN LA MALESA DE LOS ANDENES"/>
    <x v="0"/>
    <n v="311"/>
    <x v="2"/>
    <x v="19"/>
    <m/>
    <s v="LIDIA CASTRO RAMOS"/>
    <n v="1214920"/>
    <n v="3114902731"/>
    <m/>
    <n v="14"/>
    <d v="2026-09-15T00:00:00"/>
    <m/>
    <m/>
    <m/>
    <m/>
    <m/>
    <s v="ABIERTO EN TÉRMINOS"/>
    <m/>
    <m/>
  </r>
  <r>
    <m/>
    <s v="3147/2026"/>
    <d v="2026-08-26T00:00:00"/>
    <x v="4"/>
    <x v="4"/>
    <s v="DERECHO DE PETICIÓN RIESGO POR PERDIDA PROGRESIVA DE TERRENO EN VERSALLES - RADICADO 2026PQR4715"/>
    <x v="0"/>
    <n v="316"/>
    <x v="1"/>
    <x v="54"/>
    <m/>
    <s v="LILIANA ARDILA VEGA"/>
    <m/>
    <m/>
    <m/>
    <n v="14"/>
    <d v="2026-09-15T00:00:00"/>
    <m/>
    <m/>
    <m/>
    <m/>
    <m/>
    <s v="ABIERTO EN TÉRMINOS"/>
    <m/>
    <m/>
  </r>
  <r>
    <m/>
    <s v="3148/2026"/>
    <d v="2026-08-26T00:00:00"/>
    <x v="4"/>
    <x v="1"/>
    <s v="DERECHO DE PETICIÓN SOLICITUD RECOLECCION DE RESIDUOS ESPECIALES CALLE 42 # 27 ESQUINA"/>
    <x v="1"/>
    <n v="503"/>
    <x v="4"/>
    <x v="6"/>
    <m/>
    <s v="ARIEL WILLIAM GUERRERO CORREA"/>
    <m/>
    <m/>
    <m/>
    <n v="14"/>
    <d v="2026-09-15T00:00:00"/>
    <m/>
    <m/>
    <m/>
    <m/>
    <m/>
    <s v="ABIERTO EN TÉRMINOS"/>
    <m/>
    <m/>
  </r>
  <r>
    <m/>
    <s v="3149/2026"/>
    <d v="2026-08-26T00:00:00"/>
    <x v="4"/>
    <x v="1"/>
    <s v="REMISION INCONFORMIDAD CON EL RADICADO DE SALIDA EMCA-4736-2026"/>
    <x v="1"/>
    <n v="503"/>
    <x v="4"/>
    <x v="55"/>
    <m/>
    <s v="OTILIA ACOSTA CARDENAS"/>
    <m/>
    <m/>
    <m/>
    <n v="14"/>
    <d v="2026-09-15T00:00:00"/>
    <m/>
    <m/>
    <m/>
    <m/>
    <m/>
    <s v="ABIERTO EN TÉRMINOS"/>
    <m/>
    <m/>
  </r>
  <r>
    <m/>
    <s v="3150/2026"/>
    <d v="2026-08-26T00:00:00"/>
    <x v="4"/>
    <x v="10"/>
    <s v="SOLICITUD DE COTIZACION - INVERSIONES ASL"/>
    <x v="1"/>
    <n v="503"/>
    <x v="4"/>
    <x v="43"/>
    <m/>
    <s v="MARIA JOSE LONDOÑO GONZALEZ"/>
    <m/>
    <m/>
    <m/>
    <n v="14"/>
    <d v="2026-09-15T00:00:00"/>
    <m/>
    <m/>
    <m/>
    <m/>
    <m/>
    <s v="ABIERTO EN TÉRMINOS"/>
    <m/>
    <m/>
  </r>
  <r>
    <s v="P-8323"/>
    <s v="3151/2026"/>
    <d v="2026-08-26T00:00:00"/>
    <x v="1"/>
    <x v="1"/>
    <s v="USUARIO REPORTA PREDIO DESOCUPADO"/>
    <x v="1"/>
    <n v="114"/>
    <x v="3"/>
    <x v="4"/>
    <m/>
    <s v="LUZ MARIA ORTIZ CERON"/>
    <n v="1206480"/>
    <n v="3117913619"/>
    <n v="5"/>
    <n v="14"/>
    <d v="2026-09-15T00:00:00"/>
    <m/>
    <m/>
    <m/>
    <m/>
    <m/>
    <s v="ABIERTO EN TÉRMINOS"/>
    <m/>
    <m/>
  </r>
  <r>
    <s v="R-1541"/>
    <s v="3152/2026"/>
    <d v="2026-08-26T00:00:00"/>
    <x v="1"/>
    <x v="4"/>
    <s v="USUARIA REPORTA INCONFORMIDAD CON EL CONSUMO YA QUE LA FACTURA DEL MES DE AGOSTO INCREMENTO BASTANTE Y EL PREDIO MANTIENE SOLO LLAMAR ANTES DE IR PREGUNTAR POR EL SEÑOR JUAN CAMILO MORA"/>
    <x v="2"/>
    <n v="127"/>
    <x v="5"/>
    <x v="10"/>
    <m/>
    <s v="ALHEN LORENA KAREN MORA FRANCO"/>
    <n v="1210120"/>
    <n v="3105634684"/>
    <m/>
    <n v="14"/>
    <d v="2026-09-15T00:00:00"/>
    <m/>
    <m/>
    <m/>
    <m/>
    <m/>
    <s v="ABIERTO EN TÉRMINOS"/>
    <m/>
    <m/>
  </r>
  <r>
    <m/>
    <s v="3153/2026"/>
    <d v="2026-08-27T00:00:00"/>
    <x v="0"/>
    <x v="5"/>
    <s v="SOLICITUD DE CONEXIÓN DE SERVICIO DE ACUEDUCTO Y ALCANTARILLADO Y ASEO URBANIZACIÓN CIUDADELA DE VERACRUZ MZ 41 CASA 10 PISO 2"/>
    <x v="1"/>
    <n v="502"/>
    <x v="9"/>
    <x v="27"/>
    <m/>
    <s v="DIANA MILENA BENITES MARULANDA"/>
    <m/>
    <m/>
    <s v="duvanbenites@gmail.com"/>
    <n v="14"/>
    <d v="2026-09-15T00:00:00"/>
    <m/>
    <m/>
    <m/>
    <m/>
    <m/>
    <s v="ABIERTO EN TÉRMINOS"/>
    <m/>
    <m/>
  </r>
  <r>
    <m/>
    <s v="3154/2026"/>
    <d v="2026-08-27T00:00:00"/>
    <x v="0"/>
    <x v="5"/>
    <s v="DERECHO DE PETICIÓN - ACLARACION RESPUESTA RAD EMCA-I-3520-20 DIRECCION CRA 26 # 46-54 GARAJE CÓDIGO 1054160"/>
    <x v="2"/>
    <n v="118"/>
    <x v="14"/>
    <x v="56"/>
    <m/>
    <s v="JUAN FELIPE GONZÁLEZ ZULUAGA"/>
    <m/>
    <m/>
    <m/>
    <n v="14"/>
    <d v="2026-09-16T00:00:00"/>
    <m/>
    <m/>
    <m/>
    <m/>
    <m/>
    <s v="ABIERTO EN TÉRMINOS"/>
    <m/>
    <m/>
  </r>
  <r>
    <m/>
    <s v="3155/2026"/>
    <d v="2026-08-27T00:00:00"/>
    <x v="0"/>
    <x v="4"/>
    <s v="SOLICITUD DE REVISIÓN DE MEDIDOR EN LA MZ C CASA 15 MILCIADES SEGURA"/>
    <x v="2"/>
    <n v="102"/>
    <x v="12"/>
    <x v="10"/>
    <m/>
    <s v="LONDOÑO VARGAS CLAUDIA ROCIO"/>
    <m/>
    <m/>
    <m/>
    <n v="14"/>
    <d v="2026-09-16T00:00:00"/>
    <m/>
    <m/>
    <m/>
    <m/>
    <m/>
    <s v="ABIERTO EN TÉRMINOS"/>
    <m/>
    <m/>
  </r>
  <r>
    <s v="P-8324"/>
    <s v="3156/2026"/>
    <d v="2026-08-27T00:00:00"/>
    <x v="1"/>
    <x v="1"/>
    <s v="USUARIO REPORTA PREDIO DESOCUPADO"/>
    <x v="1"/>
    <n v="114"/>
    <x v="3"/>
    <x v="4"/>
    <m/>
    <s v="ANYELO ANDRES GONZALEZ VERGARA"/>
    <n v="1206680"/>
    <n v="3105738941"/>
    <m/>
    <n v="14"/>
    <d v="2026-09-16T00:00:00"/>
    <m/>
    <m/>
    <m/>
    <m/>
    <m/>
    <s v="ABIERTO EN TÉRMINOS"/>
    <m/>
    <m/>
  </r>
  <r>
    <s v="P-8325"/>
    <s v="3157/2026"/>
    <d v="2026-08-27T00:00:00"/>
    <x v="1"/>
    <x v="1"/>
    <s v="USUARIO REPORTA PREDIO DESOCUPADO"/>
    <x v="1"/>
    <n v="114"/>
    <x v="3"/>
    <x v="4"/>
    <m/>
    <s v="LUIS ELIECER RIVERA HERRERA"/>
    <n v="1253179"/>
    <m/>
    <m/>
    <n v="14"/>
    <d v="2026-09-16T00:00:00"/>
    <m/>
    <m/>
    <m/>
    <m/>
    <m/>
    <s v="ABIERTO EN TÉRMINOS"/>
    <m/>
    <m/>
  </r>
  <r>
    <m/>
    <s v="3158/2026"/>
    <d v="2026-08-27T00:00:00"/>
    <x v="4"/>
    <x v="3"/>
    <s v="612-1-2CPMSCAL -DIRE-PLANESOLICITUD CONCEPTO TÉCNICO - OPERATIVIDAD DE LA PTAR DE LA CPMS DE CALARCA"/>
    <x v="1"/>
    <n v="503"/>
    <x v="4"/>
    <x v="25"/>
    <m/>
    <s v="INSTITUTO NACIONAL PENITENCIARIO Y CARCELARIO INPEC CALARCA"/>
    <m/>
    <m/>
    <m/>
    <n v="14"/>
    <d v="2026-09-16T00:00:00"/>
    <m/>
    <m/>
    <m/>
    <m/>
    <m/>
    <s v="ABIERTO EN TÉRMINOS"/>
    <m/>
    <m/>
  </r>
  <r>
    <m/>
    <s v="3159/2026"/>
    <d v="2026-08-27T00:00:00"/>
    <x v="0"/>
    <x v="4"/>
    <s v="SOLICITUD DE REVISION DE ALCANTARILLADO DE LA VIVIENDA EN LA CALLE 40 # 29-26 PISO 2"/>
    <x v="0"/>
    <n v="316"/>
    <x v="1"/>
    <x v="9"/>
    <m/>
    <s v="JAIME VALENCIA"/>
    <m/>
    <m/>
    <s v="SI2222222"/>
    <n v="14"/>
    <d v="2026-09-16T00:00:00"/>
    <m/>
    <m/>
    <m/>
    <m/>
    <m/>
    <s v="ABIERTO EN TÉRMINOS"/>
    <m/>
    <m/>
  </r>
  <r>
    <s v="P-8327"/>
    <s v="3160/2026"/>
    <d v="2026-08-27T00:00:00"/>
    <x v="1"/>
    <x v="1"/>
    <s v="USUARIO REPORTA PREDIO DESOCUPADO"/>
    <x v="1"/>
    <n v="114"/>
    <x v="3"/>
    <x v="4"/>
    <m/>
    <s v="JULIO CESAR LIEVANO"/>
    <n v="1251620"/>
    <n v="3015450909"/>
    <m/>
    <n v="14"/>
    <d v="2026-09-16T00:00:00"/>
    <m/>
    <m/>
    <m/>
    <m/>
    <m/>
    <s v="ABIERTO EN TÉRMINOS"/>
    <m/>
    <m/>
  </r>
  <r>
    <s v="P-8328"/>
    <s v="3161/2026"/>
    <d v="2026-08-27T00:00:00"/>
    <x v="1"/>
    <x v="1"/>
    <s v="8328 USUARIA REPORTA PREDIO DESOCUPADO"/>
    <x v="1"/>
    <n v="114"/>
    <x v="3"/>
    <x v="4"/>
    <m/>
    <s v="MIRIAM AMPARO SALGADO CARDENAS"/>
    <n v="1103000"/>
    <m/>
    <m/>
    <n v="14"/>
    <d v="2026-09-16T00:00:00"/>
    <m/>
    <m/>
    <m/>
    <m/>
    <m/>
    <s v="ABIERTO EN TÉRMINOS"/>
    <m/>
    <m/>
  </r>
  <r>
    <s v="P-8329"/>
    <s v="3162/2026"/>
    <d v="2026-08-27T00:00:00"/>
    <x v="1"/>
    <x v="0"/>
    <s v="8329 USUARIO REPORTA FUGA EN EL MEDIDOR"/>
    <x v="0"/>
    <n v="316"/>
    <x v="1"/>
    <x v="7"/>
    <m/>
    <s v="FERNANDO RODRIGUEZ"/>
    <n v="1177020"/>
    <n v="3215889602"/>
    <m/>
    <n v="14"/>
    <d v="2026-09-16T00:00:00"/>
    <m/>
    <m/>
    <m/>
    <m/>
    <m/>
    <s v="ABIERTO EN TÉRMINOS"/>
    <m/>
    <m/>
  </r>
  <r>
    <m/>
    <s v="3163/2026"/>
    <d v="2026-08-27T00:00:00"/>
    <x v="1"/>
    <x v="4"/>
    <s v="8330 USUARIA REPORTA FUGA EN LA RED DOMICILIARIA"/>
    <x v="0"/>
    <n v="316"/>
    <x v="1"/>
    <x v="20"/>
    <m/>
    <s v="MARIA ELENA BARBOSA"/>
    <n v="1239634"/>
    <m/>
    <s v="porasignar@gmail.com"/>
    <n v="14"/>
    <d v="2026-09-16T00:00:00"/>
    <m/>
    <m/>
    <m/>
    <m/>
    <m/>
    <s v="ABIERTO EN TÉRMINOS"/>
    <m/>
    <m/>
  </r>
  <r>
    <m/>
    <s v="3164/2026"/>
    <d v="2026-08-27T00:00:00"/>
    <x v="4"/>
    <x v="4"/>
    <s v="SOLICITUD DE VISITA TÉCNICA, VERIFICACIÓN DE MEDIDOR Y REVISIÓN DE FACTURACION POR CONSUMO EXCESIVO BARRIO LLANITOS GUALARA MZ 36 CASA 1"/>
    <x v="2"/>
    <n v="127"/>
    <x v="5"/>
    <x v="10"/>
    <m/>
    <s v="SHIRLEY VILLORIA TORRES"/>
    <m/>
    <m/>
    <s v="cbetancourt9811@gmail.com"/>
    <n v="14"/>
    <d v="2026-09-16T00:00:00"/>
    <m/>
    <m/>
    <m/>
    <m/>
    <m/>
    <s v="ABIERTO EN TÉRMINOS"/>
    <m/>
    <m/>
  </r>
  <r>
    <m/>
    <s v="3165/2026"/>
    <d v="2026-08-27T00:00:00"/>
    <x v="4"/>
    <x v="5"/>
    <s v="SOLICITUD DUPLICADO DE FACTURA CÓDIGO 1250889"/>
    <x v="1"/>
    <n v="503"/>
    <x v="4"/>
    <x v="31"/>
    <m/>
    <s v="YIRLEY LOAIZA ANALISTA DE GESTIÓN"/>
    <m/>
    <m/>
    <s v="yloaiza@energymaster.co"/>
    <n v="14"/>
    <d v="2026-09-16T00:00:00"/>
    <m/>
    <m/>
    <m/>
    <m/>
    <m/>
    <s v="ABIERTO EN TÉRMINOS"/>
    <m/>
    <m/>
  </r>
  <r>
    <m/>
    <s v="3166/2026"/>
    <d v="2026-08-27T00:00:00"/>
    <x v="0"/>
    <x v="3"/>
    <s v="MANEJO DE RESIDUOS Y RECUPERACIÓN DE ESPACIO BARRIO GAITAN MZ A CASA 12"/>
    <x v="1"/>
    <n v="503"/>
    <x v="4"/>
    <x v="57"/>
    <m/>
    <s v="DANIEL ANDRÉS CARMONA CARO"/>
    <m/>
    <m/>
    <s v="danyan1104@hotmail.com"/>
    <n v="14"/>
    <d v="2026-09-16T00:00:00"/>
    <m/>
    <m/>
    <m/>
    <m/>
    <m/>
    <s v="ABIERTO EN TÉRMINOS"/>
    <m/>
    <m/>
  </r>
  <r>
    <s v="P-8334"/>
    <s v="3167/2026"/>
    <d v="2026-08-27T00:00:00"/>
    <x v="1"/>
    <x v="3"/>
    <s v="USUARIO REPORTA DAÑO EN LA RED DE ALCANTARILLADO"/>
    <x v="0"/>
    <n v="316"/>
    <x v="1"/>
    <x v="8"/>
    <m/>
    <s v="JUAN CARLOS CUARTAS"/>
    <n v="1105200"/>
    <n v="3123146014"/>
    <m/>
    <n v="14"/>
    <d v="2026-09-16T00:00:00"/>
    <m/>
    <m/>
    <m/>
    <m/>
    <m/>
    <s v="ABIERTO EN TÉRMINOS"/>
    <m/>
    <m/>
  </r>
  <r>
    <m/>
    <s v="3168/2026"/>
    <d v="2026-08-27T00:00:00"/>
    <x v="0"/>
    <x v="4"/>
    <s v="SOLICITUD DE REVISION DE FACTURA POR CONSUMO ALTO EN LA VIVIENDAS BARRIO LA HUERTA MZ B CASA 12"/>
    <x v="2"/>
    <n v="127"/>
    <x v="5"/>
    <x v="10"/>
    <m/>
    <s v="OLGA VALENCIA MARIN"/>
    <m/>
    <m/>
    <m/>
    <n v="14"/>
    <d v="2026-09-16T00:00:00"/>
    <m/>
    <m/>
    <m/>
    <m/>
    <m/>
    <s v="ABIERTO EN TÉRMINOS"/>
    <m/>
    <m/>
  </r>
  <r>
    <s v="P-8335"/>
    <s v="3169/2026"/>
    <d v="2026-08-27T00:00:00"/>
    <x v="1"/>
    <x v="0"/>
    <s v="8335 USUARIA SOLICITA CAMBIO DE LA LLAVE DE PASO"/>
    <x v="0"/>
    <n v="316"/>
    <x v="1"/>
    <x v="1"/>
    <m/>
    <s v="EMILSEN LEON TOQUICA"/>
    <m/>
    <n v="3128326133"/>
    <m/>
    <n v="14"/>
    <d v="2026-09-16T00:00:00"/>
    <m/>
    <m/>
    <m/>
    <m/>
    <m/>
    <s v="ABIERTO EN TÉRMINOS"/>
    <m/>
    <m/>
  </r>
  <r>
    <m/>
    <s v="3170/2026"/>
    <d v="2026-08-27T00:00:00"/>
    <x v="0"/>
    <x v="5"/>
    <s v="SOLICITUD DE CAMBIO DE SERVICIO DE COMERCIAL A RESIDENCIAL CLL 40 # 22-29 APTO 1"/>
    <x v="2"/>
    <n v="118"/>
    <x v="14"/>
    <x v="26"/>
    <m/>
    <s v="MARIZOL VALENCIA MONTOYA"/>
    <m/>
    <m/>
    <s v="tierramiaasesoriasinmobiliaria@gmail.com"/>
    <n v="14"/>
    <d v="2026-09-16T00:00:00"/>
    <m/>
    <m/>
    <m/>
    <m/>
    <m/>
    <s v="ABIERTO EN TÉRMINOS"/>
    <m/>
    <m/>
  </r>
  <r>
    <s v="P-8333"/>
    <s v="3171/2026"/>
    <d v="2026-08-27T00:00:00"/>
    <x v="1"/>
    <x v="1"/>
    <s v="USUARIA REPORTA PREDIO DESOCUPADO"/>
    <x v="1"/>
    <n v="114"/>
    <x v="3"/>
    <x v="4"/>
    <m/>
    <s v="CLAUDIA LUCIA LOPEZ"/>
    <n v="1206520"/>
    <m/>
    <m/>
    <n v="14"/>
    <d v="2026-09-16T00:00:00"/>
    <m/>
    <m/>
    <m/>
    <m/>
    <m/>
    <s v="ABIERTO EN TÉRMINOS"/>
    <m/>
    <m/>
  </r>
  <r>
    <s v="P-8326"/>
    <s v="3172/2026"/>
    <d v="2026-08-27T00:00:00"/>
    <x v="1"/>
    <x v="3"/>
    <s v="USUARIO SOLICITA CAMBIO DE SUSCRIPTOR EN LA FACTURA DE ALCANTARILLADO ,"/>
    <x v="1"/>
    <n v="500"/>
    <x v="8"/>
    <x v="14"/>
    <m/>
    <s v="LUZ MARINA VERA RAYO"/>
    <n v="6025256"/>
    <n v="3232854160"/>
    <s v="rayoadiela5@gmail.com"/>
    <n v="14"/>
    <d v="2026-09-16T00:00:00"/>
    <m/>
    <m/>
    <m/>
    <m/>
    <m/>
    <s v="ABIERTO EN TÉRMINOS"/>
    <m/>
    <m/>
  </r>
  <r>
    <m/>
    <s v="3173/2026"/>
    <d v="2026-08-27T00:00:00"/>
    <x v="1"/>
    <x v="3"/>
    <s v="USUARIA INCONFORMIDAD POR DESVIACION SIGNIFICATIVA DE CONSUMO"/>
    <x v="2"/>
    <n v="127"/>
    <x v="5"/>
    <x v="10"/>
    <m/>
    <s v="DIANA MARIA MORALES PEÑA"/>
    <n v="6003722"/>
    <n v="3245555661"/>
    <m/>
    <n v="14"/>
    <d v="2026-09-16T00:00:00"/>
    <m/>
    <m/>
    <m/>
    <m/>
    <m/>
    <s v="ABIERTO EN TÉRMINOS"/>
    <m/>
    <m/>
  </r>
  <r>
    <s v="P-8332"/>
    <s v="3174/2026"/>
    <d v="2026-08-27T00:00:00"/>
    <x v="1"/>
    <x v="1"/>
    <s v="USUARIA REPORTA PREDIO DESOCUPADO"/>
    <x v="1"/>
    <n v="114"/>
    <x v="3"/>
    <x v="4"/>
    <m/>
    <s v="CARDONA AMAYA ANGELICA NATALIA"/>
    <n v="1250019"/>
    <m/>
    <m/>
    <n v="14"/>
    <d v="2026-09-16T00:00:00"/>
    <m/>
    <m/>
    <m/>
    <m/>
    <m/>
    <s v="ABIERTO EN TÉRMINOS"/>
    <m/>
    <m/>
  </r>
  <r>
    <m/>
    <s v="3175/2026"/>
    <d v="2026-08-27T00:00:00"/>
    <x v="4"/>
    <x v="2"/>
    <s v="SI-1244-2026 REMISIÓN POR COMPETENCIA -SOLICITUD DE INFORMACIÓN RELATIVA AL PUNTO 4 DEL PQR-4339"/>
    <x v="1"/>
    <n v="503"/>
    <x v="4"/>
    <x v="25"/>
    <m/>
    <s v="KATHERIN ALEXANDRA RODRIGUEZ VALLEJO"/>
    <m/>
    <m/>
    <s v="katherodri3@gmail.com"/>
    <n v="14"/>
    <d v="2026-09-16T00:00:00"/>
    <m/>
    <m/>
    <m/>
    <m/>
    <m/>
    <s v="ABIERTO EN TÉRMINOS"/>
    <m/>
    <m/>
  </r>
  <r>
    <m/>
    <s v="3176/2026"/>
    <d v="2026-08-28T00:00:00"/>
    <x v="4"/>
    <x v="8"/>
    <s v="SI-1239-2026 TRASLADO POR COMPETENCIA -SOLICITUD DE ORIENTACIÓN TÉCNICA,URBANÍSTICA Y AMBIENTAL PARA EVALUAR UNA PLANTA DE APROVECHAMIENTO Y TRASFORMACIÓN DE RCD"/>
    <x v="1"/>
    <n v="503"/>
    <x v="4"/>
    <x v="44"/>
    <m/>
    <s v="JOHN EIDER ORTIZ GAVIRIA"/>
    <m/>
    <s v="317 620 5370"/>
    <s v="eiderflw@gmail.com"/>
    <n v="14"/>
    <d v="2026-09-16T00:00:00"/>
    <m/>
    <m/>
    <m/>
    <m/>
    <m/>
    <s v="ABIERTO EN TÉRMINOS"/>
    <m/>
    <m/>
  </r>
  <r>
    <m/>
    <s v="3177/2026"/>
    <d v="2026-08-28T00:00:00"/>
    <x v="4"/>
    <x v="10"/>
    <s v="COTIZACIÓN COLIFORMES LAIMAQ SAS"/>
    <x v="1"/>
    <n v="503"/>
    <x v="4"/>
    <x v="43"/>
    <m/>
    <s v="LAIMAQ SAS"/>
    <m/>
    <m/>
    <m/>
    <n v="14"/>
    <d v="2026-09-17T00:00:00"/>
    <m/>
    <m/>
    <m/>
    <m/>
    <m/>
    <s v="ABIERTO EN TÉRMINOS"/>
    <m/>
    <m/>
  </r>
  <r>
    <s v="P-8337"/>
    <s v="3178/2026"/>
    <d v="2026-08-28T00:00:00"/>
    <x v="1"/>
    <x v="0"/>
    <s v="USUARIO SOLICITA CAMBIO DE LA LLAVE DE PASO YA QUE TIENE UNA FUGA"/>
    <x v="0"/>
    <n v="316"/>
    <x v="1"/>
    <x v="1"/>
    <m/>
    <s v="JOSE DIEBER LOPEZ"/>
    <n v="1000500"/>
    <n v="3227430986"/>
    <m/>
    <n v="14"/>
    <d v="2026-09-17T00:00:00"/>
    <m/>
    <m/>
    <m/>
    <m/>
    <m/>
    <s v="ABIERTO EN TÉRMINOS"/>
    <m/>
    <m/>
  </r>
  <r>
    <s v="P-8339"/>
    <s v="3179/2026"/>
    <d v="2026-08-28T00:00:00"/>
    <x v="1"/>
    <x v="1"/>
    <s v="USUARIO REPORTA PREDIO DESOCUPADO"/>
    <x v="1"/>
    <n v="114"/>
    <x v="3"/>
    <x v="4"/>
    <m/>
    <s v="MANUEL ALMECIGA SANCHEZ"/>
    <n v="1254263"/>
    <n v="3147858778"/>
    <m/>
    <n v="14"/>
    <d v="2026-09-17T00:00:00"/>
    <m/>
    <m/>
    <m/>
    <m/>
    <m/>
    <s v="ABIERTO EN TÉRMINOS"/>
    <m/>
    <m/>
  </r>
  <r>
    <s v="P-8336"/>
    <s v="3180/2026"/>
    <d v="2026-08-28T00:00:00"/>
    <x v="1"/>
    <x v="1"/>
    <s v="USUARIO REPORTA PREDIO DESOCUPADO"/>
    <x v="1"/>
    <n v="114"/>
    <x v="3"/>
    <x v="4"/>
    <m/>
    <s v="LUIS EDUARDO BUITRAGO"/>
    <n v="1238533"/>
    <n v="3213065937"/>
    <m/>
    <n v="14"/>
    <d v="2026-09-17T00:00:00"/>
    <m/>
    <m/>
    <m/>
    <m/>
    <m/>
    <s v="ABIERTO EN TÉRMINOS"/>
    <m/>
    <m/>
  </r>
  <r>
    <s v="P-8341"/>
    <s v="3181/2026"/>
    <d v="2026-08-28T00:00:00"/>
    <x v="1"/>
    <x v="1"/>
    <s v="USUARIA REPORTA QUE NO SE ESTA HACIENDO EL BARRIDO MANUL DESDE HACE 3 MESES"/>
    <x v="0"/>
    <n v="311"/>
    <x v="2"/>
    <x v="19"/>
    <m/>
    <s v="MARIA ISABEL BOTERO"/>
    <n v="1103040"/>
    <n v="3016845075"/>
    <m/>
    <n v="14"/>
    <d v="2026-09-17T00:00:00"/>
    <m/>
    <m/>
    <m/>
    <m/>
    <m/>
    <s v="ABIERTO EN TÉRMINOS"/>
    <m/>
    <m/>
  </r>
  <r>
    <s v="P-8338"/>
    <s v="3182/2026"/>
    <d v="2026-08-28T00:00:00"/>
    <x v="1"/>
    <x v="0"/>
    <s v="USUARIA REPORTA DEFICIENCIA YA SIN 4 VECES QUE LA USUARIA REPORTA LO MISMO MANIFIESTA QUE VAN Y LIMPIAN EL MEDIDOR LE DICEN A LA USUARIA QUE ES TIERRA DURA 4 DIAS Y VUELVE ASUCERDER LO MISMO NO LLEGA BUENA AGUA AL PREDIO"/>
    <x v="0"/>
    <n v="304"/>
    <x v="0"/>
    <x v="0"/>
    <m/>
    <s v="LUZ ENIDT AMAYA DEVIA"/>
    <n v="1060820"/>
    <n v="3234307091"/>
    <m/>
    <n v="14"/>
    <d v="2026-09-17T00:00:00"/>
    <m/>
    <m/>
    <m/>
    <m/>
    <m/>
    <s v="ABIERTO EN TÉRMINOS"/>
    <m/>
    <m/>
  </r>
  <r>
    <s v="R-1543"/>
    <s v="3183/2026"/>
    <d v="2026-08-28T00:00:00"/>
    <x v="1"/>
    <x v="4"/>
    <s v="USUARIA MANIFIESTA INCONFORMIDAD POR DESVIASION SIGNIFICATIVA DE CONSUMO"/>
    <x v="2"/>
    <n v="127"/>
    <x v="5"/>
    <x v="10"/>
    <m/>
    <s v="LUISA FERNANDA BLANDON"/>
    <n v="1200300"/>
    <n v="3226133265"/>
    <m/>
    <n v="14"/>
    <d v="2026-09-17T00:00:00"/>
    <m/>
    <m/>
    <m/>
    <m/>
    <m/>
    <s v="ABIERTO EN TÉRMINOS"/>
    <m/>
    <m/>
  </r>
  <r>
    <s v="P-8340"/>
    <s v="3184/2026"/>
    <d v="2026-08-28T00:00:00"/>
    <x v="1"/>
    <x v="1"/>
    <s v="USUARIO REPORTA PREDIO DESOCUPADO"/>
    <x v="1"/>
    <n v="114"/>
    <x v="3"/>
    <x v="4"/>
    <m/>
    <s v="CASTRO ARIAS WILLIAM"/>
    <n v="1204023"/>
    <m/>
    <m/>
    <n v="14"/>
    <d v="2026-09-17T00:00:00"/>
    <m/>
    <m/>
    <m/>
    <m/>
    <m/>
    <s v="ABIERTO EN TÉRMINOS"/>
    <m/>
    <m/>
  </r>
  <r>
    <s v="P-8342"/>
    <s v="3185/2026"/>
    <d v="2026-08-28T00:00:00"/>
    <x v="1"/>
    <x v="1"/>
    <s v="USUARIO REPORTA QUE NO SE EEFCTUA BARRIDO MANUAL DEL SECTOR ENTRE LA MZ 7 Y 8 NO PASAN HACIENDO EL BARRIDO"/>
    <x v="0"/>
    <n v="311"/>
    <x v="2"/>
    <x v="19"/>
    <m/>
    <s v="FERYLE LOPEZ JIMENEZ"/>
    <n v="1238368"/>
    <n v="3054128925"/>
    <m/>
    <n v="14"/>
    <d v="2026-09-17T00:00:00"/>
    <m/>
    <m/>
    <m/>
    <m/>
    <m/>
    <s v="ABIERTO EN TÉRMINOS"/>
    <m/>
    <m/>
  </r>
  <r>
    <s v="P-8343"/>
    <s v="3186/2026"/>
    <d v="2026-08-28T00:00:00"/>
    <x v="1"/>
    <x v="1"/>
    <s v="PREDIO DESOCUPADO USUARIA SOLICITA LLAMAR ANTES DE IR 3128491503 PREGUNTAR POR GLORIA CASTRO"/>
    <x v="1"/>
    <n v="114"/>
    <x v="3"/>
    <x v="4"/>
    <m/>
    <s v="DIANA MILENA CADAVIDS"/>
    <n v="1252240"/>
    <n v="3247158817"/>
    <m/>
    <n v="14"/>
    <d v="2026-09-17T00:00:00"/>
    <m/>
    <m/>
    <m/>
    <m/>
    <m/>
    <s v="ABIERTO EN TÉRMINOS"/>
    <m/>
    <m/>
  </r>
  <r>
    <s v="P-8344"/>
    <s v="3187/2026"/>
    <d v="2026-08-28T00:00:00"/>
    <x v="1"/>
    <x v="0"/>
    <s v="USUARIO SOLICITA CAMBIO DE LLAVE DE PASO URGENTEN FUGA INTERNO"/>
    <x v="0"/>
    <n v="316"/>
    <x v="1"/>
    <x v="1"/>
    <m/>
    <s v="JAIR CARO CARO"/>
    <n v="1180782"/>
    <n v="3145667230"/>
    <m/>
    <n v="14"/>
    <d v="2026-09-17T00:00:00"/>
    <m/>
    <m/>
    <m/>
    <m/>
    <m/>
    <s v="ABIERTO EN TÉRMINOS"/>
    <m/>
    <m/>
  </r>
  <r>
    <m/>
    <s v="3188/2026"/>
    <d v="2026-08-28T00:00:00"/>
    <x v="0"/>
    <x v="4"/>
    <s v="SOLICITUD DE INSPECCION POR POSIBLE FUGA DE AGUA EN LA DIRECCION CRA 30 # 38-44 PISO 2 BARRIO SEGUNDA HENAO"/>
    <x v="1"/>
    <n v="506"/>
    <x v="17"/>
    <x v="34"/>
    <m/>
    <s v="STRADA SALAZAR MARIA LIGIA"/>
    <m/>
    <m/>
    <m/>
    <n v="14"/>
    <d v="2026-09-17T00:00:00"/>
    <m/>
    <m/>
    <m/>
    <m/>
    <m/>
    <s v="ABIERTO EN TÉRMINOS"/>
    <m/>
    <m/>
  </r>
  <r>
    <m/>
    <s v="3189/2026"/>
    <d v="2026-08-28T00:00:00"/>
    <x v="4"/>
    <x v="0"/>
    <s v="CRQ-14771-2026 SOLICITUD DE INFORMACIÓN SOBRE PÉRDIDAS TÉCNICAS"/>
    <x v="1"/>
    <n v="503"/>
    <x v="4"/>
    <x v="25"/>
    <m/>
    <s v="CORPORACION AUTONOMA REGIONAL DEL QUINDIO"/>
    <m/>
    <m/>
    <m/>
    <n v="14"/>
    <d v="2026-09-17T00:00:00"/>
    <m/>
    <m/>
    <m/>
    <m/>
    <m/>
    <s v="ABIERTO EN TÉRMINOS"/>
    <m/>
    <m/>
  </r>
  <r>
    <s v="P-8345"/>
    <s v="3190/2026"/>
    <d v="2026-08-28T00:00:00"/>
    <x v="1"/>
    <x v="0"/>
    <s v="USUARIA REPORTA DEFICIENCIA DE PRESION DESDE HACE 8 DIAS"/>
    <x v="0"/>
    <n v="304"/>
    <x v="0"/>
    <x v="0"/>
    <m/>
    <s v="DIANA PATRICIA MARTINEZ"/>
    <n v="1060860"/>
    <n v="3135856813"/>
    <m/>
    <n v="14"/>
    <d v="2026-09-17T00:00:00"/>
    <m/>
    <m/>
    <m/>
    <m/>
    <m/>
    <s v="ABIERTO EN TÉRMINOS"/>
    <m/>
    <m/>
  </r>
  <r>
    <m/>
    <s v="3191/2026"/>
    <d v="2026-08-28T00:00:00"/>
    <x v="0"/>
    <x v="4"/>
    <s v="SOLICITUD DE EXONERACIÓN DE RECARGO POR CONSUMO -FACTURA No. 1029340"/>
    <x v="2"/>
    <n v="127"/>
    <x v="5"/>
    <x v="10"/>
    <m/>
    <s v="RODRIGO RIVERA BOCANEGRA"/>
    <m/>
    <m/>
    <m/>
    <n v="14"/>
    <d v="2026-09-17T00:00:00"/>
    <m/>
    <m/>
    <m/>
    <m/>
    <m/>
    <s v="ABIERTO EN TÉRMINOS"/>
    <m/>
    <m/>
  </r>
  <r>
    <m/>
    <s v="3192/2026"/>
    <d v="2026-08-28T00:00:00"/>
    <x v="4"/>
    <x v="1"/>
    <s v="BIENESTAR FAMILIA RAD 202654003000042801- DERECHO DE PETICIÓN -SOLICITUD DE REVISIÓN Y RELIQUIDACIÓN DEL COBRO DE ASEO MUNICIPAL INCLUIDO EN LA FACT EDEQ ASOCIADA AL NUI 183289"/>
    <x v="2"/>
    <n v="119"/>
    <x v="6"/>
    <x v="11"/>
    <m/>
    <s v="INSTITUTO COLOMBIANO DE BIENESTAR FAMILIAR"/>
    <m/>
    <m/>
    <s v="porasignar@gmail.com"/>
    <n v="14"/>
    <d v="2026-09-17T00:00:00"/>
    <m/>
    <m/>
    <m/>
    <m/>
    <m/>
    <s v="ABIERTO EN TÉRMINOS"/>
    <m/>
    <m/>
  </r>
  <r>
    <s v="P-8346"/>
    <s v="3193/2026"/>
    <d v="2026-08-29T00:00:00"/>
    <x v="1"/>
    <x v="1"/>
    <s v="USUARIA REPORTA PREDIO DESOCUPADO POR EVACUACION DEL PREDIO"/>
    <x v="1"/>
    <n v="114"/>
    <x v="3"/>
    <x v="4"/>
    <m/>
    <s v="MARTHA CECILIA MARTINEZ CARRILLO"/>
    <n v="1201580"/>
    <m/>
    <m/>
    <n v="14"/>
    <d v="2026-09-17T00:00:00"/>
    <m/>
    <m/>
    <m/>
    <m/>
    <m/>
    <s v="ABIERTO EN TÉRMINOS"/>
    <m/>
    <m/>
  </r>
  <r>
    <s v="P-8347"/>
    <s v="3194/2026"/>
    <d v="2026-08-29T00:00:00"/>
    <x v="1"/>
    <x v="1"/>
    <s v="USUARIA REPORTA PREDIO DESOCUPADO POR EVACUACION DEL PREDIO"/>
    <x v="1"/>
    <n v="114"/>
    <x v="3"/>
    <x v="4"/>
    <m/>
    <s v="MARTHA CECILIA MARTINEZ CARRILLO"/>
    <n v="1201600"/>
    <m/>
    <m/>
    <n v="14"/>
    <d v="2026-09-17T00:00:00"/>
    <m/>
    <m/>
    <m/>
    <m/>
    <m/>
    <s v="ABIERTO EN TÉRMINOS"/>
    <m/>
    <m/>
  </r>
  <r>
    <s v="R-1544"/>
    <s v="3195/2026"/>
    <d v="2026-08-31T00:00:00"/>
    <x v="1"/>
    <x v="3"/>
    <s v="USUARIA SOLICITA REVISION DE SU FACTURA DE ALCANTARILLADO POR DESVIACION SIGNIFICATIVA"/>
    <x v="2"/>
    <n v="127"/>
    <x v="5"/>
    <x v="10"/>
    <m/>
    <s v="MARIA DE LOS ANGELES MONTAÑA CAMACHO"/>
    <n v="6003768"/>
    <m/>
    <s v="porasignar@gmail.com"/>
    <n v="14"/>
    <d v="2026-09-17T00:00:00"/>
    <m/>
    <m/>
    <m/>
    <m/>
    <m/>
    <s v="ABIERTO EN TÉRMINOS"/>
    <m/>
    <m/>
  </r>
  <r>
    <m/>
    <s v="3196/2026"/>
    <d v="2026-08-31T00:00:00"/>
    <x v="4"/>
    <x v="2"/>
    <s v="SOLICITUD DE MANTENIMIENTO Y MEJORA DEL ALUMBRADO PÚBLICO EN EL SECTOR VALDEPEÑAS"/>
    <x v="0"/>
    <n v="316"/>
    <x v="1"/>
    <x v="5"/>
    <m/>
    <s v="OTILIA ACOSTA CARDENAS"/>
    <m/>
    <m/>
    <m/>
    <n v="14"/>
    <d v="2026-09-18T00:00:00"/>
    <m/>
    <m/>
    <m/>
    <m/>
    <m/>
    <s v="ABIERTO EN TÉRMINOS"/>
    <m/>
    <m/>
  </r>
  <r>
    <m/>
    <s v="3197/2026"/>
    <d v="2026-08-31T00:00:00"/>
    <x v="0"/>
    <x v="1"/>
    <s v="REPORTE DE PREDIOS DESOCUPADOS"/>
    <x v="1"/>
    <n v="114"/>
    <x v="3"/>
    <x v="4"/>
    <m/>
    <s v="HUGO MARIO ROJAS ROZO"/>
    <m/>
    <m/>
    <m/>
    <n v="14"/>
    <d v="2026-09-18T00:00:00"/>
    <m/>
    <m/>
    <m/>
    <m/>
    <m/>
    <s v="ABIERTO EN TÉRMINOS"/>
    <m/>
    <m/>
  </r>
  <r>
    <m/>
    <s v="3198/2026"/>
    <d v="2026-08-31T00:00:00"/>
    <x v="4"/>
    <x v="1"/>
    <s v="SOLICITUD DE GUADAÑA Y LIMPIEZA DE LOTE UBICADO EN LA VIA BOHEMIA"/>
    <x v="1"/>
    <n v="503"/>
    <x v="4"/>
    <x v="58"/>
    <m/>
    <s v="OTILIA ACOSTA CARDENAS"/>
    <m/>
    <m/>
    <m/>
    <n v="14"/>
    <d v="2026-09-18T00:00:00"/>
    <m/>
    <m/>
    <m/>
    <m/>
    <m/>
    <s v="ABIERTO EN TÉRMINOS"/>
    <m/>
    <m/>
  </r>
  <r>
    <m/>
    <s v="3199/2026"/>
    <d v="2026-08-31T00:00:00"/>
    <x v="4"/>
    <x v="6"/>
    <s v="SUCESION DE LOCAL N. 128 RESTAURANTE PLAZA DE MERCADO"/>
    <x v="1"/>
    <n v="503"/>
    <x v="4"/>
    <x v="59"/>
    <m/>
    <s v="MIGUEL ANGEL MENDEZ VASQUEZ"/>
    <m/>
    <m/>
    <s v="MENDEZ.M23SBT@GMAIL.COM"/>
    <n v="14"/>
    <d v="2026-09-18T00:00:00"/>
    <m/>
    <m/>
    <m/>
    <m/>
    <m/>
    <s v="ABIERTO EN TÉRMINOS"/>
    <m/>
    <m/>
  </r>
  <r>
    <m/>
    <s v="3200/2026"/>
    <d v="2026-08-31T00:00:00"/>
    <x v="0"/>
    <x v="4"/>
    <s v="SOLICITUD DE REVISIÓN DE FACTURA POR CONSUMO ALTO CALLE 40 # 25-27-29"/>
    <x v="2"/>
    <n v="127"/>
    <x v="5"/>
    <x v="10"/>
    <m/>
    <s v="LUIS GONZAGA GARZON LOPEZ"/>
    <m/>
    <m/>
    <s v="luisgogalo2014@gmail.com"/>
    <n v="14"/>
    <d v="2026-09-18T00:00:00"/>
    <m/>
    <m/>
    <m/>
    <m/>
    <m/>
    <s v="ABIERTO EN TÉRMINOS"/>
    <m/>
    <m/>
  </r>
  <r>
    <m/>
    <s v="3201/2026"/>
    <d v="2026-08-31T00:00:00"/>
    <x v="4"/>
    <x v="1"/>
    <s v="REPORTE DE PREDIO DESOCUPADO UBICADO EN LA CARRERA 16 # 44-106 BARRIO LOS TANQUES"/>
    <x v="1"/>
    <n v="114"/>
    <x v="3"/>
    <x v="4"/>
    <m/>
    <s v="LILIANA ARDILA VEGA"/>
    <m/>
    <m/>
    <m/>
    <n v="14"/>
    <d v="2026-09-18T00:00:00"/>
    <m/>
    <m/>
    <m/>
    <m/>
    <m/>
    <s v="ABIERTO EN TÉRMINOS"/>
    <m/>
    <m/>
  </r>
  <r>
    <m/>
    <s v="3202/2026"/>
    <d v="2026-08-31T00:00:00"/>
    <x v="0"/>
    <x v="4"/>
    <s v="RECLAMO POR ALTO COSTO DE LA FACTURA DE AGUA Y ALCANTARILLADO CÓDIGO 1027800"/>
    <x v="2"/>
    <n v="127"/>
    <x v="5"/>
    <x v="10"/>
    <m/>
    <s v="MONACO EDIFICIO MONACO"/>
    <m/>
    <m/>
    <m/>
    <n v="14"/>
    <d v="2026-09-18T00:00:00"/>
    <m/>
    <m/>
    <m/>
    <m/>
    <m/>
    <s v="ABIERTO EN TÉRMINOS"/>
    <m/>
    <m/>
  </r>
  <r>
    <m/>
    <s v="3203/2026"/>
    <d v="2026-08-31T00:00:00"/>
    <x v="0"/>
    <x v="2"/>
    <s v="DERECHO DE PETICIÓN - SOLICITUD DE REVISIÓN MANTENIMIENTO PREVENTIVO /CORRECTIVO Y REEMPLAZO DE LUMINARIA -REFLECTOR EN EL CORREGIMIENTO LA VIRGINIA"/>
    <x v="0"/>
    <n v="316"/>
    <x v="1"/>
    <x v="60"/>
    <m/>
    <s v="JAIRO HERNAN TORRES TORRES"/>
    <m/>
    <m/>
    <m/>
    <n v="14"/>
    <d v="2026-09-18T00:00:00"/>
    <m/>
    <m/>
    <m/>
    <m/>
    <m/>
    <s v="ABIERTO EN TÉRMINOS"/>
    <m/>
    <m/>
  </r>
  <r>
    <s v="P-8350"/>
    <s v="3204/2026"/>
    <d v="2026-08-31T00:00:00"/>
    <x v="1"/>
    <x v="1"/>
    <s v="USUARIA REPORTA PREDIO DESOCUPADO POR EVACUACION DEBIDO AL TERREMOTO"/>
    <x v="1"/>
    <n v="114"/>
    <x v="3"/>
    <x v="4"/>
    <m/>
    <s v="MONICA GUTIERREZ LONDOÑO"/>
    <n v="1182320"/>
    <m/>
    <m/>
    <n v="14"/>
    <d v="2026-09-18T00:00:00"/>
    <m/>
    <m/>
    <m/>
    <m/>
    <m/>
    <s v="ABIERTO EN TÉRMINOS"/>
    <m/>
    <m/>
  </r>
  <r>
    <m/>
    <s v="3205/2026"/>
    <d v="2026-08-31T00:00:00"/>
    <x v="4"/>
    <x v="0"/>
    <s v="DENUNCIA POR PRESUNTA DEFRAUDACION DE FLUIDOS Y ANOMALIA EN EL SERVICIO DE ACUEDUCTO -PETICIÓN DE INSPECCIÓN TÉCNICA CRA 20 # 34-37 BARRIO 20 DE JULIO"/>
    <x v="0"/>
    <n v="306"/>
    <x v="22"/>
    <x v="61"/>
    <m/>
    <s v="USUARIO (A)"/>
    <m/>
    <m/>
    <m/>
    <n v="14"/>
    <d v="2026-09-18T00:00:00"/>
    <m/>
    <m/>
    <m/>
    <m/>
    <m/>
    <s v="ABIERTO EN TÉRMINOS"/>
    <m/>
    <m/>
  </r>
  <r>
    <s v="P-8352"/>
    <s v="3206/2026"/>
    <d v="2026-08-31T00:00:00"/>
    <x v="1"/>
    <x v="0"/>
    <s v="USUARIA SOLICITA CAMBIO DE LA LLAVE DE PASO"/>
    <x v="0"/>
    <n v="316"/>
    <x v="1"/>
    <x v="1"/>
    <m/>
    <s v="ALEYDA GARCIA LUZ"/>
    <n v="1163240"/>
    <m/>
    <m/>
    <n v="14"/>
    <d v="2026-09-18T00:00:00"/>
    <m/>
    <m/>
    <m/>
    <m/>
    <m/>
    <s v="ABIERTO EN TÉRMINOS"/>
    <m/>
    <m/>
  </r>
  <r>
    <m/>
    <s v="3207/2026"/>
    <d v="2026-08-31T00:00:00"/>
    <x v="1"/>
    <x v="2"/>
    <s v="USUARIA REPORTA LUMINARIA INTERMITENTE HACE MAS DE 20 DIAS"/>
    <x v="0"/>
    <n v="316"/>
    <x v="1"/>
    <x v="5"/>
    <m/>
    <s v="LILIANA AGURRE VARGAS"/>
    <n v="1002980"/>
    <n v="3105018723"/>
    <m/>
    <n v="14"/>
    <d v="2026-09-18T00:00:00"/>
    <m/>
    <m/>
    <m/>
    <m/>
    <m/>
    <s v="ABIERTO EN TÉRMINOS"/>
    <m/>
    <m/>
  </r>
  <r>
    <m/>
    <s v="3208/2026"/>
    <d v="2026-08-31T00:00:00"/>
    <x v="0"/>
    <x v="1"/>
    <s v="O-JAC-0007-2026 SOLICITUD RECOLECCIÓN DE BASURAS BARRIO LLANITOS PILOTO"/>
    <x v="1"/>
    <n v="503"/>
    <x v="4"/>
    <x v="6"/>
    <m/>
    <s v="HENRY PEÑA MEDINA"/>
    <m/>
    <m/>
    <m/>
    <n v="14"/>
    <d v="2026-09-18T00:00:00"/>
    <m/>
    <m/>
    <m/>
    <m/>
    <m/>
    <s v="ABIERTO EN TÉRMINOS"/>
    <m/>
    <m/>
  </r>
  <r>
    <m/>
    <s v="3209/2026"/>
    <d v="2026-08-31T00:00:00"/>
    <x v="1"/>
    <x v="2"/>
    <s v="USUARIA REPORTA LUMINARIA APAGADA EN EL POSTE 3714 DE LA CALLE 46 # 26 - 22"/>
    <x v="0"/>
    <n v="316"/>
    <x v="1"/>
    <x v="5"/>
    <m/>
    <s v="MARTHA CECILIA GOMEZ VERA"/>
    <n v="1223200"/>
    <n v="3506749556"/>
    <m/>
    <n v="14"/>
    <d v="2026-09-18T00:00:00"/>
    <m/>
    <m/>
    <m/>
    <m/>
    <m/>
    <s v="ABIERTO EN TÉRMINOS"/>
    <m/>
    <m/>
  </r>
  <r>
    <s v="P-8353"/>
    <s v="3210/2026"/>
    <d v="2026-08-31T00:00:00"/>
    <x v="1"/>
    <x v="3"/>
    <s v="USUARIO REPORTA DAÑO EN LA RED DE ALCANTARILLADO DESDE HACE MAS DE 6 MESES"/>
    <x v="0"/>
    <n v="316"/>
    <x v="1"/>
    <x v="8"/>
    <m/>
    <s v="HENRY PEÑA MEDINA"/>
    <n v="1240114"/>
    <m/>
    <m/>
    <n v="14"/>
    <d v="2026-09-18T00:00:00"/>
    <m/>
    <m/>
    <m/>
    <m/>
    <m/>
    <s v="ABIERTO EN TÉRMINOS"/>
    <m/>
    <m/>
  </r>
  <r>
    <s v="P-8355"/>
    <s v="3211/2026"/>
    <d v="2026-08-31T00:00:00"/>
    <x v="1"/>
    <x v="0"/>
    <s v="8355 USUARIA SOLICITA CAMBIO DE LA LLAVE DE PASO DEL MEDIDOR"/>
    <x v="0"/>
    <n v="316"/>
    <x v="1"/>
    <x v="1"/>
    <m/>
    <s v="AMPARO TRUJILLO"/>
    <n v="1008900"/>
    <n v="3147804981"/>
    <m/>
    <n v="14"/>
    <d v="2026-09-18T00:00:00"/>
    <m/>
    <m/>
    <m/>
    <m/>
    <m/>
    <s v="ABIERTO EN TÉRMINOS"/>
    <m/>
    <m/>
  </r>
  <r>
    <s v="P-8356"/>
    <s v="3212/2026"/>
    <d v="2026-08-31T00:00:00"/>
    <x v="1"/>
    <x v="1"/>
    <s v="USUARIO REPORTA PREDIO DESOCUPADO YA QUE FUE EVACUADO DEBIDO AL TERREMOTO"/>
    <x v="1"/>
    <n v="114"/>
    <x v="3"/>
    <x v="4"/>
    <m/>
    <s v="PARDO GRISALES PARDO"/>
    <n v="1187980"/>
    <m/>
    <m/>
    <n v="14"/>
    <d v="2026-09-18T00:00:00"/>
    <m/>
    <m/>
    <m/>
    <m/>
    <m/>
    <s v="ABIERTO EN TÉRMINOS"/>
    <m/>
    <m/>
  </r>
  <r>
    <s v="P-8348"/>
    <s v="3213/2026"/>
    <d v="2026-08-31T00:00:00"/>
    <x v="1"/>
    <x v="1"/>
    <s v="USUARIO REPORTA PREDIO DESOCUPADO"/>
    <x v="1"/>
    <n v="114"/>
    <x v="3"/>
    <x v="4"/>
    <m/>
    <s v="CARLOS HUMBERTO RAVE CORTES"/>
    <n v="1251250"/>
    <m/>
    <s v="lauranathaliaravegonzalez@gmail.com"/>
    <n v="14"/>
    <d v="2026-09-18T00:00:00"/>
    <m/>
    <m/>
    <m/>
    <m/>
    <m/>
    <s v="ABIERTO EN TÉRMINOS"/>
    <m/>
    <m/>
  </r>
  <r>
    <s v="P-8349"/>
    <s v="3214/2026"/>
    <d v="2026-08-31T00:00:00"/>
    <x v="1"/>
    <x v="0"/>
    <s v="USUARIO REPORTA DEFICIENCIA DE PRESION YA QUE LLEGA POCA AGUA AL PREDIO"/>
    <x v="0"/>
    <n v="304"/>
    <x v="0"/>
    <x v="0"/>
    <m/>
    <s v="LUIS CARLOS RUIZ SALCEDO"/>
    <n v="1063520"/>
    <m/>
    <m/>
    <n v="14"/>
    <d v="2026-09-18T00:00:00"/>
    <m/>
    <m/>
    <m/>
    <m/>
    <m/>
    <m/>
    <m/>
    <m/>
  </r>
  <r>
    <s v="P-8351"/>
    <s v="3215/2026"/>
    <d v="2026-08-31T00:00:00"/>
    <x v="1"/>
    <x v="0"/>
    <s v="USUARIA REPORTA FUGA DE MEDIDOR YA QUE EL SABADO INSTALARON UNA LLAVE DE PASO PERO QUEDO BOTANDO AGUA LLAMAR ANTES DE IR"/>
    <x v="0"/>
    <n v="316"/>
    <x v="1"/>
    <x v="7"/>
    <m/>
    <s v="LUZ MARY RODRIGUEZ"/>
    <n v="1076860"/>
    <n v="3122597941"/>
    <m/>
    <n v="14"/>
    <d v="2026-09-18T00:00:00"/>
    <m/>
    <m/>
    <m/>
    <m/>
    <m/>
    <m/>
    <m/>
    <m/>
  </r>
  <r>
    <m/>
    <s v="3216/2026"/>
    <d v="2026-08-31T00:00:00"/>
    <x v="1"/>
    <x v="1"/>
    <s v="USUARIA SOLICITRA QUE RECOJAN 2 COLCHONES Y VARIAS GUADUAS EN LA DIRECCION CR 29 # 43-35 LLAMAR ANTES DE IR"/>
    <x v="1"/>
    <n v="503"/>
    <x v="4"/>
    <x v="6"/>
    <m/>
    <s v="MARTHA ELIZABETH OTECA"/>
    <m/>
    <n v="3233405017"/>
    <m/>
    <n v="14"/>
    <d v="2026-09-18T00:00:00"/>
    <m/>
    <m/>
    <m/>
    <m/>
    <m/>
    <m/>
    <m/>
    <m/>
  </r>
  <r>
    <s v="P-8354"/>
    <s v="3217/2026"/>
    <d v="2026-08-31T00:00:00"/>
    <x v="1"/>
    <x v="1"/>
    <s v="USUARIO REPORTA PREDIO DESOCUPADO"/>
    <x v="1"/>
    <n v="114"/>
    <x v="3"/>
    <x v="4"/>
    <m/>
    <s v="LUCERO LONDOÑO"/>
    <n v="1013360"/>
    <n v="3122526335"/>
    <m/>
    <n v="14"/>
    <d v="2026-09-18T00:00:00"/>
    <m/>
    <m/>
    <m/>
    <m/>
    <m/>
    <m/>
    <m/>
    <m/>
  </r>
  <r>
    <s v="P-8357"/>
    <s v="3218/2026"/>
    <d v="2026-08-31T00:00:00"/>
    <x v="1"/>
    <x v="1"/>
    <s v="USUARIO REPORTA PREDIO DESOCUPADO"/>
    <x v="1"/>
    <n v="114"/>
    <x v="3"/>
    <x v="4"/>
    <m/>
    <s v="ESNEDA GODOY CARVAJAL"/>
    <n v="1069080"/>
    <m/>
    <s v="porasignar@gmail.com"/>
    <n v="14"/>
    <d v="2026-09-18T00:00:00"/>
    <m/>
    <m/>
    <m/>
    <m/>
    <m/>
    <m/>
    <m/>
    <m/>
  </r>
  <r>
    <s v="P-8359"/>
    <s v="3219/2026"/>
    <d v="2026-08-31T00:00:00"/>
    <x v="1"/>
    <x v="1"/>
    <s v="USUARIA REPORTA PREDIO DESOCUPADO POR MOTIVO DE EVACUACION DEL TERREMOTO"/>
    <x v="1"/>
    <n v="114"/>
    <x v="3"/>
    <x v="4"/>
    <m/>
    <s v="FRANCY OLAYA SANCHEZ"/>
    <n v="1206440"/>
    <n v="3186270604"/>
    <m/>
    <n v="14"/>
    <d v="2026-09-18T00:00:00"/>
    <m/>
    <m/>
    <m/>
    <m/>
    <m/>
    <m/>
    <m/>
    <m/>
  </r>
  <r>
    <s v="P-8358"/>
    <s v="3220/2026"/>
    <d v="2026-08-31T00:00:00"/>
    <x v="1"/>
    <x v="3"/>
    <s v="USUARIO SOLICITA LIMPIAR SUMIDERO DE ALCANTARILLADO QUE ESTA EN TODA LA VIA PRINCIPAL LLAMAR ANTES DE IR"/>
    <x v="0"/>
    <n v="316"/>
    <x v="1"/>
    <x v="32"/>
    <m/>
    <s v="FERNEY OQUENDO"/>
    <n v="1110700"/>
    <n v="3146165351"/>
    <m/>
    <n v="14"/>
    <d v="2026-09-18T00:00:00"/>
    <m/>
    <m/>
    <m/>
    <m/>
    <m/>
    <m/>
    <m/>
    <m/>
  </r>
  <r>
    <m/>
    <s v="3221/2026"/>
    <d v="2026-08-31T00:00:00"/>
    <x v="4"/>
    <x v="10"/>
    <s v="SOLICITUD DE COTIZACIÓN CARACTERIZACIÓN DE VERTIMIENTOS EMPRESA KOSTA AZUL"/>
    <x v="1"/>
    <n v="503"/>
    <x v="4"/>
    <x v="43"/>
    <m/>
    <s v="CATALINA CANO RUA"/>
    <m/>
    <m/>
    <m/>
    <n v="14"/>
    <d v="2026-09-18T00:00:00"/>
    <m/>
    <m/>
    <m/>
    <m/>
    <m/>
    <m/>
    <m/>
    <m/>
  </r>
  <r>
    <s v="P-8360"/>
    <s v="3222/2026"/>
    <d v="2026-08-31T00:00:00"/>
    <x v="1"/>
    <x v="3"/>
    <s v="USUARIA REPORTA DAÑO DE RED DE ALCANTARILLADO"/>
    <x v="0"/>
    <n v="316"/>
    <x v="1"/>
    <x v="8"/>
    <m/>
    <s v="ANGELA MARIA GALEANO"/>
    <n v="1082340"/>
    <n v="3113490162"/>
    <m/>
    <n v="14"/>
    <d v="2026-09-18T00:00:00"/>
    <m/>
    <m/>
    <m/>
    <m/>
    <m/>
    <m/>
    <m/>
    <m/>
  </r>
  <r>
    <s v="P-8361"/>
    <s v="3223/2026"/>
    <d v="2026-08-31T00:00:00"/>
    <x v="1"/>
    <x v="1"/>
    <s v="USUARIA REPORTA PREDIO DESOCUPADO"/>
    <x v="1"/>
    <n v="114"/>
    <x v="3"/>
    <x v="4"/>
    <m/>
    <s v="LUISA FERNANDA SANCHEZ"/>
    <n v="1165180"/>
    <n v="3203246562"/>
    <m/>
    <n v="14"/>
    <d v="2026-09-18T00:00:00"/>
    <m/>
    <m/>
    <m/>
    <m/>
    <m/>
    <m/>
    <m/>
    <m/>
  </r>
  <r>
    <m/>
    <s v="3224/2026"/>
    <d v="2026-08-31T00:00:00"/>
    <x v="1"/>
    <x v="4"/>
    <s v="USUARIA REPORTA DAÑO DE RED PRINCIPAL YA QUE HAY UN TUBO QUE SE REVENTO Y ESTA BOTANDO MUCHA AGUA EN LA DIRECCION INVASION COLOMBIA EN UN BARRANCO SE ENCUENTRA LA FUGA"/>
    <x v="0"/>
    <n v="316"/>
    <x v="1"/>
    <x v="41"/>
    <m/>
    <s v="MARTHA LUZ ECHEVERRY"/>
    <m/>
    <n v="3207177083"/>
    <m/>
    <n v="14"/>
    <d v="2026-09-18T00:00:00"/>
    <m/>
    <m/>
    <m/>
    <m/>
    <m/>
    <m/>
    <m/>
    <m/>
  </r>
  <r>
    <m/>
    <s v="3225/2026"/>
    <d v="2026-08-31T00:00:00"/>
    <x v="3"/>
    <x v="1"/>
    <s v="USUARIASOLICITA QUE RECOJAN UNAS GUADUAS UNAS ESTERILLAS EN LA DIRECCION CR 39 # 31B-05 LLAMAR ANTES DE IR"/>
    <x v="1"/>
    <n v="503"/>
    <x v="4"/>
    <x v="6"/>
    <m/>
    <s v="DIANA PATRICIA DIAZ"/>
    <m/>
    <n v="3222904566"/>
    <m/>
    <n v="14"/>
    <d v="2026-09-18T00:00:00"/>
    <m/>
    <m/>
    <m/>
    <m/>
    <m/>
    <m/>
    <m/>
    <m/>
  </r>
  <r>
    <m/>
    <s v="3226/2026"/>
    <d v="2026-08-31T00:00:00"/>
    <x v="1"/>
    <x v="4"/>
    <s v="USUARIO REPORTA FUGA EN RED PRINCIPAL YA QUE LA SEMANA PASADA REALIZARON UN ARREGLO PERO SIGUE FILTRANDO AGUA YA QUE LA TIERRA SIGUE HUMEDA LA FUGA SE ENCUENTRA EN TODA LA ESCALERAS LLAMAR ANTES DE IR"/>
    <x v="0"/>
    <n v="316"/>
    <x v="1"/>
    <x v="41"/>
    <m/>
    <s v="GUSTAVO GIRALDO"/>
    <n v="1194100"/>
    <n v="3158235066"/>
    <m/>
    <n v="14"/>
    <d v="2026-09-18T00:00:00"/>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s v="PQR-SUI-4"/>
    <s v="3227/2026"/>
    <d v="2026-09-01T00:00:00"/>
    <s v="Documento Físico"/>
    <x v="0"/>
    <s v="SOLICITUD DE CAMBIO DE NOMBRE EN LA FACTURA Y NOMENCLATURA CRA 27 # 37-31"/>
    <x v="0"/>
    <n v="500"/>
    <s v="Cambio de datos básicos"/>
    <x v="0"/>
    <s v="SI"/>
    <s v="JULIO CESAR LOPEZ ESPINOSA"/>
    <n v="1071802"/>
    <n v="3163075656"/>
    <m/>
    <n v="14"/>
    <d v="2026-09-18T00:00:00"/>
    <s v="N/A"/>
    <s v="N/A"/>
    <d v="2026-09-18T00:00:00"/>
    <d v="2026-09-18T00:00:00"/>
    <s v="EMCA-I-5418-2026"/>
    <s v="Cerrado"/>
    <s v="SI"/>
    <m/>
  </r>
  <r>
    <s v="PQR-SUI-6"/>
    <s v="3228/2026"/>
    <d v="2026-09-01T00:00:00"/>
    <s v="Documento Físico"/>
    <x v="1"/>
    <s v="SOLICITUD REVISIÓN DE FACTUA Y UN COBRO DE SUSPENSIÓN BARRIO VERACRUZ MZ 21 CASA 1 APTO 202"/>
    <x v="1"/>
    <n v="109"/>
    <s v="Cobros por conexión, reconexión, reinstalación."/>
    <x v="1"/>
    <s v="NO"/>
    <s v="JAIME VILLAMIL BENITEZ"/>
    <n v="1250874"/>
    <n v="3226633048"/>
    <m/>
    <n v="14"/>
    <d v="2026-09-21T00:00:00"/>
    <s v="NA"/>
    <s v="NA"/>
    <d v="2026-09-01T00:00:00"/>
    <d v="2026-09-21T00:00:00"/>
    <s v="EMCA-I-5453-2026"/>
    <s v="Cerrado"/>
    <s v="SI"/>
    <m/>
  </r>
  <r>
    <s v="PQR-I-9"/>
    <s v="3229/2026"/>
    <d v="2026-09-01T00:00:00"/>
    <s v="Correo Electrónico"/>
    <x v="2"/>
    <s v="SOLICITUD DE COTIZACIÓN PARA TOMA DE MUESTRAS Y MEDICIONES (LAVADERO DE VEHICULOS CIUDAD PEREIRA )"/>
    <x v="0"/>
    <n v="503"/>
    <s v="Solicitud General"/>
    <x v="2"/>
    <s v="SI"/>
    <s v="FREDY FUQUEN Q BALANCE AMBIENTAL BIOINGENIERIA SAS"/>
    <m/>
    <m/>
    <s v="dirtecnico@babsas.com.co"/>
    <n v="14"/>
    <d v="2026-09-21T00:00:00"/>
    <d v="2026-09-01T00:00:00"/>
    <s v="N/A"/>
    <s v="N/A"/>
    <d v="2026-09-15T00:00:00"/>
    <s v="EMCA-I-5327-2026"/>
    <s v="Cerrado"/>
    <s v="SI"/>
    <s v="SI"/>
  </r>
  <r>
    <s v="PQR-SUI-1"/>
    <s v="3230/2026"/>
    <d v="2026-09-01T00:00:00"/>
    <s v="Verbal"/>
    <x v="3"/>
    <s v="USUARIO REPORTA PREDIO DESOCUPADO"/>
    <x v="1"/>
    <n v="114"/>
    <s v="Descuento por predio desocupado"/>
    <x v="3"/>
    <s v="NO"/>
    <s v="ALONSO OJEDA"/>
    <n v="1045540"/>
    <m/>
    <m/>
    <n v="14"/>
    <d v="2026-09-21T00:00:00"/>
    <s v="N/A"/>
    <s v="N/A"/>
    <d v="2026-09-21T00:00:00"/>
    <d v="2026-09-21T00:00:00"/>
    <s v="EMCA-I-5452-2026"/>
    <s v="Cerrado"/>
    <s v="SI"/>
    <m/>
  </r>
  <r>
    <s v="PQR-SUI-18"/>
    <s v="3231/2026"/>
    <d v="2026-09-02T00:00:00"/>
    <s v="Documento Físico"/>
    <x v="4"/>
    <s v="DERECHO DE PETICIÓN - SOLICITUD TAPAR HUECO EN LA URBANIZACION BOMBEROS CASA 7 FRENTE AL ESTADIO"/>
    <x v="2"/>
    <n v="316"/>
    <s v="Estado de la Infraestructura "/>
    <x v="4"/>
    <m/>
    <s v="BENJAMIN GONZALEZ GONZALEZ"/>
    <m/>
    <m/>
    <m/>
    <n v="14"/>
    <d v="2026-09-21T00:00:00"/>
    <m/>
    <m/>
    <m/>
    <m/>
    <m/>
    <s v="ABIERTA FUERA DE LOS TÉRMINOS"/>
    <m/>
    <m/>
  </r>
  <r>
    <s v="PQR-I-13"/>
    <s v="3232/2026"/>
    <d v="2026-09-02T00:00:00"/>
    <s v="Documento Físico"/>
    <x v="5"/>
    <s v="SOLICITUD DE COLABORACIÓN DE LIMPIEZA DE ALCANTARILLADO INDUSTRIAL - COTIZACION DEL SERVICIO DEL EQUIPO VACTOR PARA EL DESTAPONAMIENTO DE ALCANTARILLADO"/>
    <x v="0"/>
    <n v="503"/>
    <s v="Solicitud General"/>
    <x v="2"/>
    <s v="SI"/>
    <s v="ASOCIACION DE CURTIDORES LA MARIA"/>
    <m/>
    <m/>
    <s v="porasignar@gmail.com"/>
    <n v="14"/>
    <d v="2026-09-22T00:00:00"/>
    <s v="01/09/0206"/>
    <s v="N/A"/>
    <s v="N/A"/>
    <d v="2026-09-08T00:00:00"/>
    <s v="EMCA-I-5020-2026"/>
    <s v="Cerrado"/>
    <s v="SI"/>
    <s v="SI"/>
  </r>
  <r>
    <m/>
    <s v="3233/2026"/>
    <d v="2026-09-02T00:00:00"/>
    <s v="Documento Físico"/>
    <x v="4"/>
    <s v="DERECHO DE PETICIÓN - REVISION DE FACTURA Y CONSUMOS DEL INMUEBLE CRA 27 # 35-25 PISO 2"/>
    <x v="1"/>
    <n v="127"/>
    <s v="Inconformidad por desviación significativa"/>
    <x v="5"/>
    <s v="NO"/>
    <s v="CRISTIAN DAVID LOPERA CALDERON"/>
    <m/>
    <m/>
    <m/>
    <n v="14"/>
    <d v="2026-09-22T00:00:00"/>
    <s v="N/A"/>
    <s v="N/A"/>
    <d v="2026-09-18T00:00:00"/>
    <d v="2026-09-18T00:00:00"/>
    <s v="EMCA-I-5454-2026"/>
    <s v="Cerrado"/>
    <s v="SI"/>
    <m/>
  </r>
  <r>
    <m/>
    <s v="3234/2026"/>
    <d v="2026-09-02T00:00:00"/>
    <s v="Documento Físico"/>
    <x v="4"/>
    <s v="DERECHO DE PETICIÓN - SOLICITUD REALIZAR EL DEBIDO PROCESO DE LA INSPECCIÓN TÉCNICA REVISION DE MEDIDOR POR PARTE DE LABORATORIO EN EL PREDIO BARRIO GUADUALES ETAPA 1 MZ D CASA 31 PISO 2"/>
    <x v="1"/>
    <n v="127"/>
    <s v="Inconformidad por desviación significativa"/>
    <x v="5"/>
    <s v="NO"/>
    <s v="DIEGO FERNANDO YEPES JIMENEZ"/>
    <m/>
    <m/>
    <m/>
    <n v="14"/>
    <d v="2026-09-22T00:00:00"/>
    <s v="01/09/0206"/>
    <s v="N/A"/>
    <s v="N/A"/>
    <d v="2026-09-22T00:00:00"/>
    <s v="EMCA-I-5465-2026"/>
    <s v="Cerrado"/>
    <s v="SI"/>
    <m/>
  </r>
  <r>
    <m/>
    <s v="3235/2026"/>
    <d v="2026-09-02T00:00:00"/>
    <s v="Documento Físico"/>
    <x v="1"/>
    <s v="DERECHO DE PETICIÓN - OPOSICIÓN A CAMBIO DE MEDIDOR No. 2017-007598-EMC-SOLICITUD DE NULIDAD POR ERROR EN NOTIFICACIÓN Y SOLICITUD DE PRUEBAS TÉCNICAS"/>
    <x v="1"/>
    <n v="127"/>
    <s v="Inconformidad por desviación significativa"/>
    <x v="5"/>
    <s v="NO"/>
    <s v="JOHN FREDY FERNANDEZ MARTINEZ"/>
    <n v="1234580"/>
    <m/>
    <s v="jf.fernandez@gmail.com"/>
    <n v="14"/>
    <d v="2026-09-22T00:00:00"/>
    <s v="N/A"/>
    <s v="N/A"/>
    <s v="N/A"/>
    <d v="2026-09-22T00:00:00"/>
    <s v="EMCA-I-5473-2026"/>
    <s v="Cerrado"/>
    <s v="SI"/>
    <m/>
  </r>
  <r>
    <s v="PQR-IN-2"/>
    <s v="3236/2026"/>
    <d v="2026-09-02T00:00:00"/>
    <s v="Verbal"/>
    <x v="3"/>
    <s v="USUARIA SOLICITA QUE RECOJAN UN COLCHON EN LA DIRECCION VERACRUZ MZ 12 CASA 2"/>
    <x v="0"/>
    <n v="503"/>
    <s v="Solicitud General"/>
    <x v="6"/>
    <s v="SI"/>
    <s v="DIANA JANET TORRES MARULANDA"/>
    <m/>
    <m/>
    <m/>
    <n v="14"/>
    <d v="2026-09-22T00:00:00"/>
    <d v="2026-09-02T00:00:00"/>
    <s v="N/A"/>
    <s v="N/A"/>
    <d v="2026-09-21T00:00:00"/>
    <s v="EMCA-I-5451-2026"/>
    <s v="Cerrado"/>
    <s v="SI"/>
    <m/>
  </r>
  <r>
    <s v="PQR-SUI-2"/>
    <s v="3237/2026"/>
    <d v="2026-09-02T00:00:00"/>
    <s v="Verbal"/>
    <x v="3"/>
    <s v="1151960 USUARIO REPORTA HUNDIMIENTO EN VIA Y SE VE PASAR AGUA"/>
    <x v="2"/>
    <n v="316"/>
    <s v="Estado de la Infraestructura "/>
    <x v="7"/>
    <s v="SI"/>
    <s v="JHON DEIBER BONILLA"/>
    <n v="1151960"/>
    <m/>
    <m/>
    <n v="14"/>
    <d v="2026-09-22T00:00:00"/>
    <d v="2026-09-02T00:00:00"/>
    <s v="N/A"/>
    <s v="N/A"/>
    <d v="2026-09-21T00:00:00"/>
    <s v="EMCA-I-5450-2026"/>
    <s v="Cerrado"/>
    <s v="SI"/>
    <m/>
  </r>
  <r>
    <s v="PQR-SUI-3"/>
    <s v="3238/2026"/>
    <d v="2026-09-02T00:00:00"/>
    <s v="Verbal"/>
    <x v="3"/>
    <s v="USUARIA REPORTA PREDIO DESOCUPADO"/>
    <x v="1"/>
    <n v="114"/>
    <s v="Descuento por predio desocupado"/>
    <x v="3"/>
    <s v="SI"/>
    <s v="CLAUDIA PATRICIA VALENCIA ECHEVERRY"/>
    <n v="1188100"/>
    <m/>
    <m/>
    <n v="14"/>
    <d v="2026-09-22T00:00:00"/>
    <d v="2026-09-02T00:00:00"/>
    <s v="N/A"/>
    <s v="N/A"/>
    <d v="2026-09-22T00:00:00"/>
    <s v="EMCA-I-5459-2026"/>
    <s v="Cerrado"/>
    <s v="SI"/>
    <m/>
  </r>
  <r>
    <s v="PQR-SUI-3"/>
    <s v="3239/2026"/>
    <d v="2026-09-02T00:00:00"/>
    <s v="Verbal"/>
    <x v="3"/>
    <s v="USUARIA SOLICITA AJUSTE EN LA FACTURA POR DESCUENTO DE PREDIO DESOCUPADO DE ACUERDO A LA RESPUESTA DEL RECLAMO 8063"/>
    <x v="1"/>
    <n v="114"/>
    <s v="Descuento por predio desocupado"/>
    <x v="8"/>
    <s v="SI"/>
    <s v="LUZ ADRIANA QUINTERO MONTOYA"/>
    <n v="1107220"/>
    <m/>
    <m/>
    <n v="14"/>
    <d v="2026-09-22T00:00:00"/>
    <s v="N/A"/>
    <s v="N/A"/>
    <s v="N/A"/>
    <d v="2026-09-22T00:00:00"/>
    <s v="EMCA-I-5464-2026"/>
    <s v="Cerrado"/>
    <s v="SI"/>
    <m/>
  </r>
  <r>
    <s v="PQR-SUI-5"/>
    <s v="3240/2026"/>
    <d v="2026-09-02T00:00:00"/>
    <s v="Verbal"/>
    <x v="5"/>
    <s v="1082321 USUARIO REPORTA DAÑO EN LA RED DE ALCANTARILLADO"/>
    <x v="2"/>
    <n v="316"/>
    <s v="Estado de la Infraestructura "/>
    <x v="9"/>
    <s v="SI"/>
    <s v="EIDER ALEXANDER SEGOVIA"/>
    <n v="1082321"/>
    <m/>
    <m/>
    <n v="14"/>
    <d v="2026-09-22T00:00:00"/>
    <s v="N/A"/>
    <s v="N/A"/>
    <s v="N/A"/>
    <d v="2026-09-22T00:00:00"/>
    <s v="EMCA-I-5464-2026"/>
    <s v="Cerrado"/>
    <s v="SI"/>
    <m/>
  </r>
  <r>
    <s v="PQR-SUI-7"/>
    <s v="3241/2026"/>
    <d v="2026-09-02T00:00:00"/>
    <s v="Verbal"/>
    <x v="1"/>
    <s v="USUARIO SOLICITA AJUSTE EN LA FACTURA YA QUE POR ERROR EN LA ORDEN DEL TRABAJO SE COBRO 5 METROS DE TUBERIA Y SE INSTALO 30 CM"/>
    <x v="1"/>
    <n v="113"/>
    <s v="Cobro de otros bienes o servicios en la factura, no autorizados por el usuario"/>
    <x v="10"/>
    <s v="SI"/>
    <s v="ABEL SAIS GARZON"/>
    <n v="1037520"/>
    <m/>
    <m/>
    <n v="14"/>
    <d v="2026-09-22T00:00:00"/>
    <d v="2026-09-02T00:00:00"/>
    <s v="N/A"/>
    <s v="N/A"/>
    <d v="2026-09-21T00:00:00"/>
    <s v="EMCA-I-5470-2026"/>
    <s v="Cerrado"/>
    <s v="SI"/>
    <m/>
  </r>
  <r>
    <s v="PQR-SUI-8"/>
    <s v="3242/2026"/>
    <d v="2026-09-02T00:00:00"/>
    <s v="Verbal"/>
    <x v="1"/>
    <s v="USUARIA SOLICTA CAMBIO DE LLAVE DE PASO LLAMAR ANTES DE IR"/>
    <x v="2"/>
    <n v="316"/>
    <s v="Estado de la Infraestructura "/>
    <x v="11"/>
    <s v="SI"/>
    <s v="ACOSTA DONNELIA BORJA"/>
    <n v="1243117"/>
    <m/>
    <m/>
    <n v="14"/>
    <d v="2026-09-22T00:00:00"/>
    <d v="2026-09-02T00:00:00"/>
    <s v="N/A"/>
    <s v="N/A"/>
    <d v="2026-09-21T00:00:00"/>
    <s v="EMCA-I-5449-2026"/>
    <s v="Cerrado"/>
    <s v="SI"/>
    <m/>
  </r>
  <r>
    <s v="PQR-SUI-9"/>
    <s v="3243/2026"/>
    <d v="2026-09-02T00:00:00"/>
    <s v="Verbal"/>
    <x v="1"/>
    <s v="USUARIA SOLICITA CAMBIO DE LLAVE DE PASO"/>
    <x v="2"/>
    <n v="316"/>
    <s v="Estado de la Infraestructura "/>
    <x v="11"/>
    <m/>
    <s v="ACOSTA DONNELIA BORJA"/>
    <n v="1243117"/>
    <m/>
    <m/>
    <n v="14"/>
    <d v="2026-09-22T00:00:00"/>
    <m/>
    <m/>
    <m/>
    <m/>
    <m/>
    <s v="ABIERTA FUERA DE LOS TÉRMINOS"/>
    <m/>
    <m/>
  </r>
  <r>
    <s v="PQR-IN-6"/>
    <s v="3244/2026"/>
    <d v="2026-09-02T00:00:00"/>
    <s v="Verbal"/>
    <x v="3"/>
    <s v="1155900 USUARIO SOLICITA LE RECOJAN 3 COLCHONES Y 3 MUEBLES"/>
    <x v="0"/>
    <n v="503"/>
    <s v="Solicitud General"/>
    <x v="6"/>
    <s v="NO"/>
    <s v="GERMAN EMILIO VANEGAS"/>
    <m/>
    <m/>
    <m/>
    <n v="14"/>
    <d v="2026-09-22T00:00:00"/>
    <d v="2026-09-02T00:00:00"/>
    <s v="N/A"/>
    <s v="N/A"/>
    <d v="2026-09-21T00:00:00"/>
    <s v="EMCA-I-5447-2026"/>
    <s v="Cerrado"/>
    <s v="SI"/>
    <m/>
  </r>
  <r>
    <s v="PQR-IN-14"/>
    <s v="3245/2026"/>
    <d v="2026-09-02T00:00:00"/>
    <s v="Documento Físico"/>
    <x v="5"/>
    <s v="O-JA-0008-2026 SEGUNDO DERECHO PETICIÓN -SOLICITUD DE CUMPLIMIENTO DE LOS COMPROMISOS ADQUIRIDOS Y EJECUCIÓN DEL PROBLEMA DEL ALCANTARILLADO DE LA MZ 22 BARRIO LLANITOS PILOTO"/>
    <x v="2"/>
    <n v="316"/>
    <s v="Estado de la Infraestructura "/>
    <x v="9"/>
    <s v="SI"/>
    <s v="HENRY PEÑA MEDINA"/>
    <m/>
    <m/>
    <m/>
    <n v="14"/>
    <d v="2026-09-22T00:00:00"/>
    <m/>
    <m/>
    <m/>
    <m/>
    <m/>
    <s v="ABIERTA FUERA DE LOS TÉRMINOS"/>
    <m/>
    <m/>
  </r>
  <r>
    <s v="PQR-SUI-10"/>
    <s v="3246/2026"/>
    <d v="2026-09-02T00:00:00"/>
    <s v="Verbal"/>
    <x v="1"/>
    <s v="USUARIA REPORTA DEFICIENCIA DE PRESION YA QUE LLEGA POCA AGUA AL PREDIO"/>
    <x v="2"/>
    <n v="304"/>
    <s v="Variaciones en las características del suministro o prestación del servicio"/>
    <x v="12"/>
    <m/>
    <s v="ALBA DELIS OLARTE GUZMAN"/>
    <n v="1145540"/>
    <m/>
    <m/>
    <n v="14"/>
    <d v="2026-09-22T00:00:00"/>
    <m/>
    <m/>
    <m/>
    <m/>
    <m/>
    <s v="ABIERTA FUERA DE LOS TÉRMINOS"/>
    <m/>
    <m/>
  </r>
  <r>
    <s v="PQR-IN-12"/>
    <s v="3247/2026"/>
    <d v="2026-09-02T00:00:00"/>
    <s v="Correo Electrónico"/>
    <x v="2"/>
    <s v="SOLICITUD DE COTIZACIÓN DE CARACTERIZACIÓN CONSULTORIO ODONTOLOGICO DRA TATIANA SAA"/>
    <x v="0"/>
    <n v="503"/>
    <s v="Solicitud General"/>
    <x v="2"/>
    <s v="SI"/>
    <s v="TATIANA MARIA SAA BLANCO"/>
    <m/>
    <m/>
    <s v="porasignar@gmail.com"/>
    <n v="14"/>
    <d v="2026-09-22T00:00:00"/>
    <d v="2026-09-02T00:00:00"/>
    <s v="N/A"/>
    <s v="N/A"/>
    <d v="2026-09-17T00:00:00"/>
    <s v="EMCA-I-5384-2026"/>
    <s v="Cerrado"/>
    <s v="SI"/>
    <s v="SI"/>
  </r>
  <r>
    <s v="PQR-SUI-20"/>
    <s v="3248/2026"/>
    <d v="2026-09-02T00:00:00"/>
    <s v="Correo Electrónico"/>
    <x v="5"/>
    <s v="GESTION PARA SUBSANAR DE LA SECRETARIA DE SALUD EN EL ALOJAMIENTO TEMPORAL COLISEO DEL SUR LIMPIEZA DE POZO SEPTICO"/>
    <x v="2"/>
    <n v="316"/>
    <s v="Estado de la Infraestructura "/>
    <x v="13"/>
    <s v="SI"/>
    <s v="ALCALDIA CALARCÁ"/>
    <m/>
    <m/>
    <s v="asuntosadministrativos@calarca-quindio.gov.co"/>
    <n v="14"/>
    <d v="2026-09-22T00:00:00"/>
    <m/>
    <m/>
    <m/>
    <m/>
    <m/>
    <s v="ABIERTA FUERA DE LOS TÉRMINOS"/>
    <m/>
    <m/>
  </r>
  <r>
    <s v="PQR-SUI-27"/>
    <s v="3249/2026"/>
    <d v="2026-09-02T00:00:00"/>
    <s v="Correo Electrónico"/>
    <x v="5"/>
    <s v="DERECHO DE PETICIÓN NUEVAMENTE SE REALIZA LA PRESENTACIÓN DE LOS HECHOS OCURRIDOS POR VERTIMIENTOS AL SISTEMA DE ALCANTARILLADO"/>
    <x v="2"/>
    <n v="316"/>
    <s v="Estado de la Infraestructura "/>
    <x v="9"/>
    <m/>
    <s v="WILLINGTON VALENCIA SAMBONI"/>
    <m/>
    <m/>
    <s v="willingtonvalencia1982@gmail.com"/>
    <n v="14"/>
    <d v="2026-09-22T00:00:00"/>
    <m/>
    <m/>
    <m/>
    <m/>
    <m/>
    <s v="ABIERTA FUERA DE LOS TÉRMINOS"/>
    <m/>
    <m/>
  </r>
  <r>
    <s v="PQR-IN-7"/>
    <s v="3250/2026"/>
    <d v="2026-09-02T00:00:00"/>
    <s v="Verbal"/>
    <x v="3"/>
    <s v="USUARIA SOLICITA QUE RECOJAN UNAS GUADUAS UNAS TEJAS DE BARRO EN LA DIRECCION CL 31 # 25-42"/>
    <x v="0"/>
    <n v="503"/>
    <s v="Solicitud General"/>
    <x v="6"/>
    <s v="SI"/>
    <s v="BLANCA RUBY ROA PULIDO"/>
    <m/>
    <m/>
    <m/>
    <n v="14"/>
    <d v="2026-09-22T00:00:00"/>
    <s v="N/A"/>
    <s v="N/A"/>
    <d v="2026-09-21T00:00:00"/>
    <d v="2026-09-22T00:00:00"/>
    <s v="EMCA-I-5481-2026"/>
    <s v="Cerrado"/>
    <s v="SI"/>
    <m/>
  </r>
  <r>
    <s v="PQR-SUI-11"/>
    <s v="3251/2026"/>
    <d v="2026-09-02T00:00:00"/>
    <s v="Verbal"/>
    <x v="1"/>
    <s v="USUARIA REPORTA DEFICIENCIA DE PRESION YA QUE AL PREDIO SE LE FUE LA PRESION DEL AGUA"/>
    <x v="2"/>
    <n v="304"/>
    <s v="Variaciones en las características del suministro o prestación del servicio"/>
    <x v="12"/>
    <s v="NO"/>
    <s v="LUZ DARY CABALLERO"/>
    <n v="1215940"/>
    <m/>
    <m/>
    <n v="14"/>
    <d v="2026-09-22T00:00:00"/>
    <s v="N/A"/>
    <s v="N/A"/>
    <d v="2026-09-21T00:00:00"/>
    <d v="2026-09-22T00:00:00"/>
    <s v="EMCA-I-5482-2026"/>
    <s v="Cerrado"/>
    <s v="SI"/>
    <m/>
  </r>
  <r>
    <s v="PQR-SUI-12"/>
    <s v="3252/2026"/>
    <d v="2026-09-02T00:00:00"/>
    <s v="Verbal"/>
    <x v="1"/>
    <s v="USUARIO SOLICITA CAMBIO DE LLAVE DE PASO"/>
    <x v="2"/>
    <n v="316"/>
    <s v="Estado de la Infraestructura "/>
    <x v="11"/>
    <s v="SI"/>
    <s v="ANTONIO DE JESUS ESCOBAR FERNANDEZ"/>
    <m/>
    <m/>
    <m/>
    <n v="14"/>
    <d v="2026-09-22T00:00:00"/>
    <s v="N/A"/>
    <s v="N/A"/>
    <d v="2026-09-21T00:00:00"/>
    <d v="2026-09-22T00:00:00"/>
    <s v="EMCA-I-5483-2026"/>
    <s v="Cerrado"/>
    <s v="SI"/>
    <m/>
  </r>
  <r>
    <s v="PQR-SUI-13"/>
    <s v="3253/2026"/>
    <d v="2026-09-02T00:00:00"/>
    <s v="Verbal"/>
    <x v="4"/>
    <s v="USUARIO REPORTA INCONFORMIDAD CON EL CONSUMO DEL MES DE AGOSTO YA QUE SE INCREMENTO BASTANTE EL CONSUMO LLAMAR ANTES DE IR"/>
    <x v="1"/>
    <n v="127"/>
    <s v="Inconformidad por desviación significativa"/>
    <x v="5"/>
    <s v="NO"/>
    <s v="JUAN ANDRES OLAYA VANEGAS"/>
    <n v="1000100"/>
    <m/>
    <m/>
    <n v="14"/>
    <d v="2026-09-22T00:00:00"/>
    <s v="N/A"/>
    <s v="N/A"/>
    <d v="2026-09-21T00:00:00"/>
    <d v="2026-09-22T00:00:00"/>
    <s v="EMCA-I-5492-2026"/>
    <s v="Cerrado"/>
    <s v="SI"/>
    <m/>
  </r>
  <r>
    <s v="PQR-SUI-14"/>
    <s v="3254/2026"/>
    <d v="2026-09-02T00:00:00"/>
    <s v="Verbal"/>
    <x v="3"/>
    <s v="USUARIO REPORTA PREDIO DESOCUPADO"/>
    <x v="1"/>
    <n v="114"/>
    <s v="Descuento por predio desocupado"/>
    <x v="3"/>
    <m/>
    <s v="CRISTHIAN FELIPE VANEGAS TELLEZ"/>
    <n v="1214960"/>
    <m/>
    <s v="vanegastelcristhian@miugca.edu.co"/>
    <n v="14"/>
    <d v="2026-09-22T00:00:00"/>
    <s v="N/A"/>
    <s v="N/A"/>
    <d v="2026-09-21T00:00:00"/>
    <d v="2026-09-22T00:00:00"/>
    <s v="EMCA-I-5471-2026"/>
    <s v="Cerrado"/>
    <s v="SI"/>
    <m/>
  </r>
  <r>
    <s v="PQR-SUI-15"/>
    <s v="3255/2026"/>
    <d v="2026-09-02T00:00:00"/>
    <s v="Verbal"/>
    <x v="3"/>
    <s v="USUARIO REPORTA PREDIO DESOCUPADO"/>
    <x v="1"/>
    <n v="114"/>
    <s v="Descuento por predio desocupado"/>
    <x v="3"/>
    <m/>
    <s v="G. DUVAN SANCHEZ"/>
    <m/>
    <m/>
    <m/>
    <n v="14"/>
    <d v="2026-09-22T00:00:00"/>
    <s v="N/A"/>
    <s v="N/A"/>
    <d v="2026-09-21T00:00:00"/>
    <d v="2026-09-22T00:00:00"/>
    <s v="EMCA-I-5458-2026"/>
    <s v="Cerrado"/>
    <s v="SI"/>
    <m/>
  </r>
  <r>
    <s v="PQR-IN-11"/>
    <s v="3256/2026"/>
    <d v="2026-09-02T00:00:00"/>
    <s v="Verbal"/>
    <x v="6"/>
    <s v="USUARIA REPORTA LUMINARIA APAGADA FRENTE A LA CARRERA 21 # 36 - 18"/>
    <x v="2"/>
    <n v="316"/>
    <s v="Estado de la Infraestructura "/>
    <x v="14"/>
    <m/>
    <s v="IVON OSMA"/>
    <n v="1116300"/>
    <m/>
    <m/>
    <n v="14"/>
    <d v="2026-09-22T00:00:00"/>
    <m/>
    <m/>
    <m/>
    <m/>
    <m/>
    <s v="ABIERTA FUERA DE LOS TÉRMINOS"/>
    <m/>
    <m/>
  </r>
  <r>
    <s v="PQR-SUI-16"/>
    <s v="3257/2026"/>
    <d v="2026-09-02T00:00:00"/>
    <s v="Verbal"/>
    <x v="1"/>
    <s v="USUARIA REPORTA DEFICIENCIA DE PRESION YA QUE LLEGA MUY POCA AGUA AL PREDIO"/>
    <x v="2"/>
    <n v="304"/>
    <s v="Variaciones en las características del suministro o prestación del servicio"/>
    <x v="12"/>
    <m/>
    <s v="NATALIA GOMEZ MARTINEZ"/>
    <m/>
    <m/>
    <m/>
    <n v="14"/>
    <d v="2026-09-22T00:00:00"/>
    <m/>
    <m/>
    <m/>
    <m/>
    <m/>
    <s v="ABIERTA FUERA DE LOS TÉRMINOS"/>
    <m/>
    <m/>
  </r>
  <r>
    <s v="PQR-SUI-17"/>
    <s v="3258/2026"/>
    <d v="2026-09-02T00:00:00"/>
    <s v="Verbal"/>
    <x v="3"/>
    <s v="USUARIO REPORTA PREDIO DESOCUPADO"/>
    <x v="1"/>
    <n v="114"/>
    <s v="Descuento por predio desocupado"/>
    <x v="3"/>
    <m/>
    <s v="ALEXANDER GUEVARA LONDOÑO"/>
    <m/>
    <m/>
    <m/>
    <n v="14"/>
    <d v="2026-09-22T00:00:00"/>
    <s v="N/A"/>
    <s v="N/A"/>
    <d v="2026-09-21T00:00:00"/>
    <d v="2026-09-22T00:00:00"/>
    <s v="EMCA-I-5472-2026"/>
    <s v="Cerrado"/>
    <s v="SI"/>
    <m/>
  </r>
  <r>
    <s v="PQR-SUI-8"/>
    <s v="3259/2026"/>
    <d v="2026-09-03T00:00:00"/>
    <s v="Documento Físico"/>
    <x v="1"/>
    <s v="PRESUNTO ROBO DE AGUA EN LA CRA 27 A # 30B-79"/>
    <x v="2"/>
    <n v="306"/>
    <s v="No atención de condiciones de seguridad o riesgo"/>
    <x v="15"/>
    <m/>
    <s v="GLADYS CARDONA GRANADA"/>
    <m/>
    <m/>
    <m/>
    <n v="14"/>
    <d v="2026-09-22T00:00:00"/>
    <s v="N/A"/>
    <s v="N/A"/>
    <d v="2026-09-21T00:00:00"/>
    <d v="2026-09-22T00:00:00"/>
    <s v="EMCA-I-5484-2026"/>
    <s v="Cerrado"/>
    <s v="SI"/>
    <m/>
  </r>
  <r>
    <s v="PQR-SUI-29"/>
    <s v="3260/2026"/>
    <d v="2026-09-03T00:00:00"/>
    <s v="Documento Físico"/>
    <x v="3"/>
    <s v="SOLICITUD DE SUSPENSIÓN TEMPORAL DE COBROS POR SEVICIOS DE ASEO,ACUEDUCTO Y ALCANTARILLADO DEL PREDIO EDIFICIO SAN JOSE CRA 23 # 38-55"/>
    <x v="1"/>
    <n v="114"/>
    <s v="Descuento por predio desocupado"/>
    <x v="3"/>
    <s v="SI"/>
    <s v="EDIFICIO SAN JOSE CALARCA"/>
    <m/>
    <m/>
    <m/>
    <n v="14"/>
    <d v="2026-09-23T00:00:00"/>
    <d v="2026-09-04T00:00:00"/>
    <s v="N/A"/>
    <s v="N/A"/>
    <d v="2026-09-22T00:00:00"/>
    <s v="EMCA-I-5515-2026"/>
    <s v="Cerrado"/>
    <s v="SI"/>
    <m/>
  </r>
  <r>
    <s v="PQR-SUI-23"/>
    <s v="3261/2026"/>
    <d v="2026-09-03T00:00:00"/>
    <s v="Documento Físico"/>
    <x v="5"/>
    <s v="SOLICITUD EMPALME DE RED DE ALCANTARILLADO BARRIO VALENCIA CRA 27A # 30A-284"/>
    <x v="2"/>
    <n v="316"/>
    <s v="Estado de la Infraestructura "/>
    <x v="16"/>
    <s v="SI"/>
    <s v="STELLA AMERICA APRAEZ OVIEDO"/>
    <m/>
    <m/>
    <m/>
    <n v="14"/>
    <d v="2026-09-23T00:00:00"/>
    <d v="2026-09-04T00:00:00"/>
    <s v="N/A"/>
    <s v="N/A"/>
    <d v="2026-09-23T00:00:00"/>
    <s v="EMCA-I-5488-2026"/>
    <s v="Cerrado"/>
    <s v="SI"/>
    <m/>
  </r>
  <r>
    <s v="PQR-SUI-24"/>
    <s v="3262/2026"/>
    <d v="2026-09-03T00:00:00"/>
    <s v="Documento Físico"/>
    <x v="5"/>
    <s v="SOLICITUD DE REPARACIÓN DE ALCANTARILLADO CALLE 40A No. 31B - 20"/>
    <x v="2"/>
    <n v="316"/>
    <s v="Estado de la Infraestructura "/>
    <x v="9"/>
    <m/>
    <s v="JOSE ALDEMAR PAZ CASTAÑO"/>
    <m/>
    <m/>
    <m/>
    <n v="14"/>
    <d v="2026-09-23T00:00:00"/>
    <m/>
    <m/>
    <m/>
    <m/>
    <m/>
    <s v="ABIERTA FUERA DE LOS TÉRMINOS"/>
    <m/>
    <m/>
  </r>
  <r>
    <s v="PQR-IN-15"/>
    <s v="3263/2026"/>
    <d v="2026-09-03T00:00:00"/>
    <s v="Documento Físico"/>
    <x v="7"/>
    <s v="SOLICITUD ARRENDAMIENTO DE LOCALES COMERCIALES - PLAZA DE MERCADO"/>
    <x v="0"/>
    <n v="502"/>
    <s v="Vinculación del Servicio"/>
    <x v="17"/>
    <m/>
    <s v="TORRES MARTINEZ ANA ODILIA"/>
    <m/>
    <m/>
    <m/>
    <n v="14"/>
    <d v="2026-09-23T00:00:00"/>
    <s v="N/A"/>
    <s v="N/A"/>
    <s v="N/A"/>
    <d v="2026-09-23T00:00:00"/>
    <s v="EMCA-I-5487-2026"/>
    <s v="Cerrado"/>
    <s v="SI"/>
    <m/>
  </r>
  <r>
    <s v="PQR-SUI-25"/>
    <s v="3264/2026"/>
    <d v="2026-09-03T00:00:00"/>
    <s v="Verbal"/>
    <x v="3"/>
    <s v="USUARIA REPORTA PREDIO DESOCUPADO"/>
    <x v="1"/>
    <n v="114"/>
    <s v="Descuento por predio desocupado"/>
    <x v="3"/>
    <s v="SI"/>
    <s v="LINA CARMENZA MENESES"/>
    <m/>
    <m/>
    <m/>
    <n v="14"/>
    <d v="2026-09-23T00:00:00"/>
    <s v="N/A"/>
    <s v="N/A"/>
    <d v="2026-09-23T00:00:00"/>
    <d v="2026-09-23T00:00:00"/>
    <s v="EMCA-I-5500-2026"/>
    <s v="Cerrado"/>
    <s v="SI"/>
    <m/>
  </r>
  <r>
    <s v="PQR-SUI-26"/>
    <s v="3265/2026"/>
    <d v="2026-09-03T00:00:00"/>
    <s v="Verbal"/>
    <x v="3"/>
    <s v="USUARIO REPORTA PREDIO DESOCUPADO DIRECCION DE NOTIFICACION BALCONES DE LA VILLA MZ 8 CASA 13"/>
    <x v="1"/>
    <n v="114"/>
    <s v="Descuento por predio desocupado"/>
    <x v="3"/>
    <s v="SI"/>
    <s v="JOSE RUBIEL HENAO VARGAS"/>
    <m/>
    <m/>
    <m/>
    <n v="14"/>
    <d v="2026-09-23T00:00:00"/>
    <s v="N/A"/>
    <s v="N/A"/>
    <d v="2026-09-23T00:00:00"/>
    <d v="2026-09-23T00:00:00"/>
    <s v="EMCA-I-5499-2026"/>
    <s v="Cerrado"/>
    <s v="SI"/>
    <m/>
  </r>
  <r>
    <s v="PQR-SUI-28"/>
    <s v="3266/2026"/>
    <d v="2026-09-03T00:00:00"/>
    <s v="Documento Físico"/>
    <x v="6"/>
    <s v="SOLICITUD REVISION PREVENTIVA DE TUBERIA DE ALCANTARILLADO - CRA 18 ENTRE CALLES 38 Y 37"/>
    <x v="2"/>
    <n v="316"/>
    <s v="Estado de la Infraestructura "/>
    <x v="18"/>
    <m/>
    <s v="ACCION COMUNAL JUNTA"/>
    <m/>
    <m/>
    <m/>
    <n v="14"/>
    <d v="2026-09-23T00:00:00"/>
    <m/>
    <m/>
    <m/>
    <m/>
    <m/>
    <s v="ABIERTA FUERA DE LOS TÉRMINOS"/>
    <m/>
    <m/>
  </r>
  <r>
    <s v="PQR-IN-16"/>
    <s v="3267/2026"/>
    <d v="2026-09-03T00:00:00"/>
    <s v="Documento Físico"/>
    <x v="2"/>
    <s v="SOLICITUD DE COTIZACIÓN ANÁLISIS DE MUESTRAS DE VERTIMIENTOS - CONDOMINIO EL BOSQUE"/>
    <x v="0"/>
    <n v="503"/>
    <s v="Solicitud General"/>
    <x v="2"/>
    <s v="SI"/>
    <s v="CONDOMINIO EL BOSQUE"/>
    <m/>
    <n v="3113209682"/>
    <s v="ccelbosque2025@gmail.com"/>
    <n v="14"/>
    <d v="2026-09-23T00:00:00"/>
    <d v="2026-09-03T00:00:00"/>
    <s v="N/A"/>
    <s v="N/A"/>
    <d v="2026-09-15T00:00:00"/>
    <s v="EMCA-I-5328-2026"/>
    <s v="Cerrado"/>
    <s v="SI"/>
    <s v="SI"/>
  </r>
  <r>
    <s v="PQR-SUI-3}0"/>
    <s v="3268/2026"/>
    <d v="2026-09-03T00:00:00"/>
    <s v="Verbal"/>
    <x v="3"/>
    <s v="USUARIO REPORTA PREDIO DESOCUPADO DIRECCION DE CORRESPONDECIA CR 22 # 37-47"/>
    <x v="1"/>
    <n v="114"/>
    <s v="Descuento por predio desocupado"/>
    <x v="3"/>
    <s v="SI"/>
    <s v="DALADIER CABALLERO JOSE"/>
    <m/>
    <m/>
    <m/>
    <n v="14"/>
    <d v="2026-09-23T00:00:00"/>
    <s v="N/A"/>
    <s v="N/A"/>
    <d v="2026-09-23T00:00:00"/>
    <d v="2026-09-23T00:00:00"/>
    <s v="EMCA-I-5498-2026"/>
    <s v="Cerrado"/>
    <s v="SI"/>
    <m/>
  </r>
  <r>
    <s v="PQR-SUI-31"/>
    <s v="3269/2026"/>
    <d v="2026-09-03T00:00:00"/>
    <s v="Verbal"/>
    <x v="1"/>
    <s v="USUARIO SOLICITA REVISION DE REDES DE ACUEDUCTO YA QUE NO TIENE AGUA Y NO ESTA SUSPENDIDO LLAMAR ANTES DE IR"/>
    <x v="2"/>
    <n v="316"/>
    <s v="Estado de la Infraestructura "/>
    <x v="18"/>
    <s v="SI"/>
    <s v="JUAN PABLO SANTAMARIA MORALES"/>
    <m/>
    <m/>
    <m/>
    <n v="14"/>
    <d v="2026-09-23T00:00:00"/>
    <d v="2026-09-03T00:00:00"/>
    <s v="N/A"/>
    <s v="N/A"/>
    <d v="2026-09-23T00:00:00"/>
    <s v="EMCA-I-5486-2026"/>
    <s v="Cerrado"/>
    <s v="SI"/>
    <m/>
  </r>
  <r>
    <s v="PQR-SUI-32"/>
    <s v="3270/2026"/>
    <d v="2026-09-03T00:00:00"/>
    <s v="Verbal"/>
    <x v="3"/>
    <s v="USUARIO REPORTA PREDIO DESOCUPADO POR EVACUACION"/>
    <x v="1"/>
    <n v="114"/>
    <s v="Descuento por predio desocupado"/>
    <x v="3"/>
    <s v="SI"/>
    <s v="ALBERTO GIRALDO ABEL"/>
    <n v="1048520"/>
    <m/>
    <m/>
    <n v="14"/>
    <d v="2026-09-23T00:00:00"/>
    <s v="N/A"/>
    <s v="N/A"/>
    <d v="2026-09-22T00:00:00"/>
    <d v="2026-09-23T00:00:00"/>
    <s v="EMCA-I-5508-2026"/>
    <s v="Cerrado"/>
    <s v="SI"/>
    <m/>
  </r>
  <r>
    <s v="PQR-SUI-33"/>
    <s v="3271/2026"/>
    <d v="2026-09-03T00:00:00"/>
    <s v="Verbal"/>
    <x v="3"/>
    <s v="USUARIO REPORTA PREDIO DESOCUPADO POR DEMOLICION"/>
    <x v="1"/>
    <n v="114"/>
    <s v="Descuento por predio desocupado"/>
    <x v="3"/>
    <m/>
    <s v="ALVARO VALENCIA"/>
    <n v="1216940"/>
    <m/>
    <m/>
    <n v="14"/>
    <d v="2026-09-23T00:00:00"/>
    <m/>
    <m/>
    <m/>
    <m/>
    <m/>
    <s v="ABIERTA FUERA DE LOS TÉRMINOS"/>
    <m/>
    <m/>
  </r>
  <r>
    <s v="PQR-SUI-34"/>
    <s v="3272/2026"/>
    <d v="2026-09-04T00:00:00"/>
    <s v="Verbal"/>
    <x v="3"/>
    <s v="USUARIO REPORTA PREDIO DESOCUPADO"/>
    <x v="1"/>
    <n v="114"/>
    <s v="Descuento por predio desocupado"/>
    <x v="3"/>
    <s v="SI"/>
    <s v="MARIA ACENETH OCAMPO MARIN"/>
    <n v="1251278"/>
    <m/>
    <m/>
    <n v="14"/>
    <d v="2026-09-23T00:00:00"/>
    <s v="N/A"/>
    <s v="N/A"/>
    <d v="2026-09-22T00:00:00"/>
    <d v="2026-09-23T00:00:00"/>
    <s v="EMCA-I-5522-2026"/>
    <s v="Cerrado"/>
    <s v="SI"/>
    <m/>
  </r>
  <r>
    <s v="PQR-IN-17"/>
    <s v="3273/2026"/>
    <d v="2026-09-04T00:00:00"/>
    <s v="Documento Físico"/>
    <x v="3"/>
    <s v="SOLICITUD DE REMOCION Y RECOLECCION DE MUEBLES"/>
    <x v="0"/>
    <n v="503"/>
    <s v="Solicitud General"/>
    <x v="6"/>
    <s v="NO"/>
    <s v="MARTHA PATRICIA GALINDO GALINDO"/>
    <m/>
    <m/>
    <m/>
    <n v="14"/>
    <d v="2026-09-24T00:00:00"/>
    <d v="2026-09-04T00:00:00"/>
    <s v="N/A"/>
    <s v="N/A"/>
    <d v="2026-09-23T00:00:00"/>
    <s v="EMCA-I-5521-2026"/>
    <s v="Cerrado"/>
    <s v="SI"/>
    <m/>
  </r>
  <r>
    <s v="PQR-IN-18"/>
    <s v="3274/2026"/>
    <d v="2026-09-04T00:00:00"/>
    <s v="Verbal"/>
    <x v="3"/>
    <s v="1241504 USUARIO REPORTA QUE EL PREDIO QUEDA DESOCUPADO YA QUE SALE DE VIAJE"/>
    <x v="1"/>
    <n v="114"/>
    <s v="Descuento por predio desocupado"/>
    <x v="3"/>
    <m/>
    <s v="FERNANDO ALZATE"/>
    <m/>
    <m/>
    <m/>
    <n v="14"/>
    <d v="2026-09-24T00:00:00"/>
    <m/>
    <m/>
    <m/>
    <m/>
    <m/>
    <s v="ABIERTA FUERA DE LOS TÉRMINOS"/>
    <m/>
    <m/>
  </r>
  <r>
    <s v="PQR-SUI-35"/>
    <s v="3275/2026"/>
    <d v="2026-09-04T00:00:00"/>
    <s v="Verbal"/>
    <x v="4"/>
    <s v="AJUSTE DE ACUERDO CON LA RESPUESTA EMCA-I-4784-2026"/>
    <x v="1"/>
    <n v="127"/>
    <s v="Inconformidad por desviación significativa"/>
    <x v="5"/>
    <m/>
    <s v="MARIA ORFANELI BUITRAGO SANCHEZ"/>
    <m/>
    <m/>
    <m/>
    <n v="14"/>
    <d v="2026-09-24T00:00:00"/>
    <m/>
    <m/>
    <m/>
    <m/>
    <m/>
    <s v="ABIERTA FUERA DE LOS TÉRMINOS"/>
    <m/>
    <m/>
  </r>
  <r>
    <s v="PQR-IN-19"/>
    <s v="3276/2026"/>
    <d v="2026-09-04T00:00:00"/>
    <s v="Documento Físico"/>
    <x v="3"/>
    <s v="SOLICITUD DE RECOLECCIÓN DE ESCOMBROS CRA 23 No. 38-55 - EDIFICIO SAN JOSE"/>
    <x v="0"/>
    <n v="503"/>
    <s v="Solicitud General"/>
    <x v="6"/>
    <s v="SI"/>
    <s v="MARIA CECILIA MURILLO TORRES"/>
    <m/>
    <m/>
    <m/>
    <n v="14"/>
    <d v="2026-09-24T00:00:00"/>
    <d v="2026-09-04T00:00:00"/>
    <s v="N/A"/>
    <s v="N/A"/>
    <d v="2026-09-23T00:00:00"/>
    <s v="EMCA-I-5520-2026"/>
    <s v="Cerrado"/>
    <s v="SI"/>
    <m/>
  </r>
  <r>
    <s v="PQR-SUI-37"/>
    <s v="3277/2026"/>
    <d v="2026-09-04T00:00:00"/>
    <s v="Documento Físico"/>
    <x v="4"/>
    <s v="SOLICITUD DE REVISIÓN DE CONSUMO Y FACTURACIÓN EL SERVICIO DE ACUEDUCTO"/>
    <x v="1"/>
    <n v="127"/>
    <s v="Inconformidad por desviación significativa"/>
    <x v="5"/>
    <s v="NO"/>
    <s v="LILIANA TORRES"/>
    <n v="1254016"/>
    <m/>
    <m/>
    <n v="14"/>
    <d v="2026-09-24T00:00:00"/>
    <s v="N/A"/>
    <s v="N/A"/>
    <d v="2026-09-22T00:00:00"/>
    <d v="2026-09-24T00:00:00"/>
    <s v="EMCA-I-5523-2026"/>
    <s v="Cerrado"/>
    <s v="SI"/>
    <m/>
  </r>
  <r>
    <s v="PQR-SUI-38"/>
    <s v="3278/2026"/>
    <d v="2026-09-07T00:00:00"/>
    <s v="Verbal"/>
    <x v="3"/>
    <s v="USUARIO REPORTA PREDIO DESOCUPADO POR EVACUACION"/>
    <x v="1"/>
    <n v="114"/>
    <s v="Descuento por predio desocupado"/>
    <x v="3"/>
    <s v="SI"/>
    <s v="ALVARO VALENCIA"/>
    <n v="1016340"/>
    <m/>
    <m/>
    <n v="14"/>
    <d v="2026-09-24T00:00:00"/>
    <s v="N/A"/>
    <s v="N/A"/>
    <d v="2026-09-22T00:00:00"/>
    <d v="2026-09-23T00:00:00"/>
    <s v="EMCA-I-5519-2026"/>
    <s v="Cerrado"/>
    <s v="SI"/>
    <m/>
  </r>
  <r>
    <s v="PQR-SUI-40"/>
    <s v="3279/2026"/>
    <d v="2026-09-07T00:00:00"/>
    <s v="Verbal"/>
    <x v="1"/>
    <s v="USUARIA REPORTA FUGA EN EL MEDIDOR"/>
    <x v="2"/>
    <n v="316"/>
    <s v="Estado de la Infraestructura "/>
    <x v="19"/>
    <s v="SI"/>
    <s v="IVON JOHANA LOAIZA"/>
    <n v="1202460"/>
    <m/>
    <m/>
    <n v="14"/>
    <d v="2026-09-25T00:00:00"/>
    <d v="2026-09-07T00:00:00"/>
    <s v="N/A"/>
    <d v="2026-09-07T00:00:00"/>
    <d v="2026-09-24T00:00:00"/>
    <s v="EMCA-I-5533-2026"/>
    <s v="Cerrado"/>
    <s v="SI"/>
    <m/>
  </r>
  <r>
    <s v="PQR-IN-20"/>
    <s v="3280/2026"/>
    <d v="2026-09-07T00:00:00"/>
    <s v="Documento Físico"/>
    <x v="3"/>
    <s v="SOLICITUD DE RECOLECCIÓN DE ESCOMBROS CALLE 40 No. 27-26 EDIFICIO LOS CORALES"/>
    <x v="0"/>
    <n v="503"/>
    <s v="Solicitud General"/>
    <x v="6"/>
    <s v="SI"/>
    <s v="DIEGO FERNANDO GUEVARA"/>
    <m/>
    <m/>
    <m/>
    <n v="14"/>
    <d v="2026-09-25T00:00:00"/>
    <d v="2026-09-07T00:00:00"/>
    <s v="N/A"/>
    <d v="2026-09-07T00:00:00"/>
    <d v="2026-09-25T00:00:00"/>
    <s v="EMCA-I-5540-2026"/>
    <s v="Cerrado"/>
    <s v="SI"/>
    <m/>
  </r>
  <r>
    <s v="PQR-SUI-42"/>
    <s v="3281/2026"/>
    <d v="2026-09-07T00:00:00"/>
    <s v="Verbal"/>
    <x v="4"/>
    <s v="USUARIA REPORTA FUGA DE DOMICILIARIA YA QUE SE ESTA FILTRANDO MUCHA AGUA POR EL ANDEN LLAMAR ANTES DE IR"/>
    <x v="2"/>
    <n v="316"/>
    <s v="Estado de la Infraestructura "/>
    <x v="20"/>
    <s v="SI"/>
    <s v="LUZ MARINA RODRIGUEZ BETANCUR"/>
    <m/>
    <m/>
    <m/>
    <n v="14"/>
    <d v="2026-09-25T00:00:00"/>
    <d v="2026-09-07T00:00:00"/>
    <s v="N/A"/>
    <d v="2026-09-10T00:00:00"/>
    <d v="2026-09-24T00:00:00"/>
    <s v="EMCA-I-5532-2026"/>
    <s v="Cerrado"/>
    <s v="SI"/>
    <m/>
  </r>
  <r>
    <s v="PQR-SUI-43"/>
    <s v="3282/2026"/>
    <d v="2026-09-07T00:00:00"/>
    <s v="Verbal"/>
    <x v="1"/>
    <s v="USUARIA SOLICITA SE RECOJAN LOS ESCOMBROS QUE LE DEJARON CUANDO SE CAMBIO EL MEDIDOR"/>
    <x v="2"/>
    <n v="316"/>
    <s v="Estado de la Infraestructura "/>
    <x v="21"/>
    <s v="SI"/>
    <s v="LIBRADA ALARCON SANCHEZ"/>
    <n v="1167160"/>
    <m/>
    <m/>
    <n v="14"/>
    <d v="2026-09-25T00:00:00"/>
    <s v="N/A"/>
    <s v="N/A"/>
    <d v="2026-09-22T00:00:00"/>
    <d v="2026-09-24T00:00:00"/>
    <s v="EMCA-I-5531-2026"/>
    <s v="Cerrado"/>
    <s v="SI"/>
    <m/>
  </r>
  <r>
    <s v="PQR-SUI-44"/>
    <s v="3283/2026"/>
    <d v="2026-09-07T00:00:00"/>
    <s v="Verbal"/>
    <x v="3"/>
    <s v="USUARIA REPORTA PREDIO DESOCUPADO"/>
    <x v="1"/>
    <n v="114"/>
    <s v="Descuento por predio desocupado"/>
    <x v="3"/>
    <s v="SI"/>
    <s v="VANESSA ALEXANDRA RODRIGUEZ SANCHEZ"/>
    <m/>
    <m/>
    <m/>
    <n v="14"/>
    <d v="2026-09-25T00:00:00"/>
    <s v="N/A"/>
    <s v="N/A"/>
    <d v="2026-09-22T00:00:00"/>
    <d v="2026-09-24T00:00:00"/>
    <s v="EMCA-I-5601-2026"/>
    <s v="Cerrado"/>
    <s v="SI"/>
    <m/>
  </r>
  <r>
    <s v="PQR-SUI-45"/>
    <s v="3284/2026"/>
    <d v="2026-09-07T00:00:00"/>
    <s v="Documento Físico"/>
    <x v="0"/>
    <s v="SOLICITUD DE CONEXIÓN TEMPORAL DE SERVICIO DEL ACUEDUCTO Y ALCANTARILLADO Y ASEO BARRIO VERACRUZ MZ 7 CASA 15 PISO 2"/>
    <x v="0"/>
    <n v="502"/>
    <s v="Vinculación del Servicio"/>
    <x v="22"/>
    <s v="SI"/>
    <s v="DIANA MARITZA SAAVEDRA LÓPEZ"/>
    <m/>
    <n v="3044089981"/>
    <s v="diana.saavedra404@correo.policia.gov.co"/>
    <n v="14"/>
    <d v="2026-09-25T00:00:00"/>
    <d v="2026-09-07T00:00:00"/>
    <s v="N/A"/>
    <s v="N/A"/>
    <d v="2026-09-15T00:00:00"/>
    <s v="EMCA-I-5319-2026"/>
    <s v="Cerrado"/>
    <s v="SI"/>
    <s v="SI"/>
  </r>
  <r>
    <s v="PQR-SUI-46"/>
    <s v="3285/2026"/>
    <d v="2026-09-07T00:00:00"/>
    <s v="Verbal"/>
    <x v="3"/>
    <s v="USUARIA SOLICITA CAMBIO DE LA LLAVE DE PASO"/>
    <x v="2"/>
    <n v="316"/>
    <s v="Estado de la Infraestructura "/>
    <x v="11"/>
    <m/>
    <s v="LUZ ESTELA CARDONA MEJIA"/>
    <n v="1092380"/>
    <m/>
    <m/>
    <n v="14"/>
    <d v="2026-09-25T00:00:00"/>
    <m/>
    <m/>
    <m/>
    <m/>
    <m/>
    <s v="ABIERTA FUERA DE LOS TÉRMINOS"/>
    <m/>
    <m/>
  </r>
  <r>
    <s v="PQR-IN-21"/>
    <s v="3286/2026"/>
    <d v="2026-09-07T00:00:00"/>
    <s v="Documento Físico"/>
    <x v="0"/>
    <s v="SOLICITUD DE CONEXIÓN TEMPORAL DE SERVICIO DEL ACUEDUCTO Y ALCANTARILLADO Y ASEO BARRIO GAITAN MZ M CASA 8 PISO 2"/>
    <x v="0"/>
    <n v="502"/>
    <s v="Vinculación del Servicio"/>
    <x v="22"/>
    <s v="SI"/>
    <s v="SUAREZ WILLIAM ALVAREZ"/>
    <m/>
    <m/>
    <m/>
    <n v="14"/>
    <d v="2026-09-25T00:00:00"/>
    <d v="2026-09-07T00:00:00"/>
    <s v="N/A"/>
    <s v="N/A"/>
    <d v="2026-09-25T00:00:00"/>
    <s v="EMCA-I-5590-2026"/>
    <s v="Cerrado"/>
    <s v="SI"/>
    <m/>
  </r>
  <r>
    <s v="PQR-SUI-48"/>
    <s v="3287/2026"/>
    <d v="2026-09-07T00:00:00"/>
    <s v="Documento Físico"/>
    <x v="0"/>
    <s v="RECURSO DE REPOSICIÓN A RESPUESTA DEL DERECHO DE PETICIÓN EMCA-E-2658-2026"/>
    <x v="1"/>
    <n v="127"/>
    <s v="Inconformidad por desviación significativa"/>
    <x v="5"/>
    <s v="NO"/>
    <s v="CALZADO BATA"/>
    <m/>
    <m/>
    <s v="paolaaguirrego9@gmail.com"/>
    <n v="14"/>
    <d v="2026-09-25T00:00:00"/>
    <s v="N/A"/>
    <s v="N/A"/>
    <s v="N/A"/>
    <d v="2026-09-25T00:00:00"/>
    <s v="EMCA-I-5588-2026"/>
    <s v="Cerrado"/>
    <s v="SI"/>
    <m/>
  </r>
  <r>
    <s v="PQR-SUI-47"/>
    <s v="3288/2026"/>
    <d v="2026-09-07T00:00:00"/>
    <s v="Verbal"/>
    <x v="3"/>
    <s v="USUARIO REPORTA PREDIO DESOCUPADO"/>
    <x v="1"/>
    <n v="114"/>
    <s v="Descuento por predio desocupado"/>
    <x v="3"/>
    <s v="SI"/>
    <s v="JORGE HUMBERTO GUEVARA"/>
    <n v="1215780"/>
    <m/>
    <m/>
    <n v="14"/>
    <d v="2026-09-25T00:00:00"/>
    <s v="N/A"/>
    <s v="N/A"/>
    <s v="N/A"/>
    <d v="2026-09-25T00:00:00"/>
    <s v="EMCA-I-5602-2026"/>
    <s v="Cerrado"/>
    <s v="SI"/>
    <m/>
  </r>
  <r>
    <s v="PQR-IN-22"/>
    <s v="3289/2026"/>
    <d v="2026-09-07T00:00:00"/>
    <s v="Verbal"/>
    <x v="3"/>
    <s v="RECOLECCION ESPECIAL USUARIO SOLICITA LE RECOJAN 2 MUEBLES 1 COLCHON Y UN CORRAÑL DE MADERA"/>
    <x v="0"/>
    <n v="503"/>
    <s v="Solicitud General"/>
    <x v="6"/>
    <s v="SI"/>
    <s v="BERNARDO BETANCURT"/>
    <n v="1173100"/>
    <m/>
    <m/>
    <n v="14"/>
    <d v="2026-09-25T00:00:00"/>
    <d v="2026-09-07T00:00:00"/>
    <s v="N/A"/>
    <s v="N/A"/>
    <d v="2026-09-24T00:00:00"/>
    <s v="EMCA-I-5514-2026"/>
    <s v="Cerrado"/>
    <s v="SI"/>
    <m/>
  </r>
  <r>
    <s v="PQR-SUI-49"/>
    <s v="3290/2026"/>
    <d v="2026-09-07T00:00:00"/>
    <s v="Documento Físico"/>
    <x v="4"/>
    <s v="SOLICITUD DE REVISIÓN CON GEOFONO CRA 21 No. 43-39"/>
    <x v="0"/>
    <n v="506"/>
    <s v="Revisión con Geofono"/>
    <x v="23"/>
    <m/>
    <s v="JHON JAIRO HENAO"/>
    <m/>
    <m/>
    <m/>
    <n v="14"/>
    <d v="2026-09-25T00:00:00"/>
    <s v="N/A"/>
    <s v="N/A"/>
    <s v="N/A"/>
    <d v="2026-09-25T00:00:00"/>
    <s v="EMCA-I-5587-2026"/>
    <s v="Cerrado"/>
    <s v="SI"/>
    <m/>
  </r>
  <r>
    <s v="PQR-SUI-50"/>
    <s v="3291/2026"/>
    <d v="2026-09-07T00:00:00"/>
    <s v="Correo Electrónico"/>
    <x v="4"/>
    <s v="DERECHO DE PETICIÓN - SOLICITUD DE REVISIÓN DE CONSUMO, INVESTIGACIÓN DE DESVIACIÓN SIGNIFICATIVA Y RELIQUIDACIÓN DE FACTURA CON CODIGO DE USUARIO 1047847"/>
    <x v="1"/>
    <n v="127"/>
    <s v="Inconformidad por desviación significativa"/>
    <x v="5"/>
    <s v="NO"/>
    <s v="GISSELLE CASTRILLON GIL"/>
    <m/>
    <m/>
    <m/>
    <n v="14"/>
    <d v="2026-09-25T00:00:00"/>
    <s v="N/A"/>
    <s v="N/A"/>
    <s v="N/A"/>
    <d v="2026-09-25T00:00:00"/>
    <s v="EMCA-I-5589-2026"/>
    <s v="Cerrado"/>
    <s v="SI"/>
    <m/>
  </r>
  <r>
    <s v="PQR-SUI-51"/>
    <s v="3292/2026"/>
    <d v="2026-09-07T00:00:00"/>
    <s v="Verbal"/>
    <x v="3"/>
    <s v="USUARIO REPORTA FUGA DE MEDIDOR LLAMAR ANTES DE IR"/>
    <x v="1"/>
    <n v="127"/>
    <s v="Inconformidad por desviación significativa"/>
    <x v="5"/>
    <s v="SI"/>
    <s v="STEVEN ALEJANDRO PEÑA ZAPATA"/>
    <m/>
    <m/>
    <m/>
    <n v="14"/>
    <d v="2026-09-25T00:00:00"/>
    <d v="2026-09-07T00:00:00"/>
    <s v="N/A"/>
    <s v="N/A"/>
    <d v="2026-09-25T00:00:00"/>
    <s v="EMCA-I-5539-2026"/>
    <s v="Cerrado"/>
    <s v="SI"/>
    <m/>
  </r>
  <r>
    <m/>
    <s v="3293/2026"/>
    <d v="2026-09-07T00:00:00"/>
    <s v="Documento Físico"/>
    <x v="0"/>
    <s v="DATOS GENERALES INCORRECTOS"/>
    <x v="1"/>
    <n v="106"/>
    <s v="Datos Generales Incorrectos"/>
    <x v="0"/>
    <s v="SI"/>
    <s v="JULIO CESAR LOPEZ ESPINOSA"/>
    <m/>
    <m/>
    <m/>
    <n v="14"/>
    <d v="2026-09-25T00:00:00"/>
    <s v="N/A"/>
    <s v="N/A"/>
    <s v="N/A"/>
    <d v="2026-09-25T00:00:00"/>
    <m/>
    <s v="Cerrado"/>
    <s v="SI"/>
    <m/>
  </r>
  <r>
    <s v="PQR-SUI-52"/>
    <s v="3294/2026"/>
    <d v="2026-09-07T00:00:00"/>
    <s v="Verbal"/>
    <x v="3"/>
    <s v="USUARIA REPORTA PREDIO DESOCUPADO"/>
    <x v="1"/>
    <n v="114"/>
    <s v="Descuento por predio desocupado"/>
    <x v="3"/>
    <s v="SI"/>
    <s v="MARIA ROSA BENITEZ"/>
    <n v="1239372"/>
    <m/>
    <m/>
    <n v="14"/>
    <d v="2026-09-25T00:00:00"/>
    <s v="N/A"/>
    <s v="N/A"/>
    <s v="N/A"/>
    <d v="2026-09-25T00:00:00"/>
    <s v="EMCA-I-5600-2026"/>
    <s v="Cerrado"/>
    <s v="SI"/>
    <m/>
  </r>
  <r>
    <s v="PQR-SUI-53"/>
    <s v="3295/2026"/>
    <d v="2026-09-07T00:00:00"/>
    <s v="Documento Físico"/>
    <x v="5"/>
    <s v="DERECHO DE PETICION CONTAMINACION AMBIENTAL - CARRERA 28 # 46-110"/>
    <x v="2"/>
    <n v="316"/>
    <s v="Estado de la Infraestructura "/>
    <x v="9"/>
    <s v="SI"/>
    <s v="JOHN SILVIO GUEVARA PINILLA"/>
    <m/>
    <m/>
    <m/>
    <n v="14"/>
    <d v="2026-09-25T00:00:00"/>
    <d v="2026-09-07T00:00:00"/>
    <s v="N/A"/>
    <d v="2026-09-17T00:00:00"/>
    <d v="2026-09-24T00:00:00"/>
    <s v="EMCA-I-5530-2026"/>
    <s v="Cerrado"/>
    <s v="SI"/>
    <m/>
  </r>
  <r>
    <s v="PQR-SUI-54"/>
    <s v="3296/2026"/>
    <d v="2026-09-07T00:00:00"/>
    <s v="Documento Físico"/>
    <x v="4"/>
    <s v="DERECHO DE PETICIÓN -INCONFORMIDAD POR EL ALTO CONSUMO DE LA FACTURA DEL PREDIO CON CODIGO 1239630"/>
    <x v="1"/>
    <n v="127"/>
    <s v="Inconformidad por desviación significativa"/>
    <x v="5"/>
    <s v="NO"/>
    <s v="DANIELA ALEJANDRA RIOS SALGADO"/>
    <m/>
    <m/>
    <m/>
    <n v="14"/>
    <d v="2026-09-25T00:00:00"/>
    <s v="N/A"/>
    <s v="N/A"/>
    <s v="N/A"/>
    <d v="2026-09-25T00:00:00"/>
    <s v="EMCA-I-5599-2026"/>
    <s v="Cerrado"/>
    <s v="SI"/>
    <m/>
  </r>
  <r>
    <s v="PQR-SUI-55"/>
    <s v="3297/2026"/>
    <d v="2026-09-07T00:00:00"/>
    <s v="Verbal"/>
    <x v="3"/>
    <s v="USUARIA REPORTA PREDIO DESOCUPADO"/>
    <x v="1"/>
    <n v="114"/>
    <s v="Descuento por predio desocupado"/>
    <x v="3"/>
    <s v="SI"/>
    <s v="DIANA LUCIA VALLEJO LOPEZ"/>
    <m/>
    <m/>
    <m/>
    <n v="14"/>
    <d v="2026-09-25T00:00:00"/>
    <s v="N/A"/>
    <s v="N/A"/>
    <s v="N/A"/>
    <d v="2026-09-25T00:00:00"/>
    <s v="EMCA-I-5585-2026"/>
    <s v="Cerrado"/>
    <s v="SI"/>
    <m/>
  </r>
  <r>
    <s v="PQR-IN-23"/>
    <s v="3298/2026"/>
    <d v="2026-09-07T00:00:00"/>
    <s v="Documento Físico"/>
    <x v="6"/>
    <s v="DERECHO DE PETICION - SOLICITUD INTERVENCION DE ALUMBRADO PUBLICO PREDIO UBICADO EN BARCELONA B- CONGAL 1 TRANSVERSAL 8B- 508"/>
    <x v="2"/>
    <n v="316"/>
    <s v="Estado de la Infraestructura "/>
    <x v="24"/>
    <s v="SI"/>
    <s v="EDGAR CALDERON GALLEGO"/>
    <m/>
    <m/>
    <m/>
    <n v="14"/>
    <d v="2026-09-25T00:00:00"/>
    <d v="2026-09-07T00:00:00"/>
    <s v="N/A"/>
    <d v="2026-09-17T00:00:00"/>
    <d v="2026-09-24T00:00:00"/>
    <s v="EMCA-I-5529-2026"/>
    <s v="Cerrado"/>
    <s v="SI"/>
    <m/>
  </r>
  <r>
    <s v="PQR-IN-24"/>
    <s v="3299/2026"/>
    <d v="2026-09-07T00:00:00"/>
    <s v="Correo Electrónico"/>
    <x v="8"/>
    <s v="SOLICITUD APOYO JORNADA DE RECOLECCION DE ESCOMBROS CONJUNTO CABO MARIPOSA"/>
    <x v="0"/>
    <n v="503"/>
    <s v="Solicitud General"/>
    <x v="25"/>
    <s v="SI"/>
    <s v="YAZMIN SANTOYO"/>
    <m/>
    <m/>
    <m/>
    <n v="14"/>
    <d v="2026-09-25T00:00:00"/>
    <d v="2026-09-07T00:00:00"/>
    <s v="N/A"/>
    <d v="2026-09-10T00:00:00"/>
    <d v="2026-09-24T00:00:00"/>
    <s v="EMCA-I-5528-2026"/>
    <s v="Cerrado"/>
    <s v="SI"/>
    <m/>
  </r>
  <r>
    <s v="PQR-IN-25"/>
    <s v="3300/2026"/>
    <d v="2026-09-07T00:00:00"/>
    <s v="Verbal"/>
    <x v="3"/>
    <s v="USUARIO SOLICITA RECOLECCION DE 1 CAMA"/>
    <x v="0"/>
    <n v="503"/>
    <s v="Solicitud General"/>
    <x v="6"/>
    <s v="SI"/>
    <s v="JESSICA CARDONA"/>
    <n v="1242114"/>
    <m/>
    <m/>
    <n v="14"/>
    <d v="2026-09-25T00:00:00"/>
    <d v="2026-09-07T00:00:00"/>
    <s v="N/A"/>
    <d v="2026-09-09T00:00:00"/>
    <d v="2026-09-24T00:00:00"/>
    <s v="EMCA-I-5527-2026"/>
    <s v="Cerrado"/>
    <s v="SI"/>
    <m/>
  </r>
  <r>
    <s v="PQR-IN-26"/>
    <s v="3301/2026"/>
    <d v="2026-09-07T00:00:00"/>
    <s v="Correo Electrónico"/>
    <x v="3"/>
    <s v="SOLICITUD DE RECOLECCION DE RESIDUOS ESPECIALES - URBANIZACION LAS VILLAS CASA # 5 PISO 1"/>
    <x v="0"/>
    <n v="503"/>
    <s v="Solicitud General"/>
    <x v="6"/>
    <s v="SI"/>
    <s v="CLARA MORALES"/>
    <m/>
    <m/>
    <m/>
    <n v="14"/>
    <d v="2026-09-25T00:00:00"/>
    <d v="2026-09-07T00:00:00"/>
    <s v="N/A"/>
    <d v="2026-09-10T00:00:00"/>
    <d v="2026-09-24T00:00:00"/>
    <s v="EMCA-I-5525-2026"/>
    <s v="Cerrado"/>
    <s v="SI"/>
    <m/>
  </r>
  <r>
    <s v="PQR-SUI-56"/>
    <s v="3302/2026"/>
    <d v="2026-09-07T00:00:00"/>
    <s v="Verbal"/>
    <x v="0"/>
    <s v="USUARIA SOLITA AJUSTE EN LA FACTURA YA QUE POR ERROR CANCELO LA FACTURA CON CODIGO 1254398 POR UN VALOR DE 42.863 Y EL PAGO SE DEBE APLICARSE AL CODIGO 1254397"/>
    <x v="1"/>
    <n v="122"/>
    <s v="Suscriptor que efectúa el pago pero este no es aplicado por la empresa en la facturación"/>
    <x v="26"/>
    <s v="SI"/>
    <s v="DANIELA VARGAS CASTAÑEDA"/>
    <m/>
    <m/>
    <m/>
    <n v="14"/>
    <d v="2026-09-25T00:00:00"/>
    <s v="N/A"/>
    <s v="N/A"/>
    <s v="N/A"/>
    <d v="2026-09-25T00:00:00"/>
    <s v="EMCA-I-5640-2026"/>
    <s v="Cerrado"/>
    <s v="SI"/>
    <m/>
  </r>
  <r>
    <s v="PQR-SUI-57"/>
    <s v="3303/2026"/>
    <d v="2026-09-07T00:00:00"/>
    <s v="Correo Electrónico"/>
    <x v="4"/>
    <s v="DERECHO DE PETICION SOLICITUD DE VISITA - POR DAÑO OCASIONADO AL MOMENTO DE LA LECTURA EN EL PREDIO B- MANANTIAL MZ L # 10"/>
    <x v="2"/>
    <n v="316"/>
    <s v="Estado de la Infraestructura "/>
    <x v="27"/>
    <m/>
    <s v="OSCAR ARIZA"/>
    <m/>
    <m/>
    <m/>
    <n v="14"/>
    <d v="2026-09-25T00:00:00"/>
    <m/>
    <m/>
    <m/>
    <m/>
    <m/>
    <s v="ABIERTA FUERA DE LOS TÉRMINOS"/>
    <m/>
    <m/>
  </r>
  <r>
    <s v="PQR-IN-28"/>
    <s v="3304/2026"/>
    <d v="2026-09-07T00:00:00"/>
    <s v="Verbal"/>
    <x v="3"/>
    <s v="USUARIA SOLICITA RECOLECCION DE 1 COLCHON Y 1 SOFA"/>
    <x v="0"/>
    <n v="503"/>
    <s v="Solicitud General"/>
    <x v="6"/>
    <s v="SI"/>
    <s v="V. MARIELA LOPEZ DE"/>
    <n v="1147440"/>
    <m/>
    <m/>
    <n v="14"/>
    <d v="2026-09-25T00:00:00"/>
    <d v="2026-09-07T00:00:00"/>
    <s v="N/A"/>
    <d v="2026-09-09T00:00:00"/>
    <d v="2026-09-24T00:00:00"/>
    <s v="EMCA-I-5526-2026"/>
    <s v="Cerrado"/>
    <s v="SI"/>
    <m/>
  </r>
  <r>
    <s v="PQR-IN-27"/>
    <s v="3305/2026"/>
    <d v="2026-09-07T00:00:00"/>
    <s v="Documento Físico"/>
    <x v="3"/>
    <s v="DERECHO DE PETICIÓN -SOLICITUD SENSIBILIZACION - ASEO Y AVISO PROHIBIDO ARROJAR BASURAS CRA 27A # 24-28 PISO 2"/>
    <x v="0"/>
    <n v="503"/>
    <s v="Solicitud General"/>
    <x v="28"/>
    <m/>
    <s v="JOSE ANGEL RODRIGUEZ"/>
    <m/>
    <m/>
    <m/>
    <n v="14"/>
    <d v="2026-09-25T00:00:00"/>
    <d v="2026-09-07T00:00:00"/>
    <s v="N/A"/>
    <d v="2026-09-07T00:00:00"/>
    <d v="2026-09-25T00:00:00"/>
    <s v="EMCA-I-5612-2026"/>
    <s v="Cerrado"/>
    <s v="SI"/>
    <m/>
  </r>
  <r>
    <s v="PQR-IN-29"/>
    <s v="3306/2026"/>
    <d v="2026-09-07T00:00:00"/>
    <s v="Documento Físico"/>
    <x v="1"/>
    <s v="DERECHOS DE PETICION - INCONFORMIDAD MALA PRACTICA AMBIENTAL DE AGUA LIMPIA EN ACTIVIDADES INDUSTRIALES"/>
    <x v="2"/>
    <n v="306"/>
    <s v="No atención de condiciones de seguridad o riesgo"/>
    <x v="29"/>
    <s v="SI"/>
    <s v="WILLINGTON VALENCIA SAMBONI"/>
    <m/>
    <m/>
    <s v="willingtonvalencia1982@gmail.com"/>
    <n v="14"/>
    <d v="2026-09-25T00:00:00"/>
    <d v="2026-09-07T00:00:00"/>
    <s v="N/A"/>
    <d v="2026-09-07T00:00:00"/>
    <d v="2026-09-24T00:00:00"/>
    <s v="EMCA-I-5534-2026"/>
    <s v="Cerrado"/>
    <s v="SI"/>
    <m/>
  </r>
  <r>
    <s v="PQR-SUI-58"/>
    <s v="3307/2026"/>
    <d v="2026-09-07T00:00:00"/>
    <s v="Verbal"/>
    <x v="4"/>
    <s v="SE DEBE EALIZAR AJSUTE A LA FADCTURA PRO 6 METROS DE ACUERDO A LA RESPUESTA EMCA-2897"/>
    <x v="1"/>
    <n v="127"/>
    <s v="Inconformidad por desviación significativa"/>
    <x v="5"/>
    <m/>
    <s v="MONTOYA JOSE A."/>
    <m/>
    <m/>
    <m/>
    <n v="14"/>
    <d v="2026-09-25T00:00:00"/>
    <m/>
    <m/>
    <m/>
    <m/>
    <m/>
    <s v="ABIERTA FUERA DE LOS TÉRMINOS"/>
    <m/>
    <m/>
  </r>
  <r>
    <s v="PQR-IN-30"/>
    <s v="3308/2026"/>
    <d v="2026-09-07T00:00:00"/>
    <s v="Documento Físico"/>
    <x v="4"/>
    <s v="DERECHO DE PETICIÓN -SOLICITUD RECOLECCION DE ESCOMBROS B- LLANITOS GUARALA MZ 33 # 20"/>
    <x v="0"/>
    <n v="503"/>
    <s v="Solicitud General"/>
    <x v="6"/>
    <m/>
    <s v="ANGIE MARCELA SUAREZ CRUZ"/>
    <m/>
    <m/>
    <m/>
    <n v="14"/>
    <d v="2026-09-25T00:00:00"/>
    <d v="2026-09-07T00:00:00"/>
    <s v="N/A"/>
    <d v="2026-09-07T00:00:00"/>
    <d v="2026-09-25T00:00:00"/>
    <s v="EMCA-I-5611-2026"/>
    <s v="Cerrado"/>
    <s v="SI"/>
    <m/>
  </r>
  <r>
    <s v="PQR-IN-31"/>
    <s v="3309/2026"/>
    <d v="2026-09-07T00:00:00"/>
    <s v="Correo Electrónico"/>
    <x v="3"/>
    <s v="DERECHO DE PETICIÓN -SOLICITUD RECOLECCION DE RESIDUOS ESPECIALES INSTITUCION EDUCATIVA RAFAEL URIBE URIBE"/>
    <x v="0"/>
    <n v="503"/>
    <s v="Solicitud General"/>
    <x v="6"/>
    <s v="SI"/>
    <s v="ROSA JUDITH PEREZ YUCUMA"/>
    <m/>
    <m/>
    <m/>
    <n v="14"/>
    <d v="2026-09-25T00:00:00"/>
    <d v="2026-09-07T00:00:00"/>
    <s v="N/A"/>
    <s v="N/A"/>
    <d v="2026-09-25T00:00:00"/>
    <s v="EMCA-I-5538-2026"/>
    <s v="Cerrado"/>
    <s v="SI"/>
    <m/>
  </r>
  <r>
    <s v="PQR-IN-32"/>
    <s v="3310/2026"/>
    <d v="2026-09-07T00:00:00"/>
    <s v="Documento Físico"/>
    <x v="0"/>
    <s v="SOLICITUD CONEXION DE SERVICIOS CRA 22 # 32-43 PARQUEADERO"/>
    <x v="0"/>
    <n v="502"/>
    <s v="Vinculación del Servicio"/>
    <x v="22"/>
    <s v="SI"/>
    <s v="YASIR ZAMORA SALAZAR"/>
    <m/>
    <n v="3053006237"/>
    <s v="zamoraalfonso07@gmail.com"/>
    <n v="14"/>
    <d v="2026-09-25T00:00:00"/>
    <d v="2026-09-07T00:00:00"/>
    <s v="N/A"/>
    <s v="N/A"/>
    <d v="2026-09-15T00:00:00"/>
    <s v="EMCA-I-5317-2026"/>
    <s v="Cerrado"/>
    <s v="SI"/>
    <s v="SI"/>
  </r>
  <r>
    <s v="PQR-SUI-59"/>
    <s v="3311/2026"/>
    <d v="2026-09-07T00:00:00"/>
    <s v="Verbal"/>
    <x v="3"/>
    <s v="USUARIA REPORTA PREDIO DESOCUPADO POR MOTIVOS DE VIAJE"/>
    <x v="1"/>
    <n v="114"/>
    <s v="Descuento por predio desocupado"/>
    <x v="3"/>
    <s v="SI"/>
    <s v="CIELO JANETH GUEVARA FORERO"/>
    <n v="1177900"/>
    <m/>
    <m/>
    <n v="14"/>
    <d v="2026-09-25T00:00:00"/>
    <s v="N/A"/>
    <s v="N/A"/>
    <s v="N/A"/>
    <d v="2026-09-25T00:00:00"/>
    <s v="EMCA-I-5598-2026"/>
    <s v="Cerrado"/>
    <s v="SI"/>
    <m/>
  </r>
  <r>
    <s v="PQR-IN-33"/>
    <s v="3312/2026"/>
    <d v="2026-09-07T00:00:00"/>
    <s v="Correo Electrónico"/>
    <x v="5"/>
    <s v="SOLICITUD DE CERTIFICACION DE CONEXION AL SISTEMA DE ALCANTARILLADO PUBLICO Y CONCEPTO SOBRE PERMISO DE VERTIMIENTO EN EL PREDIO CALLE 36 # 24-42"/>
    <x v="0"/>
    <n v="503"/>
    <s v="Solicitud General"/>
    <x v="30"/>
    <m/>
    <s v="ISABEL CRISTINA ARBELAEZ DUQUE"/>
    <m/>
    <m/>
    <m/>
    <n v="14"/>
    <d v="2026-09-25T00:00:00"/>
    <m/>
    <m/>
    <m/>
    <m/>
    <m/>
    <s v="ABIERTA FUERA DE LOS TÉRMINOS"/>
    <m/>
    <m/>
  </r>
  <r>
    <s v="PQR-IN-34"/>
    <s v="3313/2026"/>
    <d v="2026-09-07T00:00:00"/>
    <s v="Correo Electrónico"/>
    <x v="7"/>
    <s v="ENTREGA DE LOCAL COMERCIAL No 2727"/>
    <x v="2"/>
    <n v="308"/>
    <s v="Terminación del contrato"/>
    <x v="31"/>
    <m/>
    <s v="ELIZABETH CHATE MURCIA"/>
    <m/>
    <m/>
    <s v="MURCIAELIZABETH07@GMAIL.COM"/>
    <n v="14"/>
    <d v="2026-09-25T00:00:00"/>
    <d v="2026-09-07T00:00:00"/>
    <s v="N/A"/>
    <s v="N/A"/>
    <d v="2026-09-24T00:00:00"/>
    <s v="EMCA-I-5535-2026"/>
    <s v="Cerrado"/>
    <s v="SI"/>
    <m/>
  </r>
  <r>
    <m/>
    <s v="3314/2026"/>
    <d v="2026-09-07T00:00:00"/>
    <s v="Correo Electrónico"/>
    <x v="5"/>
    <s v="SOLICITUD DE APOYO CON PERSONAL OPERATIVO DAÑO RED HIDROSANITARIO INSTITUCION EDUCATIVA RURAL SAN RAFAEL"/>
    <x v="3"/>
    <m/>
    <m/>
    <x v="32"/>
    <m/>
    <s v="TALLIN SAMANTA GIRALDO GOMEZ"/>
    <m/>
    <m/>
    <s v="samantagiraldo1@gmail.com"/>
    <n v="14"/>
    <d v="2026-09-25T00:00:00"/>
    <m/>
    <m/>
    <m/>
    <m/>
    <m/>
    <s v="ABIERTA FUERA DE LOS TÉRMINOS"/>
    <m/>
    <m/>
  </r>
  <r>
    <s v="PQR-SUI-60"/>
    <s v="3315/2026"/>
    <d v="2026-09-08T00:00:00"/>
    <s v="Verbal"/>
    <x v="1"/>
    <s v="USUARIO SOLICITA CAMBIO DE LLAVE DE PASO"/>
    <x v="2"/>
    <n v="316"/>
    <s v="Estado de la Infraestructura "/>
    <x v="11"/>
    <m/>
    <s v="MIGUEL VILLAMIL LEYTON"/>
    <n v="1194660"/>
    <m/>
    <m/>
    <n v="14"/>
    <d v="2026-09-25T00:00:00"/>
    <m/>
    <m/>
    <m/>
    <m/>
    <m/>
    <s v="ABIERTA FUERA DE LOS TÉRMINOS"/>
    <m/>
    <m/>
  </r>
  <r>
    <s v="PQR-SUI-61"/>
    <s v="3316/2026"/>
    <d v="2026-09-08T00:00:00"/>
    <s v="Verbal"/>
    <x v="1"/>
    <s v="1061740 USUARIO REPORTA FUGA EN EL MEDIDOR"/>
    <x v="2"/>
    <n v="316"/>
    <s v="Estado de la Infraestructura "/>
    <x v="19"/>
    <m/>
    <s v="JOHN JAIRO PÉREZ"/>
    <n v="1061740"/>
    <m/>
    <s v="johnper1973@gmail.com"/>
    <n v="14"/>
    <d v="2026-09-28T00:00:00"/>
    <m/>
    <m/>
    <m/>
    <m/>
    <m/>
    <s v="ABIERTA FUERA DE LOS TÉRMINOS"/>
    <m/>
    <m/>
  </r>
  <r>
    <s v="PQR-SUI-62"/>
    <s v="3317/2026"/>
    <d v="2026-09-08T00:00:00"/>
    <s v="Verbal"/>
    <x v="4"/>
    <s v="USUARIA REPORTA FUGA EN LA RED PRINCIPAL YA QUE DICE QUE ES LA MANGUERA GRUESA QUE PASA POR TODA LA PEATONAL"/>
    <x v="2"/>
    <n v="316"/>
    <s v="Estado de la Infraestructura "/>
    <x v="33"/>
    <m/>
    <s v="ESTEFANYA JIMENEZ"/>
    <n v="1109299"/>
    <m/>
    <m/>
    <n v="14"/>
    <d v="2026-09-28T00:00:00"/>
    <m/>
    <m/>
    <m/>
    <m/>
    <m/>
    <s v="ABIERTA FUERA DE LOS TÉRMINOS"/>
    <m/>
    <m/>
  </r>
  <r>
    <s v="PQR-IN-36"/>
    <s v="3318/2026"/>
    <d v="2026-09-08T00:00:00"/>
    <s v="Verbal"/>
    <x v="3"/>
    <s v="RECOLECCION ESPECIAL USUARIO SOLICITA LE RECOJAN 3 COLCHONES QUE TIENE PARA VOTAR"/>
    <x v="0"/>
    <n v="503"/>
    <s v="Solicitud General"/>
    <x v="6"/>
    <m/>
    <s v="CARLOS ALBERTO GIRALDO"/>
    <n v="1250645"/>
    <m/>
    <m/>
    <n v="14"/>
    <d v="2026-09-28T00:00:00"/>
    <d v="2026-09-08T00:00:00"/>
    <s v="N/A"/>
    <s v="N/A"/>
    <d v="2026-09-28T00:00:00"/>
    <s v="EMCA-I-5608-2026"/>
    <s v="Cerrado"/>
    <s v="SI"/>
    <m/>
  </r>
  <r>
    <s v="PQR-SUI-63"/>
    <s v="3319/2026"/>
    <d v="2026-09-08T00:00:00"/>
    <s v="Correo Electrónico"/>
    <x v="1"/>
    <s v="RECURSO DE REPOSICIÓN Y EN SUBSIDIO DE APELACION IMPUGNACIÓN POR REINCIDENCIA DE COBRO DE RECONEXIÓN EN LA NUEVA FACTURA Y AUSENCIA DE CANALES DIGITALES DE CONSULTA CODIGO - 1253498"/>
    <x v="1"/>
    <n v="109"/>
    <s v="Cobros por conexión, reconexión, reinstalación."/>
    <x v="34"/>
    <s v="NO"/>
    <s v="LINA VANESA ROCHA GAMBOA"/>
    <n v="1253498"/>
    <m/>
    <s v="rochalina1@hotmail.com"/>
    <n v="14"/>
    <d v="2026-09-28T00:00:00"/>
    <s v="N/A"/>
    <s v="N/A"/>
    <s v="N/A"/>
    <d v="2026-09-28T00:00:00"/>
    <s v="EMCA-I-5617-2026"/>
    <s v="Cerrado"/>
    <s v="SI"/>
    <m/>
  </r>
  <r>
    <s v="PQR-SUI-64"/>
    <s v="3320/2026"/>
    <d v="2026-09-08T00:00:00"/>
    <s v="Verbal"/>
    <x v="1"/>
    <s v="SUARIA SOLICITA CAMBIO DE LA LLAVE DE PASO"/>
    <x v="2"/>
    <n v="316"/>
    <s v="Estado de la Infraestructura "/>
    <x v="11"/>
    <m/>
    <s v="YOMALY MORENO"/>
    <n v="1056620"/>
    <m/>
    <m/>
    <n v="14"/>
    <d v="2026-09-28T00:00:00"/>
    <m/>
    <m/>
    <m/>
    <m/>
    <m/>
    <s v="Cerrado"/>
    <s v="SI"/>
    <m/>
  </r>
  <r>
    <s v="PQR-IN-37"/>
    <s v="3321/2026"/>
    <d v="2026-09-08T00:00:00"/>
    <s v="Correo Electrónico"/>
    <x v="5"/>
    <s v="DERECHO DE PETICIÓN - SOLICITUD DE VISITA DE INSPECCIÓN A ESTABLECIMIENTO COMERCIAL POR DISPOSICIÓN INADECUADA DE RESIDUOS DE GRASA Y SEDIMENTOS EN EL SISTEMA DE ALCANTARILLADO"/>
    <x v="2"/>
    <n v="306"/>
    <s v="No atención de condiciones de seguridad o riesgo"/>
    <x v="35"/>
    <m/>
    <s v="USUARIO (A)"/>
    <m/>
    <m/>
    <m/>
    <n v="14"/>
    <d v="2026-09-28T00:00:00"/>
    <d v="2026-09-08T00:00:00"/>
    <s v="N/A"/>
    <d v="2026-09-23T00:00:00"/>
    <d v="2026-09-28T00:00:00"/>
    <s v="EMCA-I-5610-2026"/>
    <s v="Cerrado"/>
    <s v="SI"/>
    <m/>
  </r>
  <r>
    <s v="PQR-SUI-65"/>
    <s v="3322/2026"/>
    <d v="2026-09-08T00:00:00"/>
    <s v="Verbal"/>
    <x v="1"/>
    <s v="USUARIA SOLICITA CAMBIO DE LLAVE DE PASO ( URGENTE FUGA INTERNA EN EL BAÑO) LLAMAR ANTES DE IR"/>
    <x v="2"/>
    <n v="316"/>
    <s v="Estado de la Infraestructura "/>
    <x v="11"/>
    <m/>
    <s v="CRISTINA MARIN ISABEL"/>
    <m/>
    <m/>
    <m/>
    <n v="14"/>
    <d v="2026-09-28T00:00:00"/>
    <d v="2026-09-08T00:00:00"/>
    <s v="N/A"/>
    <d v="2026-09-09T00:00:00"/>
    <d v="2026-09-28T00:00:00"/>
    <s v="EMCA-I-5609-2026"/>
    <s v="Cerrado"/>
    <s v="SI"/>
    <m/>
  </r>
  <r>
    <s v="PQR-SUI-66"/>
    <s v="3323/2026"/>
    <d v="2026-09-08T00:00:00"/>
    <s v="Correo Electrónico"/>
    <x v="4"/>
    <s v="20268304413231 - REQUIERE AL PRESTADOR RADICADO No. 20265293968332 - REF EMCA-PQRS-2843-2026"/>
    <x v="0"/>
    <n v="503"/>
    <s v="Solicitud General"/>
    <x v="30"/>
    <s v="SI"/>
    <s v="SUPERINTENDENCIA DE SERVICIOS PUBLICOS DOMICILIARIOS"/>
    <m/>
    <m/>
    <s v="sspd@superservicios.gov.co"/>
    <n v="14"/>
    <d v="2026-09-28T00:00:00"/>
    <s v="N/A"/>
    <s v="N/A"/>
    <s v="N/A"/>
    <d v="2026-09-15T00:00:00"/>
    <s v="EMCA-I-5326-2026"/>
    <s v="Cerrado"/>
    <s v="SI"/>
    <s v="SI"/>
  </r>
  <r>
    <s v="PQR-IN-38"/>
    <s v="3324/2026"/>
    <d v="2026-09-08T00:00:00"/>
    <s v="Correo Electrónico"/>
    <x v="0"/>
    <s v="SOLICITUD DUPLICADO DE FACTURAS CON CÓDIGOS 1045240-1200020-1071720-1071920-1254280-1250889"/>
    <x v="0"/>
    <n v="503"/>
    <s v="Solicitud General"/>
    <x v="36"/>
    <m/>
    <s v="YIRLEY LOAIZA ANALISTA DE GESTIÓN"/>
    <m/>
    <m/>
    <s v="yloaiza@energymaster.co"/>
    <n v="14"/>
    <d v="2026-09-28T00:00:00"/>
    <m/>
    <m/>
    <m/>
    <m/>
    <m/>
    <s v="ABIERTA FUERA DE LOS TÉRMINOS"/>
    <m/>
    <m/>
  </r>
  <r>
    <s v="PQR-IN-39"/>
    <s v="3325/2026"/>
    <d v="2026-09-08T00:00:00"/>
    <s v="Documento Físico"/>
    <x v="7"/>
    <s v="SOLICITUD DE CERTIFICADO DE ARRENDAMIENTO LOCAL COMERCIAL 217 - PLAZA DE MERCADO"/>
    <x v="0"/>
    <n v="503"/>
    <s v="Solicitud General"/>
    <x v="37"/>
    <s v="SI"/>
    <s v="GLORIA PIEDAD ARBELAEZ SANCHEZ"/>
    <m/>
    <m/>
    <m/>
    <n v="14"/>
    <d v="2026-09-28T00:00:00"/>
    <d v="2026-09-08T00:00:00"/>
    <s v="N/A"/>
    <s v="N/A"/>
    <d v="2026-09-25T00:00:00"/>
    <s v="EMCA-I-5537-2026"/>
    <s v="Cerrado"/>
    <s v="SI"/>
    <m/>
  </r>
  <r>
    <s v="PQR-SUI-67"/>
    <s v="3326/2026"/>
    <d v="2026-09-08T00:00:00"/>
    <s v="Verbal"/>
    <x v="3"/>
    <s v="USUARIA REPORTA PREDIO DESOCUPADO"/>
    <x v="1"/>
    <n v="114"/>
    <s v="Descuento por predio desocupado"/>
    <x v="3"/>
    <s v="SI"/>
    <s v="LUZ HELENA RESTREPO ECHEVERRI"/>
    <m/>
    <m/>
    <m/>
    <n v="14"/>
    <d v="2026-09-28T00:00:00"/>
    <s v="N/A"/>
    <s v="N/A"/>
    <s v="N/A"/>
    <d v="2026-09-28T00:00:00"/>
    <s v="EMCA-I-5619-2026"/>
    <s v="Cerrado"/>
    <s v="SI"/>
    <m/>
  </r>
  <r>
    <s v="PQR-SUI-68"/>
    <s v="3327/2026"/>
    <d v="2026-09-08T00:00:00"/>
    <s v="Verbal"/>
    <x v="3"/>
    <s v="USUARIA REPORTA PREDIO DESOCUPADO"/>
    <x v="1"/>
    <n v="114"/>
    <s v="Descuento por predio desocupado"/>
    <x v="3"/>
    <m/>
    <s v="LUZ HELENA RESTREPO ECHEVERRI"/>
    <m/>
    <m/>
    <m/>
    <n v="14"/>
    <d v="2026-09-28T00:00:00"/>
    <m/>
    <m/>
    <m/>
    <m/>
    <m/>
    <s v="ABIERTA FUERA DE LOS TÉRMINOS"/>
    <m/>
    <m/>
  </r>
  <r>
    <s v="PQR-SUI-69"/>
    <s v="3328/2026"/>
    <d v="2026-09-08T00:00:00"/>
    <s v="Verbal"/>
    <x v="3"/>
    <s v="USUARIO REPORTA PREDIO DESOCUPADO"/>
    <x v="1"/>
    <n v="114"/>
    <s v="Descuento por predio desocupado"/>
    <x v="3"/>
    <s v="NO"/>
    <s v="JORGE ELIECER ORTEGON ORTIZ"/>
    <m/>
    <m/>
    <m/>
    <n v="14"/>
    <d v="2026-09-28T00:00:00"/>
    <s v="N/A"/>
    <s v="N/A"/>
    <s v="N/A"/>
    <d v="2026-09-28T00:00:00"/>
    <s v="EMCA-I-5622-2026"/>
    <s v="Cerrado"/>
    <s v="SI"/>
    <m/>
  </r>
  <r>
    <s v="PQR-SUI-70"/>
    <s v="3329/2026"/>
    <d v="2026-09-08T00:00:00"/>
    <s v="Verbal"/>
    <x v="1"/>
    <s v="USUARIA REPORTA DEFICIENCIA DE PRESION Y MANIFIESTA QUE YA CON ESTE REPORTE SON 5 QUE A ECHO DE ESTE MISMO PREDIO"/>
    <x v="2"/>
    <n v="304"/>
    <s v="Variaciones en las características del suministro o prestación del servicio"/>
    <x v="12"/>
    <m/>
    <s v="LUZ ENIDT AMAYA DEVIA"/>
    <n v="1060820"/>
    <m/>
    <m/>
    <n v="14"/>
    <d v="2026-09-28T00:00:00"/>
    <d v="2026-09-08T00:00:00"/>
    <s v="N/A"/>
    <s v="N/A"/>
    <d v="2026-09-28T00:00:00"/>
    <s v="EMCA-I-5636-2026"/>
    <s v="Cerrado"/>
    <s v="SI"/>
    <m/>
  </r>
  <r>
    <s v="PQR-IN-40"/>
    <s v="3330/2026"/>
    <d v="2026-09-08T00:00:00"/>
    <s v="Documento Físico"/>
    <x v="0"/>
    <s v="SOLICITUD DE CONEXIÓN DE SERVICIOS - CRA 32 No. 9-152 LOTE TERRENO # 11 CONJUNTO CABO MARIPOSA"/>
    <x v="0"/>
    <n v="502"/>
    <s v="Vinculación del Servicio"/>
    <x v="22"/>
    <s v="SI"/>
    <s v="CAMILO CERON CRISTIAN"/>
    <m/>
    <m/>
    <m/>
    <n v="14"/>
    <d v="2026-09-28T00:00:00"/>
    <d v="2026-09-08T00:00:00"/>
    <s v="N/A"/>
    <s v="N/A"/>
    <d v="2026-09-25T00:00:00"/>
    <s v="EMCA-I-5608-2026"/>
    <s v="Cerrado"/>
    <s v="SI"/>
    <m/>
  </r>
  <r>
    <s v="PQR-SUI-71"/>
    <s v="3331/2026"/>
    <d v="2026-09-08T00:00:00"/>
    <s v="Telefónico"/>
    <x v="1"/>
    <s v="USUARIA SOLICITA CAMBIO DE LLAVE DE PASO"/>
    <x v="2"/>
    <n v="316"/>
    <s v="Estado de la Infraestructura "/>
    <x v="11"/>
    <s v="SI"/>
    <s v="MYRIAM VARON"/>
    <m/>
    <m/>
    <m/>
    <n v="14"/>
    <d v="2026-09-28T00:00:00"/>
    <d v="2026-09-08T00:00:00"/>
    <s v="N/A"/>
    <s v="N/A"/>
    <d v="2026-09-28T00:00:00"/>
    <s v="EMCA-I-5634-2026"/>
    <s v="Cerrado"/>
    <s v="SI"/>
    <m/>
  </r>
  <r>
    <s v="PQR-IN-41"/>
    <s v="3332/2026"/>
    <d v="2026-09-08T00:00:00"/>
    <s v="Correo Electrónico"/>
    <x v="3"/>
    <s v="SOLICITUD DE RECOLECCIÓN DE RESIDIOS ESPECIALES (PUPITRES, SILLAS, MESAS) COLEGIO URIBE URIBE"/>
    <x v="0"/>
    <n v="503"/>
    <s v="Solicitud General"/>
    <x v="6"/>
    <m/>
    <s v="DUBAN CASTRO SALCEDO"/>
    <m/>
    <m/>
    <s v="SALUDVECTORES@GOBERNACIONDELQUINDIO.GOV.CO"/>
    <n v="14"/>
    <d v="2026-09-28T00:00:00"/>
    <m/>
    <m/>
    <m/>
    <m/>
    <m/>
    <s v="ABIERTA FUERA DE LOS TÉRMINOS"/>
    <m/>
    <m/>
  </r>
  <r>
    <s v="PQR-IN-42"/>
    <s v="3333/2026"/>
    <d v="2026-09-08T00:00:00"/>
    <s v="Correo Electrónico"/>
    <x v="5"/>
    <s v="OFICIO IMP-1048-2026 - TRASLADO POR COMPETENCIA EMCA-PQRS-3306-2026"/>
    <x v="2"/>
    <n v="306"/>
    <s v="No atención de condiciones de seguridad o riesgo"/>
    <x v="29"/>
    <m/>
    <s v="ALCALDIA CALARCÁ"/>
    <m/>
    <m/>
    <s v="asuntosadministrativos@calarca-quindio.gov.co"/>
    <n v="14"/>
    <d v="2026-09-28T00:00:00"/>
    <d v="2026-09-08T00:00:00"/>
    <s v="N/A"/>
    <s v="N/A"/>
    <d v="2026-09-29T00:00:00"/>
    <s v="EMCA-I-5629-2026"/>
    <s v="Cerrado"/>
    <s v="NO"/>
    <m/>
  </r>
  <r>
    <s v="PQR-IN-43"/>
    <s v="3334/2026"/>
    <d v="2026-09-08T00:00:00"/>
    <s v="Documento Físico"/>
    <x v="8"/>
    <s v="SOLICITUD DE RECOLECCIÓN DE ESCOMBROS Y DESECHOS GENERADOS POR EL SISMO DEL 10 DE AGOSTO - COLEGIO GENERAL SANTANDER"/>
    <x v="0"/>
    <n v="503"/>
    <s v="Solicitud General"/>
    <x v="25"/>
    <s v="SI"/>
    <s v="SANTANDER ESCUELA SANTANDER"/>
    <m/>
    <m/>
    <m/>
    <n v="14"/>
    <d v="2026-09-28T00:00:00"/>
    <d v="2026-09-08T00:00:00"/>
    <s v="N/A"/>
    <s v="N/A"/>
    <d v="2026-09-29T00:00:00"/>
    <s v="EMCA-I-5643-2026"/>
    <s v="Cerrado"/>
    <s v="NO"/>
    <m/>
  </r>
  <r>
    <s v="PQR-SUI-72"/>
    <s v="3335/2026"/>
    <d v="2026-09-08T00:00:00"/>
    <s v="Verbal"/>
    <x v="0"/>
    <s v="USUARIA SOLICITA CAMBIO DE NOMBRE EN LA FACTURA"/>
    <x v="1"/>
    <n v="106"/>
    <s v="Datos Generales Incorrectos"/>
    <x v="0"/>
    <s v="SI"/>
    <s v="ISLENY CARDONA PUENTES"/>
    <m/>
    <m/>
    <m/>
    <n v="14"/>
    <d v="2026-09-28T00:00:00"/>
    <s v="N/A"/>
    <s v="N/A"/>
    <s v="N/A"/>
    <d v="2026-09-28T00:00:00"/>
    <s v="EMCA-I-5638-2026"/>
    <s v="Cerrado"/>
    <s v="SI"/>
    <m/>
  </r>
  <r>
    <s v="PQR-SUI-73"/>
    <s v="3336/2026"/>
    <d v="2026-09-08T00:00:00"/>
    <s v="Verbal"/>
    <x v="1"/>
    <s v="USUARIA REPORTA FUGA DE MEDIDOR"/>
    <x v="2"/>
    <n v="316"/>
    <s v="Estado de la Infraestructura "/>
    <x v="19"/>
    <m/>
    <s v="ISLENY CARDONA PUENTES"/>
    <m/>
    <m/>
    <m/>
    <n v="14"/>
    <d v="2026-09-28T00:00:00"/>
    <m/>
    <m/>
    <m/>
    <m/>
    <m/>
    <s v="ABIERTA FUERA DE LOS TÉRMINOS"/>
    <m/>
    <m/>
  </r>
  <r>
    <s v="PQR-SUI-74"/>
    <s v="3337/2026"/>
    <d v="2026-09-08T00:00:00"/>
    <s v="Correo Electrónico"/>
    <x v="4"/>
    <s v="PMC-660-2026 - SEGUIMIENTO A DERECHO DE PETICION - EMCA-PQRS-3159-2026"/>
    <x v="0"/>
    <n v="503"/>
    <s v="Solicitud General"/>
    <x v="38"/>
    <m/>
    <s v="MUNICIPAL PERSONERIA"/>
    <m/>
    <m/>
    <m/>
    <n v="14"/>
    <d v="2026-09-28T00:00:00"/>
    <d v="2026-09-08T00:00:00"/>
    <s v="N/A"/>
    <s v="N/A"/>
    <d v="2026-09-28T00:00:00"/>
    <s v="EMCA-I-5623-2026"/>
    <s v="Cerrado"/>
    <s v="SI"/>
    <m/>
  </r>
  <r>
    <s v="PQR-IN-44"/>
    <s v="3338/2026"/>
    <d v="2026-09-08T00:00:00"/>
    <s v="Telefónico"/>
    <x v="3"/>
    <s v="USUARIO SOLICITA RECOLECCION DE MUEBLES"/>
    <x v="0"/>
    <n v="503"/>
    <s v="Solicitud General"/>
    <x v="6"/>
    <s v="SI"/>
    <s v="CLARA INES MORALES"/>
    <n v="1169300"/>
    <m/>
    <m/>
    <n v="14"/>
    <d v="2026-09-28T00:00:00"/>
    <d v="2026-09-08T00:00:00"/>
    <s v="N/A"/>
    <s v="N/A"/>
    <d v="2026-09-28T00:00:00"/>
    <s v="EMCA-I-5644-2026"/>
    <s v="Cerrado"/>
    <s v="SI"/>
    <m/>
  </r>
  <r>
    <s v="PQR-SUI-75"/>
    <s v="3339/2026"/>
    <d v="2026-09-08T00:00:00"/>
    <s v="Documento Físico"/>
    <x v="4"/>
    <s v="DERECHO DE PETICIÓN - SOLICITUD CAMBIO DE ACOMETIDA CALLE 39 No. 25-45 CASINO CLUB"/>
    <x v="2"/>
    <n v="316"/>
    <s v="Estado de la Infraestructura "/>
    <x v="16"/>
    <m/>
    <s v="YADIRA ATENCIA"/>
    <m/>
    <m/>
    <s v="mariangel170411@hotmail.com"/>
    <n v="14"/>
    <d v="2026-09-28T00:00:00"/>
    <m/>
    <m/>
    <m/>
    <m/>
    <m/>
    <s v="ABIERTA FUERA DE LOS TÉRMINOS"/>
    <m/>
    <m/>
  </r>
  <r>
    <s v="PQR-IN-45"/>
    <s v="3340/2026"/>
    <d v="2026-09-08T00:00:00"/>
    <s v="Telefónico"/>
    <x v="3"/>
    <s v="USUARIA SOLICITA RECOLECCION DE 1 COLCHON Y 1 SOFA"/>
    <x v="0"/>
    <n v="503"/>
    <s v="Solicitud General"/>
    <x v="6"/>
    <m/>
    <s v="LUZ STELLA RODRIGUEZ M."/>
    <m/>
    <m/>
    <m/>
    <n v="14"/>
    <d v="2026-09-28T00:00:00"/>
    <m/>
    <m/>
    <m/>
    <m/>
    <m/>
    <s v="ABIERTA FUERA DE LOS TÉRMINOS"/>
    <m/>
    <m/>
  </r>
  <r>
    <s v="PQR-SUI-76"/>
    <s v="3341/2026"/>
    <d v="2026-09-08T00:00:00"/>
    <s v="Correo Electrónico"/>
    <x v="0"/>
    <s v="SOLICITUD ACLARACIÓN A DERECHO DE PETICIÓN EMCA-PQRS-2883-2026 REF: EMCA-I-4854-2026"/>
    <x v="0"/>
    <n v="503"/>
    <s v="Solicitud General"/>
    <x v="39"/>
    <m/>
    <s v="GUSTAVO ALBERTO DUQUE ROJAS"/>
    <m/>
    <m/>
    <s v="gustavoduque48@hotmail.com"/>
    <n v="14"/>
    <d v="2026-09-28T00:00:00"/>
    <m/>
    <m/>
    <m/>
    <m/>
    <m/>
    <s v="ABIERTA FUERA DE LOS TÉRMINOS"/>
    <m/>
    <m/>
  </r>
  <r>
    <s v="PQR-IN-46"/>
    <s v="3342/2026"/>
    <d v="2026-09-08T00:00:00"/>
    <s v="Telefónico"/>
    <x v="3"/>
    <s v="USUARIA SOLICITA RECOLECCION DE 1 COLCHON"/>
    <x v="0"/>
    <n v="503"/>
    <s v="Solicitud General"/>
    <x v="6"/>
    <m/>
    <s v="FEDERMAN MEDINA"/>
    <m/>
    <m/>
    <m/>
    <n v="14"/>
    <d v="2026-09-28T00:00:00"/>
    <m/>
    <m/>
    <m/>
    <m/>
    <m/>
    <s v="ABIERTA FUERA DE LOS TÉRMINOS"/>
    <m/>
    <m/>
  </r>
  <r>
    <s v="PQR-SUI-77"/>
    <s v="3343/2026"/>
    <d v="2026-09-08T00:00:00"/>
    <s v="Verbal"/>
    <x v="4"/>
    <s v="USUARIO SOLICIA DESCUENTO EN EL COBRO DE CONSUMO DE ACUERDO CON LA RESPUESTA AL EMCA-2822-2026"/>
    <x v="1"/>
    <n v="102"/>
    <s v="Inconformidad con la medición del consumo o producción facturado"/>
    <x v="5"/>
    <m/>
    <s v="A. RAMOS CAMILO"/>
    <m/>
    <m/>
    <m/>
    <n v="14"/>
    <d v="2026-09-28T00:00:00"/>
    <m/>
    <m/>
    <m/>
    <m/>
    <m/>
    <s v="ABIERTA FUERA DE LOS TÉRMINOS"/>
    <m/>
    <m/>
  </r>
  <r>
    <s v="PQR-SUI-78"/>
    <s v="3344/2026"/>
    <d v="2026-09-09T00:00:00"/>
    <s v="Verbal"/>
    <x v="4"/>
    <s v="USUARIA REPORT FUGA EN RED PRINCIPAL YA QUE HAY UN TUBO QUE SE REVENTO Y ESTA BOTANDO MUCHA AGUA POR EL LADO DEL ROMBOY IZQUIERDO LLAMAR ANTES DE IR"/>
    <x v="2"/>
    <n v="316"/>
    <s v="Estado de la Infraestructura "/>
    <x v="33"/>
    <m/>
    <s v="CASTELLANOS PINILLA MYRIAM LUCIA"/>
    <m/>
    <m/>
    <m/>
    <n v="14"/>
    <d v="2026-09-28T00:00:00"/>
    <m/>
    <m/>
    <m/>
    <m/>
    <m/>
    <s v="ABIERTA FUERA DE LOS TÉRMINOS"/>
    <m/>
    <m/>
  </r>
  <r>
    <s v="PQR-SUI-79"/>
    <s v="3345/2026"/>
    <d v="2026-09-09T00:00:00"/>
    <s v="Verbal"/>
    <x v="4"/>
    <s v="1190245 USUARIO REPORTA FUGA EN LA RED DOMICILIARIA"/>
    <x v="2"/>
    <n v="316"/>
    <s v="Estado de la Infraestructura "/>
    <x v="20"/>
    <m/>
    <s v="ALCIDES RAMIRES"/>
    <n v="1190245"/>
    <m/>
    <m/>
    <n v="14"/>
    <d v="2026-09-29T00:00:00"/>
    <d v="2026-09-09T00:00:00"/>
    <s v="N/A"/>
    <s v="N/A"/>
    <d v="2026-09-29T00:00:00"/>
    <s v="EMCA-I-5633-2026"/>
    <s v="Cerrado"/>
    <s v="SI"/>
    <m/>
  </r>
  <r>
    <s v="PQR-SUI-80"/>
    <s v="3346/2026"/>
    <d v="2026-09-09T00:00:00"/>
    <s v="Verbal"/>
    <x v="0"/>
    <s v="SOLICITUD DE CONEXIÓN DE SERVICIOS - CONDOMINIO CAMPESTRE POTOSI LOTE 27"/>
    <x v="0"/>
    <n v="502"/>
    <s v="Vinculación del Servicio"/>
    <x v="22"/>
    <m/>
    <s v="DIEGO RICARDO RUBIANO VALERO"/>
    <m/>
    <m/>
    <m/>
    <n v="14"/>
    <d v="2026-09-29T00:00:00"/>
    <m/>
    <m/>
    <m/>
    <m/>
    <m/>
    <s v="ABIERTA FUERA DE LOS TÉRMINOS"/>
    <m/>
    <m/>
  </r>
  <r>
    <s v="PQR-IN-47"/>
    <s v="3347/2026"/>
    <d v="2026-09-09T00:00:00"/>
    <s v="Verbal"/>
    <x v="3"/>
    <s v="USUARIO SOLICITA QUE RECOJAN UNA PUERTA DE MADERA EN LA DIRECCION LA HUERTA MZ C CASA 6"/>
    <x v="0"/>
    <n v="503"/>
    <s v="Solicitud General"/>
    <x v="6"/>
    <m/>
    <s v="CARLOS ALBERTO SIERRA"/>
    <m/>
    <m/>
    <m/>
    <n v="14"/>
    <d v="2026-09-29T00:00:00"/>
    <d v="2026-09-09T00:00:00"/>
    <s v="N/A"/>
    <s v="N/A"/>
    <d v="2026-09-29T00:00:00"/>
    <s v="EMCA-I-5649-2026"/>
    <s v="Cerrado"/>
    <s v="SI"/>
    <m/>
  </r>
  <r>
    <s v="PQR-IN-48"/>
    <s v="3348/2026"/>
    <d v="2026-09-09T00:00:00"/>
    <s v="Documento Físico"/>
    <x v="7"/>
    <s v="SOLICITUD ARRENDAMIENTO DE LOCAL COMERCIAL - PLAZA DE MERCADO"/>
    <x v="4"/>
    <s v="PQR-IN-116"/>
    <s v="PQR-IN-116"/>
    <x v="40"/>
    <m/>
    <s v="HERNANDO GIRALDO VELEZ"/>
    <m/>
    <m/>
    <s v="hernandogiraldovelez.1958@gmail.com"/>
    <n v="14"/>
    <d v="2026-09-29T00:00:00"/>
    <d v="2026-09-09T00:00:00"/>
    <s v="N/A"/>
    <s v="N/A"/>
    <d v="2026-09-29T00:00:00"/>
    <s v="EMCA-I-5647-2026"/>
    <s v="Cerrado"/>
    <s v="SI"/>
    <m/>
  </r>
  <r>
    <s v="PQR-SUI-81"/>
    <s v="3349/2026"/>
    <d v="2026-09-09T00:00:00"/>
    <s v="Documento Físico"/>
    <x v="1"/>
    <s v="DERECHO DE PETICIÓN - SOLICITUD DE REVISIÓN POR CRUCE EN MEDIDORES DEL SERVICIO DE ACUEDUCTO EN EL RINCON DEL BOSQUE MZ 4 CASA 38 PISO 1 Y 2"/>
    <x v="1"/>
    <n v="121"/>
    <s v="Cobro por consumo registrado por medidor de otro predio"/>
    <x v="41"/>
    <m/>
    <s v="HERNAN CARVAJAL RINCON"/>
    <m/>
    <m/>
    <m/>
    <n v="14"/>
    <d v="2026-09-29T00:00:00"/>
    <s v="N/A"/>
    <s v="N/A"/>
    <s v="N/A"/>
    <d v="2026-09-29T00:00:00"/>
    <s v="EMCA-I-5641-2026"/>
    <s v="Cerrado"/>
    <s v="SI"/>
    <m/>
  </r>
  <r>
    <s v="PQR-IN-49"/>
    <s v="3350/2026"/>
    <d v="2026-09-09T00:00:00"/>
    <s v="Correo Electrónico"/>
    <x v="3"/>
    <s v="2026EE-6562 - REMISIÓN DE SOLICITUD - PODA DE ARBOL MANGO EN PARQUE RAFAEL URIBE, SDEAC-2026-0519"/>
    <x v="0"/>
    <n v="503"/>
    <s v="Solicitud General"/>
    <x v="42"/>
    <s v="NO"/>
    <s v="ALCALDIA CALARCÁ"/>
    <m/>
    <m/>
    <s v="asuntosadministrativos@calarca-quindio.gov.co"/>
    <n v="14"/>
    <d v="2026-09-29T00:00:00"/>
    <d v="2026-09-09T00:00:00"/>
    <s v="N/A"/>
    <s v="N/A"/>
    <d v="2026-09-30T00:00:00"/>
    <s v="EMCA-I-5646-2026"/>
    <s v="Cerrado"/>
    <s v="NO"/>
    <m/>
  </r>
  <r>
    <s v="PQR-IN-50"/>
    <s v="3351/2026"/>
    <d v="2026-09-09T00:00:00"/>
    <s v="Correo Electrónico"/>
    <x v="2"/>
    <s v="SOLICITUD DE ANÁLISIS DE AGUA - TORONTO GREEN S.A.S"/>
    <x v="0"/>
    <n v="503"/>
    <s v="Solicitud General"/>
    <x v="2"/>
    <s v="SI"/>
    <s v="JHON SEBASTIÁN NIETO QUINTERO"/>
    <m/>
    <m/>
    <s v="jnieto@dvssas.com"/>
    <n v="14"/>
    <d v="2026-09-29T00:00:00"/>
    <d v="2026-09-09T00:00:00"/>
    <s v="N/A"/>
    <s v="N/A"/>
    <d v="2026-09-29T00:00:00"/>
    <s v="EMCA-I-5325-2026"/>
    <s v="Cerrado"/>
    <s v="SI"/>
    <s v="SI"/>
  </r>
  <r>
    <s v="PQR-SUI-82"/>
    <s v="3352/2026"/>
    <d v="2026-09-09T00:00:00"/>
    <s v="Telefónico"/>
    <x v="4"/>
    <s v="USUARIA REPORTA FUGA DOMICILIARIA POR LLAMADA TELEFONICA LLAMAR YA QUE HAY UN TUBO QUE SE REVENTO Y ESTA CAUSANDO INUNDACION EN VARIOS PREDIOS"/>
    <x v="2"/>
    <n v="316"/>
    <s v="Estado de la Infraestructura "/>
    <x v="20"/>
    <m/>
    <s v="PIEDAD DIAZ"/>
    <m/>
    <m/>
    <m/>
    <n v="14"/>
    <d v="2026-09-29T00:00:00"/>
    <m/>
    <m/>
    <m/>
    <m/>
    <m/>
    <s v="ABIERTA FUERA DE LOS TÉRMINOS"/>
    <m/>
    <m/>
  </r>
  <r>
    <s v="PQR-SUI-84"/>
    <s v="3353/2026"/>
    <d v="2026-09-09T00:00:00"/>
    <s v="Telefónico"/>
    <x v="1"/>
    <s v="USUARIO SOLICITA CAMBIO DE LLAVE(PRESENTA FUGA DEBIDO A ESTE DAÑO)"/>
    <x v="2"/>
    <n v="316"/>
    <s v="Estado de la Infraestructura "/>
    <x v="11"/>
    <m/>
    <s v="YOLANDA ARANZAZU"/>
    <m/>
    <m/>
    <m/>
    <n v="14"/>
    <d v="2026-09-29T00:00:00"/>
    <m/>
    <m/>
    <m/>
    <m/>
    <m/>
    <s v="ABIERTA FUERA DE LOS TÉRMINOS"/>
    <m/>
    <m/>
  </r>
  <r>
    <s v="PQR-SUI-83"/>
    <s v="3354/2026"/>
    <d v="2026-09-09T00:00:00"/>
    <s v="Verbal"/>
    <x v="3"/>
    <s v="USUARIA REPORTA PREDIO DESOCUPADO POR EVACUACION DEBIDO AL TERREMOTO"/>
    <x v="1"/>
    <n v="114"/>
    <s v="Descuento por predio desocupado"/>
    <x v="3"/>
    <s v="SI"/>
    <s v="MARIELA CONTENTO QUINTERO"/>
    <n v="1206580"/>
    <m/>
    <m/>
    <n v="14"/>
    <d v="2026-09-29T00:00:00"/>
    <s v="N/A"/>
    <s v="N/A"/>
    <s v="N/A"/>
    <d v="2026-09-29T00:00:00"/>
    <s v="EMCA-I-5645-2026"/>
    <s v="Cerrado"/>
    <s v="SI"/>
    <m/>
  </r>
  <r>
    <s v="PQR-SUI-85"/>
    <s v="3355/2026"/>
    <d v="2026-09-09T00:00:00"/>
    <s v="Verbal"/>
    <x v="1"/>
    <s v="USUARIO SOLICITA CAMBIO DE LA LLAVE DE PASO"/>
    <x v="2"/>
    <n v="316"/>
    <s v="Estado de la Infraestructura "/>
    <x v="11"/>
    <s v="SI"/>
    <s v="RAMIRO GOMEZ GOMEZ"/>
    <n v="1016080"/>
    <m/>
    <m/>
    <n v="14"/>
    <d v="2026-09-29T00:00:00"/>
    <d v="2026-09-09T00:00:00"/>
    <s v="N/A"/>
    <s v="N/A"/>
    <d v="2026-09-29T00:00:00"/>
    <s v="EMCA-I-5648-2026"/>
    <s v="Cerrado"/>
    <s v="SI"/>
    <m/>
  </r>
  <r>
    <s v="PQR-SUI-87"/>
    <s v="3356/2026"/>
    <d v="2026-09-09T00:00:00"/>
    <s v="Verbal"/>
    <x v="3"/>
    <s v="USUARIO REPORTA PREDIO DESOCUPADO"/>
    <x v="1"/>
    <n v="114"/>
    <s v="Descuento por predio desocupado"/>
    <x v="3"/>
    <s v="SI"/>
    <s v="JOSE DEL CARMEN PRIETO VALENCIA"/>
    <n v="1024160"/>
    <m/>
    <m/>
    <n v="14"/>
    <d v="2026-09-29T00:00:00"/>
    <s v="N/A"/>
    <s v="N/A"/>
    <s v="N/A"/>
    <d v="2026-09-29T00:00:00"/>
    <s v="EMCA-I-5652-2026"/>
    <s v="Cerrado"/>
    <s v="SI"/>
    <m/>
  </r>
  <r>
    <s v="PQR-SUI-86"/>
    <s v="3357/2026"/>
    <d v="2026-09-09T00:00:00"/>
    <s v="Verbal"/>
    <x v="3"/>
    <s v="DATOS GENERALES INCORRECTOS"/>
    <x v="1"/>
    <n v="106"/>
    <s v="Datos Generales Incorrectos"/>
    <x v="0"/>
    <s v="SI"/>
    <s v="PAULA ANDREA CELIS ECHEVERRI"/>
    <m/>
    <m/>
    <m/>
    <n v="14"/>
    <d v="2026-09-29T00:00:00"/>
    <s v="N/A"/>
    <s v="N/A"/>
    <s v="N/A"/>
    <d v="2026-09-29T00:00:00"/>
    <s v="EMCA-I-5651-2026"/>
    <s v="Cerrado"/>
    <s v="SI"/>
    <m/>
  </r>
  <r>
    <s v="PQR-IN-52"/>
    <s v="3358/2026"/>
    <d v="2026-09-09T00:00:00"/>
    <s v="Telefónico"/>
    <x v="3"/>
    <s v="USUARIA SOLICITA RECOLECCION DE 1 COLCHON"/>
    <x v="0"/>
    <n v="503"/>
    <s v="Solicitud General"/>
    <x v="6"/>
    <s v="SI"/>
    <s v="YESID SUAREZ M."/>
    <m/>
    <m/>
    <m/>
    <n v="14"/>
    <d v="2026-09-29T00:00:00"/>
    <d v="2026-09-09T00:00:00"/>
    <s v="N/A"/>
    <s v="N/A"/>
    <d v="2026-09-29T00:00:00"/>
    <s v="EMCA-I-5661-2026"/>
    <s v="Cerrado"/>
    <s v="SI"/>
    <m/>
  </r>
  <r>
    <s v="PQR-SUI-88"/>
    <s v="3359/2026"/>
    <d v="2026-09-09T00:00:00"/>
    <s v="Verbal"/>
    <x v="1"/>
    <s v="USUARIO REPORTA DEFICIENCIA DE PRESION"/>
    <x v="2"/>
    <n v="304"/>
    <s v="Variaciones en las características del suministro o prestación del servicio"/>
    <x v="12"/>
    <s v="SI"/>
    <s v="ALZATE ALZATE JAVIER HUMBERTO"/>
    <n v="1096280"/>
    <m/>
    <m/>
    <n v="14"/>
    <d v="2026-09-29T00:00:00"/>
    <d v="2026-09-09T00:00:00"/>
    <s v="N/A"/>
    <s v="N/A"/>
    <d v="2026-09-29T00:00:00"/>
    <s v="EMCA-I-5660-2026"/>
    <s v="Cerrado"/>
    <s v="SI"/>
    <m/>
  </r>
  <r>
    <s v="PQR-IN-53"/>
    <s v="3360/2026"/>
    <d v="2026-09-09T00:00:00"/>
    <s v="Telefónico"/>
    <x v="3"/>
    <s v="USUARIA SOLICITA RECOLECCION DE 1 COLCHON Y BASE CAMA"/>
    <x v="0"/>
    <n v="503"/>
    <s v="Solicitud General"/>
    <x v="6"/>
    <s v="SI"/>
    <s v="CECILIA BONILLA CERQUERA"/>
    <m/>
    <m/>
    <m/>
    <n v="14"/>
    <d v="2026-09-29T00:00:00"/>
    <d v="2026-09-09T00:00:00"/>
    <s v="N/A"/>
    <s v="N/A"/>
    <d v="2026-09-29T00:00:00"/>
    <s v="EMCA-I-5659-2026"/>
    <s v="Cerrado"/>
    <s v="SI"/>
    <m/>
  </r>
  <r>
    <s v="PQR-SUI-89"/>
    <s v="3361/2026"/>
    <d v="2026-09-10T00:00:00"/>
    <s v="Verbal"/>
    <x v="9"/>
    <s v="CAMBIO DE DATOS INCORRECTOS"/>
    <x v="1"/>
    <n v="106"/>
    <s v="Datos Generales Incorrectos"/>
    <x v="0"/>
    <s v="NO"/>
    <s v="LINA MARIA GONZALEZ CARDENAS"/>
    <m/>
    <m/>
    <m/>
    <n v="14"/>
    <d v="2026-09-29T00:00:00"/>
    <d v="2026-09-09T00:00:00"/>
    <s v="N/A"/>
    <s v="N/A"/>
    <d v="2026-09-29T00:00:00"/>
    <s v="EMCA-I-5658-2026"/>
    <s v="Cerrado"/>
    <s v="SI"/>
    <m/>
  </r>
  <r>
    <s v="PQR-SUI-90"/>
    <s v="3362/2026"/>
    <d v="2026-09-10T00:00:00"/>
    <s v="Verbal"/>
    <x v="3"/>
    <s v="USUARIA REPORTA PREDIO DESOCUPADO"/>
    <x v="1"/>
    <n v="114"/>
    <s v="Descuento por predio desocupado"/>
    <x v="3"/>
    <m/>
    <s v="OLGA CECILIA ARBELAEZ DE GIRALDO"/>
    <m/>
    <m/>
    <m/>
    <n v="14"/>
    <d v="2026-09-30T00:00:00"/>
    <m/>
    <m/>
    <m/>
    <m/>
    <m/>
    <s v="ABIERTA FUERA DE LOS TÉRMINOS"/>
    <m/>
    <m/>
  </r>
  <r>
    <s v="PQR-SUI-91"/>
    <s v="3363/2026"/>
    <d v="2026-09-10T00:00:00"/>
    <s v="Correo Electrónico"/>
    <x v="1"/>
    <s v="20268304464311 - NOTIFICACIÓN ELECTRÓNICA RESOLUCIÓN No. SSPD-20268300780725 DEL 07/09/2026 EXPEDIENTE No. 2025830420108484E"/>
    <x v="0"/>
    <n v="503"/>
    <s v="Solicitud General"/>
    <x v="43"/>
    <m/>
    <s v="SUPERINTENDENCIA DE SERVICIOS PUBLICOS DOMICILIARIOS"/>
    <m/>
    <m/>
    <s v="porasignar@gmail.com"/>
    <n v="14"/>
    <d v="2026-09-30T00:00:00"/>
    <m/>
    <m/>
    <m/>
    <m/>
    <m/>
    <s v="ABIERTA FUERA DE LOS TÉRMINOS"/>
    <m/>
    <m/>
  </r>
  <r>
    <s v="PQR-SUI-92"/>
    <s v="3364/2026"/>
    <d v="2026-09-10T00:00:00"/>
    <s v="Verbal"/>
    <x v="0"/>
    <s v="USUARIA SOLICITA CAMBIO DE NOMBRE EN LA FACTURA"/>
    <x v="1"/>
    <n v="106"/>
    <s v="Datos Generales Incorrectos"/>
    <x v="0"/>
    <m/>
    <s v="GLORIA ESPERANZA JARAMILLO CASTRO"/>
    <n v="1224780"/>
    <m/>
    <m/>
    <n v="14"/>
    <d v="2026-09-30T00:00:00"/>
    <m/>
    <m/>
    <m/>
    <m/>
    <m/>
    <s v="ABIERTA FUERA DE LOS TÉRMINOS"/>
    <m/>
    <m/>
  </r>
  <r>
    <s v="PQR-SUI-93"/>
    <s v="3365/20026"/>
    <d v="2026-09-10T00:00:00"/>
    <s v="Documento Físico"/>
    <x v="5"/>
    <s v="DERECHO DE PETICIÓN - SOLICITUD DE REVISIÓN POR DAÑO EN RED DE ALCANTARILLADO DE LA MZ 6 CASA 32 LLANITOS DE GUARALA"/>
    <x v="2"/>
    <n v="316"/>
    <s v="Estado de la Infraestructura "/>
    <x v="9"/>
    <s v="SI"/>
    <s v="ANA JULIA FLOREZ"/>
    <m/>
    <m/>
    <m/>
    <n v="14"/>
    <d v="2026-09-30T00:00:00"/>
    <d v="2026-09-10T00:00:00"/>
    <s v="N/A"/>
    <s v="N/A"/>
    <d v="2026-09-29T00:00:00"/>
    <s v="EMCA-I-5657-2026"/>
    <s v="Cerrado"/>
    <s v="SI"/>
    <m/>
  </r>
  <r>
    <s v="PQR-SUI-94"/>
    <s v="3366/2026"/>
    <d v="2026-09-10T00:00:00"/>
    <s v="Verbal"/>
    <x v="3"/>
    <s v="PREDIO DESOCUPADO"/>
    <x v="1"/>
    <n v="114"/>
    <s v="Descuento por predio desocupado"/>
    <x v="3"/>
    <m/>
    <s v="MONTENEGRO ARDILA MARTHA LUCIA"/>
    <m/>
    <m/>
    <m/>
    <n v="14"/>
    <d v="2026-09-30T00:00:00"/>
    <m/>
    <m/>
    <m/>
    <m/>
    <m/>
    <s v="ABIERTA FUERA DE LOS TÉRMINOS"/>
    <m/>
    <m/>
  </r>
  <r>
    <s v="PQR-SUI-95"/>
    <s v="3367/2026"/>
    <d v="2026-09-10T00:00:00"/>
    <s v="Documento Físico"/>
    <x v="1"/>
    <s v="RECLAMACIÓN POR INCREMENTO EN EL SERVICIO DE ACUEDUCTO - BARRIO LA FLORESTA MZ A CASA 03"/>
    <x v="1"/>
    <n v="127"/>
    <s v="Inconformidad por desviación significativa"/>
    <x v="5"/>
    <m/>
    <s v="VELEZ ESQUIVEL JANETH ROCIO"/>
    <m/>
    <m/>
    <m/>
    <n v="14"/>
    <d v="2026-09-30T00:00:00"/>
    <m/>
    <m/>
    <m/>
    <m/>
    <m/>
    <s v="ABIERTA FUERA DE LOS TÉRMINOS"/>
    <m/>
    <m/>
  </r>
  <r>
    <s v="PQR-SUI-96"/>
    <s v="3368/2026"/>
    <d v="2026-09-10T00:00:00"/>
    <s v="Verbal"/>
    <x v="1"/>
    <s v="USUARIO SOLICITA CXAMBIO DE LA LLAVE DE PASO"/>
    <x v="2"/>
    <n v="316"/>
    <s v="Estado de la Infraestructura "/>
    <x v="11"/>
    <s v="SI"/>
    <s v="OSCAR BERMUDEZ"/>
    <n v="1252794"/>
    <m/>
    <m/>
    <n v="14"/>
    <d v="2026-09-30T00:00:00"/>
    <d v="2026-09-10T00:00:00"/>
    <s v="N/A"/>
    <s v="N/A"/>
    <d v="2026-09-29T00:00:00"/>
    <s v="EMCA-I-5674-2026"/>
    <s v="Cerrado"/>
    <s v="SI"/>
    <m/>
  </r>
  <r>
    <s v="PQR-IN-55"/>
    <s v="3369/2026"/>
    <d v="2026-09-10T00:00:00"/>
    <s v="Correo Electrónico"/>
    <x v="2"/>
    <s v="SOLICITUD DE COTIZACIÓN DE CARACTERIZACIÓN CONSULTORIO ODONTOLOGICO DRA OLGA LUCIA ARANGO BOTERO"/>
    <x v="0"/>
    <n v="503"/>
    <s v="Solicitud General"/>
    <x v="2"/>
    <s v="SI"/>
    <s v="OLGA LUCIA ARANGO BOTERO"/>
    <m/>
    <m/>
    <m/>
    <n v="14"/>
    <d v="2026-09-30T00:00:00"/>
    <d v="2026-09-10T00:00:00"/>
    <s v="N/A"/>
    <s v="N/A"/>
    <d v="2026-09-29T00:00:00"/>
    <s v="EMCA-I-5673-2026"/>
    <s v="Cerrado"/>
    <s v="SI"/>
    <m/>
  </r>
  <r>
    <s v="PQR-SUI-97"/>
    <s v="3370/2026"/>
    <d v="2026-09-10T00:00:00"/>
    <s v="Documento Físico"/>
    <x v="5"/>
    <s v="DERECHO DE PETICIÓN SOLICITUD DE REVISIÓN REDES DE ALCANTARILLADO - CRA 28 No. 46-137 BARRIO ANTONIO NARIÑO"/>
    <x v="2"/>
    <n v="316"/>
    <s v="Estado de la Infraestructura "/>
    <x v="18"/>
    <m/>
    <s v="LUZ PATRICIA VEGA GARCIA"/>
    <m/>
    <m/>
    <m/>
    <n v="14"/>
    <d v="2026-09-30T00:00:00"/>
    <d v="2026-09-10T00:00:00"/>
    <s v="N/A"/>
    <s v="N/A"/>
    <d v="2026-09-29T00:00:00"/>
    <s v="EMCA-I-5656-2026"/>
    <s v="Cerrado"/>
    <s v="SI"/>
    <m/>
  </r>
  <r>
    <s v="PQR-SUI-98"/>
    <s v="3371/2026"/>
    <d v="2026-09-10T00:00:00"/>
    <s v="Verbal"/>
    <x v="1"/>
    <s v="USUARIA SOLICITA CAMBIO DE LA LLAVE DE PASO"/>
    <x v="2"/>
    <n v="316"/>
    <s v="Estado de la Infraestructura "/>
    <x v="11"/>
    <m/>
    <s v="DORA LUCIDIA RESTREPO"/>
    <n v="1242322"/>
    <m/>
    <m/>
    <n v="14"/>
    <d v="2026-09-30T00:00:00"/>
    <m/>
    <m/>
    <m/>
    <m/>
    <m/>
    <s v="ABIERTA FUERA DE LOS TÉRMINOS"/>
    <m/>
    <m/>
  </r>
  <r>
    <s v="PQR-IN-56"/>
    <s v="3372/2026"/>
    <d v="2026-09-10T00:00:00"/>
    <s v="Documento Físico"/>
    <x v="4"/>
    <s v="SOLICITUD DE COTIZACIÓN DEL SERVICIO DE VIDEO INSPECCIÓN CON ROBOT ROVVER 125"/>
    <x v="0"/>
    <n v="503"/>
    <s v="Solicitud General"/>
    <x v="2"/>
    <m/>
    <s v="JAIRO PALACIO JARAMILLO"/>
    <m/>
    <m/>
    <m/>
    <n v="14"/>
    <d v="2026-09-30T00:00:00"/>
    <d v="2026-09-10T00:00:00"/>
    <s v="N/A"/>
    <s v="N/A"/>
    <d v="2026-09-18T00:00:00"/>
    <s v="EMCA-I-5411-2026"/>
    <s v="Cerrado"/>
    <s v="SI"/>
    <m/>
  </r>
  <r>
    <s v="PQR-SUI-99"/>
    <s v="3373/2026"/>
    <d v="2026-09-10T00:00:00"/>
    <s v="Verbal"/>
    <x v="1"/>
    <s v="USUARIO REPORTA FUGA EN EL MEDIDOR"/>
    <x v="2"/>
    <n v="316"/>
    <s v="Estado de la Infraestructura "/>
    <x v="19"/>
    <m/>
    <s v="MAXIMILIANO NUÑEZ"/>
    <n v="1218000"/>
    <m/>
    <m/>
    <n v="14"/>
    <d v="2026-09-30T00:00:00"/>
    <d v="2026-09-10T00:00:00"/>
    <s v="N/A"/>
    <s v="N/A"/>
    <d v="2026-09-30T00:00:00"/>
    <s v="EMCA-I-5667-2026"/>
    <s v="Cerrado"/>
    <s v="SI"/>
    <m/>
  </r>
  <r>
    <s v="PQR-SUI-100"/>
    <s v="3374/2026"/>
    <d v="2026-09-10T00:00:00"/>
    <s v="Documento Físico"/>
    <x v="10"/>
    <s v="SOLICITUD CONEXION DE SERVICIOS CRA 32 No. 9-152 - CABO MARIPOSA LOTE 24"/>
    <x v="0"/>
    <n v="502"/>
    <s v="Vinculación del Servicio"/>
    <x v="22"/>
    <m/>
    <s v="DIEGO MAURICIO RIVERA SOTO"/>
    <m/>
    <m/>
    <m/>
    <n v="14"/>
    <d v="2026-09-30T00:00:00"/>
    <d v="2026-09-10T00:00:00"/>
    <s v="N/A"/>
    <s v="N/A"/>
    <d v="2026-09-17T00:00:00"/>
    <s v="EMCA-I-5389-2026"/>
    <s v="Cerrado"/>
    <s v="SI"/>
    <m/>
  </r>
  <r>
    <s v="PQR-SUI-101"/>
    <s v="3375/2026"/>
    <d v="2026-09-10T00:00:00"/>
    <s v="Verbal"/>
    <x v="4"/>
    <s v="FUGA DE DIMICILIARIA"/>
    <x v="2"/>
    <n v="316"/>
    <s v="Estado de la Infraestructura "/>
    <x v="19"/>
    <s v="SI"/>
    <s v="RINCON G MARTHA CECILIA"/>
    <m/>
    <m/>
    <m/>
    <n v="14"/>
    <d v="2026-09-30T00:00:00"/>
    <d v="2026-09-10T00:00:00"/>
    <s v="N/A"/>
    <s v="N/A"/>
    <d v="2026-09-17T00:00:00"/>
    <s v="EMCA-I-5669-2026"/>
    <s v="Cerrado"/>
    <s v="SI"/>
    <m/>
  </r>
  <r>
    <s v="PQR-SUI-102"/>
    <s v="3376/2026"/>
    <d v="2026-09-10T00:00:00"/>
    <s v="Documento Físico"/>
    <x v="3"/>
    <s v="DERECHO DE PETICIÓN - REITERACIÓN DE SOLICITUD DE RECOLECCIÓN DE RESIDUOS SOLIDOS - FINCA VISTA HERMOSA LA BELLA"/>
    <x v="2"/>
    <n v="311"/>
    <s v="Frecuencias adicionales de recolección"/>
    <x v="44"/>
    <s v="SI"/>
    <s v="JOSÉ GREGORIO LLORENTE"/>
    <m/>
    <m/>
    <m/>
    <n v="14"/>
    <d v="2026-09-30T00:00:00"/>
    <d v="2026-09-10T00:00:00"/>
    <s v="N/A"/>
    <s v="N/A"/>
    <d v="2026-09-30T00:00:00"/>
    <s v="EMCA-I-5671-2026"/>
    <s v="Cerrado"/>
    <s v="SI"/>
    <m/>
  </r>
  <r>
    <s v="PQR-IN-57"/>
    <s v="3377/2026"/>
    <d v="2026-09-10T00:00:00"/>
    <s v="Correo Electrónico"/>
    <x v="7"/>
    <s v="SOLICITUD DE TRASLADO DE LOCAL COMERCIAL PLAZA DE MERCADO 277 AL 2727"/>
    <x v="0"/>
    <n v="503"/>
    <s v="Solicitud General"/>
    <x v="45"/>
    <s v="SI"/>
    <s v="LUCILA GOMEZ RAYO"/>
    <m/>
    <m/>
    <s v="lucy-la_2029@hotmail.com"/>
    <n v="14"/>
    <d v="2026-09-30T00:00:00"/>
    <d v="2026-09-10T00:00:00"/>
    <s v="N/A"/>
    <s v="N/A"/>
    <d v="2026-09-30T00:00:00"/>
    <s v="EMCA-I-5670-2026"/>
    <s v="Cerrado"/>
    <s v="SI"/>
    <m/>
  </r>
  <r>
    <s v="PQR-SUI-103"/>
    <s v="3378/2026"/>
    <d v="2026-09-10T00:00:00"/>
    <s v="Documento Físico"/>
    <x v="0"/>
    <s v="SOLICITUD DE RESTRICCIÓN DE CUENTA Y DE ABONOS DE LA VIVIENDA CRA 26 No. 38-02 APTO 302"/>
    <x v="0"/>
    <n v="503"/>
    <s v="Solicitud General"/>
    <x v="46"/>
    <m/>
    <s v="ANCIZAR ANTONIO DUQUE MONTOYA"/>
    <m/>
    <m/>
    <m/>
    <n v="14"/>
    <d v="2026-09-30T00:00:00"/>
    <m/>
    <m/>
    <m/>
    <m/>
    <m/>
    <s v="ABIERTA FUERA DE LOS TÉRMINOS"/>
    <m/>
    <m/>
  </r>
  <r>
    <s v="PQR-IN-57"/>
    <s v="3379/2026"/>
    <d v="2026-09-10T00:00:00"/>
    <s v="Verbal"/>
    <x v="5"/>
    <s v="USUARIO REPORTA DAÑO DE RED DE ALCANTARILLADO YA QUE HAY UN TUBO QUE ESTA MAL ESTADO Y TODA ESA AGUA NEGRAS ESTA BAJANDO POR TODA LA CAÑERIA DEL BARRIO LA FLORESTA"/>
    <x v="2"/>
    <n v="316"/>
    <s v="Estado de la Infraestructura "/>
    <x v="9"/>
    <m/>
    <s v="JORGE ANGEL BEDOYA OSPINA"/>
    <m/>
    <m/>
    <m/>
    <n v="14"/>
    <d v="2026-09-30T00:00:00"/>
    <d v="2026-09-10T00:00:00"/>
    <s v="N/A"/>
    <s v="N/A"/>
    <d v="2026-09-30T00:00:00"/>
    <s v="EMCA-I-5678-2026"/>
    <s v="Cerrado"/>
    <s v="SI"/>
    <m/>
  </r>
  <r>
    <s v="PQR-SUI-104"/>
    <s v="3380/2026"/>
    <d v="2026-09-10T00:00:00"/>
    <s v="Documento Físico"/>
    <x v="6"/>
    <s v="SOLICITUD DE CONEXIÓN DE ENERGÍA PARA FERIA ARTESANAL Y CULTURAL CON MOTIVO DE LA CONMEMORACIÓN DE LOS 50 AÑOS DE ASARTECA"/>
    <x v="0"/>
    <n v="502"/>
    <s v="Vinculación del Servicio"/>
    <x v="22"/>
    <s v="SI"/>
    <s v="LUZ ADRIANA ROJAS GONZáLEZ -ASARTECA"/>
    <m/>
    <m/>
    <s v="asarteca@gmail.com"/>
    <n v="14"/>
    <d v="2026-09-30T00:00:00"/>
    <d v="2026-09-10T00:00:00"/>
    <s v="N/A"/>
    <s v="N/A"/>
    <d v="2026-09-30T00:00:00"/>
    <s v="EMCA-I-5672-2026"/>
    <s v="Cerrado"/>
    <s v="SI"/>
    <m/>
  </r>
  <r>
    <s v="PQR-IN-59"/>
    <s v="3381/2026"/>
    <d v="2026-09-10T00:00:00"/>
    <s v="Correo Electrónico"/>
    <x v="3"/>
    <s v="2026EE-6600 - SSSYS-1487-2026 - SOLICITUD DE PODA DE ZONAS VERDES POR LA ESTRATEGIA DE VIGILANCIA EPIDEMIOLOGICA COMUNITARIA - COVECOM"/>
    <x v="0"/>
    <n v="503"/>
    <s v="Solicitud General"/>
    <x v="47"/>
    <m/>
    <s v="ALCALDIA CALARCÁ"/>
    <m/>
    <m/>
    <s v="asuntosadministrativos@calarca-quindio.gov.co"/>
    <n v="14"/>
    <d v="2026-09-30T00:00:00"/>
    <m/>
    <m/>
    <m/>
    <m/>
    <m/>
    <s v="ABIERTA FUERA DE LOS TÉRMINOS"/>
    <m/>
    <m/>
  </r>
  <r>
    <s v="PQR-SUI-105"/>
    <s v="3382/2026"/>
    <d v="2026-09-11T00:00:00"/>
    <s v="Verbal"/>
    <x v="0"/>
    <s v="1193700 USUARIA SOLICITA QUE EL PAGO REALIZADO EL DIA 14 DE JULIO DE 2026 POR VALOR DE $ 58493 SE APLIQUE A LA FACTURA YA QUE NO FUE APLICADO YA QUE EN LA CAJA POR ERROR SE APLICO AL CODIGO 1199500"/>
    <x v="1"/>
    <n v="122"/>
    <s v="Suscriptor que efectúa el pago pero este no es aplicado por la empresa en la facturación"/>
    <x v="26"/>
    <m/>
    <s v="MARIA ZOE CALVO"/>
    <m/>
    <m/>
    <m/>
    <n v="14"/>
    <d v="2026-09-30T00:00:00"/>
    <m/>
    <m/>
    <m/>
    <m/>
    <m/>
    <s v="ABIERTA FUERA DE LOS TÉRMINOS"/>
    <m/>
    <m/>
  </r>
  <r>
    <s v="PQR-SUI-106"/>
    <s v="3383/2026"/>
    <d v="2026-09-11T00:00:00"/>
    <s v="Verbal"/>
    <x v="4"/>
    <s v="USUARIO REPORTA FUGA EN RED PRINCIPAL YA QUE SE ESTA FILTRANDO MUCHA AGUA EN LA VIA LLAMAR ANTES DE IR"/>
    <x v="2"/>
    <n v="316"/>
    <s v="Estado de la Infraestructura "/>
    <x v="33"/>
    <m/>
    <s v="LUIS ALFONSO GARZON"/>
    <m/>
    <m/>
    <m/>
    <n v="14"/>
    <d v="2026-10-01T00:00:00"/>
    <m/>
    <m/>
    <m/>
    <m/>
    <m/>
    <s v="ABIERTA FUERA DE LOS TÉRMINOS"/>
    <m/>
    <m/>
  </r>
  <r>
    <s v="PQR-SUI-107"/>
    <s v="3384/2026"/>
    <d v="2026-09-11T00:00:00"/>
    <s v="Documento Físico"/>
    <x v="3"/>
    <s v="SOLICITUD DE AJUSTE DE LIQUIDACIÓN DEL SERVICIO DE ASEO"/>
    <x v="1"/>
    <n v="102"/>
    <s v="Inconformidad con la medición del consumo o producción facturado"/>
    <x v="48"/>
    <m/>
    <s v="CRISTHIAN ANDRES PENAGOS SIERRA"/>
    <m/>
    <m/>
    <m/>
    <n v="14"/>
    <d v="2026-10-01T00:00:00"/>
    <m/>
    <m/>
    <m/>
    <m/>
    <m/>
    <s v="ABIERTA FUERA DE LOS TÉRMINOS"/>
    <m/>
    <m/>
  </r>
  <r>
    <s v="PQR-SUI-108"/>
    <s v="3385/2026"/>
    <d v="2026-09-11T00:00:00"/>
    <s v="Correo Electrónico"/>
    <x v="0"/>
    <s v="SOLICITUD DE CAMBIO DE DATOS DEL TITULAR DEL SERVICIO DE ACUEDUCTO DEL PREDIO UBICADO EN LA CRA 25 No. 37-32 APTO 201"/>
    <x v="1"/>
    <n v="106"/>
    <s v="Datos Generales Incorrectos"/>
    <x v="0"/>
    <m/>
    <s v="JHON JAMES RODRIGUEZ CHICA"/>
    <m/>
    <m/>
    <m/>
    <n v="14"/>
    <d v="2026-10-01T00:00:00"/>
    <m/>
    <m/>
    <m/>
    <m/>
    <m/>
    <s v="ABIERTA FUERA DE LOS TÉRMINOS"/>
    <m/>
    <m/>
  </r>
  <r>
    <s v="PQR-IN-60"/>
    <s v="3386/2026"/>
    <d v="2026-09-11T00:00:00"/>
    <s v="Correo Electrónico"/>
    <x v="7"/>
    <s v="SOLICITUD DE AUTORIZACIÓN PARA EL USO DE LA PLAZOLETA DE LA PLAZA DE MERCADO"/>
    <x v="0"/>
    <n v="503"/>
    <s v="Solicitud General"/>
    <x v="49"/>
    <m/>
    <s v="ALCALDIA CALARCÁ"/>
    <m/>
    <m/>
    <m/>
    <n v="14"/>
    <d v="2026-10-01T00:00:00"/>
    <m/>
    <m/>
    <m/>
    <m/>
    <m/>
    <s v="ABIERTA FUERA DE LOS TÉRMINOS"/>
    <m/>
    <m/>
  </r>
  <r>
    <s v="PQR-SUI-109"/>
    <s v="3387/2026"/>
    <d v="2026-09-11T00:00:00"/>
    <s v="Verbal"/>
    <x v="3"/>
    <s v="USUARIA REPORTA QUE NO SE EFECTUA LA RECOLECCION PUERTA A PUERTA YA EN VARIAS OCASIONES NO LE RECOGEN LOS RESIDUOS A ESTE PREDIO PASAN MUY RAPIDO O LA USUARIA DEBE DE GRITARLE A LOS FUNCIONARIOS DE RECOLECCION PARA QUE LE RECOJAN LA BASURA, HOY 11 DE SEPTIEMBRE NO LE RECOGIERON LA BASURA"/>
    <x v="2"/>
    <n v="311"/>
    <s v="Frecuencias adicionales de recolección"/>
    <x v="44"/>
    <m/>
    <s v="NANCY CONSTANCIA TORRES"/>
    <m/>
    <m/>
    <m/>
    <n v="14"/>
    <d v="2026-10-01T00:00:00"/>
    <m/>
    <m/>
    <m/>
    <m/>
    <m/>
    <s v="ABIERTA FUERA DE LOS TÉRMINOS"/>
    <m/>
    <m/>
  </r>
  <r>
    <s v="PQR-SUI-110"/>
    <s v="3388/2026"/>
    <d v="2026-09-11T00:00:00"/>
    <s v="Verbal"/>
    <x v="0"/>
    <s v="1254496 USUARIA SOLICITA CAMBIO DE NOMBRE EN LA FACTURA"/>
    <x v="1"/>
    <n v="106"/>
    <s v="Datos Generales Incorrectos"/>
    <x v="0"/>
    <m/>
    <s v="MONICA ALEXANDRA PATIÑO DELGADO"/>
    <m/>
    <m/>
    <m/>
    <n v="14"/>
    <d v="2026-10-01T00:00:00"/>
    <m/>
    <m/>
    <m/>
    <m/>
    <m/>
    <s v="ABIERTA FUERA DE LOS TÉRMINOS"/>
    <m/>
    <m/>
  </r>
  <r>
    <s v="PQR-SUI-111"/>
    <s v="3389/2026"/>
    <d v="2026-09-11T00:00:00"/>
    <s v="Verbal"/>
    <x v="0"/>
    <s v="DATOS GENERALES INCORRECTOS CAMBIO DE NOMBRE"/>
    <x v="1"/>
    <n v="106"/>
    <s v="Datos Generales Incorrectos"/>
    <x v="0"/>
    <m/>
    <s v="EDUARDO CARDENAS GOMEZ"/>
    <m/>
    <m/>
    <m/>
    <n v="14"/>
    <d v="2026-10-01T00:00:00"/>
    <m/>
    <m/>
    <m/>
    <m/>
    <m/>
    <s v="ABIERTA FUERA DE LOS TÉRMINOS"/>
    <m/>
    <m/>
  </r>
  <r>
    <s v="PQR-SUI-112"/>
    <s v="3390/2026"/>
    <d v="2026-09-11T00:00:00"/>
    <s v="Verbal"/>
    <x v="3"/>
    <s v="PREDIO DESOCUPADO"/>
    <x v="1"/>
    <n v="114"/>
    <s v="Descuento por predio desocupado"/>
    <x v="3"/>
    <m/>
    <s v="ANA MARIA VERA DURAN"/>
    <m/>
    <m/>
    <m/>
    <n v="14"/>
    <d v="2026-10-01T00:00:00"/>
    <m/>
    <m/>
    <m/>
    <m/>
    <m/>
    <s v="ABIERTA FUERA DE LOS TÉRMINOS"/>
    <m/>
    <m/>
  </r>
  <r>
    <s v="PQR-SUI-113"/>
    <s v="3391/2026"/>
    <d v="2026-09-11T00:00:00"/>
    <s v="Telefónico"/>
    <x v="4"/>
    <s v="USUARIO REPORTA FUGA ACOMETIDA"/>
    <x v="2"/>
    <n v="316"/>
    <s v="Estado de la Infraestructura "/>
    <x v="50"/>
    <m/>
    <s v="YOLANDA RAMON CERON"/>
    <m/>
    <m/>
    <m/>
    <n v="14"/>
    <d v="2026-10-01T00:00:00"/>
    <m/>
    <m/>
    <m/>
    <m/>
    <m/>
    <s v="ABIERTA FUERA DE LOS TÉRMINOS"/>
    <m/>
    <m/>
  </r>
  <r>
    <s v="PQR-SUI-113"/>
    <s v="3392/2026"/>
    <d v="2026-09-11T00:00:00"/>
    <s v="Telefónico"/>
    <x v="4"/>
    <s v="USUARIO REPORTA FUGA ACOMETIDA"/>
    <x v="2"/>
    <n v="316"/>
    <s v="Estado de la Infraestructura "/>
    <x v="50"/>
    <m/>
    <s v="YOLANDA RAMON CERON"/>
    <m/>
    <m/>
    <m/>
    <n v="14"/>
    <d v="2026-10-01T00:00:00"/>
    <m/>
    <m/>
    <m/>
    <m/>
    <m/>
    <s v="ABIERTA FUERA DE LOS TÉRMINOS"/>
    <m/>
    <m/>
  </r>
  <r>
    <s v="PQR-SUI-114"/>
    <s v="3393/2026"/>
    <d v="2026-09-11T00:00:00"/>
    <s v="Verbal"/>
    <x v="4"/>
    <s v="HUNDIMIENTO DE VIA"/>
    <x v="2"/>
    <n v="316"/>
    <s v="Estado de la Infraestructura "/>
    <x v="7"/>
    <m/>
    <s v="LUIS CARLOS COLLAZOZ COLLAZOZ"/>
    <m/>
    <m/>
    <m/>
    <n v="14"/>
    <d v="2026-10-01T00:00:00"/>
    <m/>
    <m/>
    <m/>
    <m/>
    <m/>
    <s v="ABIERTA FUERA DE LOS TÉRMINOS"/>
    <m/>
    <m/>
  </r>
  <r>
    <s v="PQR-SUI-115"/>
    <s v="3394/2026"/>
    <d v="2026-09-11T00:00:00"/>
    <s v="Verbal"/>
    <x v="4"/>
    <s v="FUGA DOMICILIARIA"/>
    <x v="2"/>
    <n v="316"/>
    <s v="Estado de la Infraestructura "/>
    <x v="50"/>
    <m/>
    <s v="SIDNEY ZAPATA MARTINEZ"/>
    <m/>
    <m/>
    <m/>
    <n v="14"/>
    <d v="2026-10-01T00:00:00"/>
    <m/>
    <m/>
    <m/>
    <m/>
    <m/>
    <s v="ABIERTA FUERA DE LOS TÉRMINOS"/>
    <m/>
    <m/>
  </r>
  <r>
    <s v="PQR-SUI-116"/>
    <s v="3395/2026"/>
    <d v="2026-09-11T00:00:00"/>
    <s v="Verbal"/>
    <x v="1"/>
    <s v="USUARIA SOLICITA CAMBIO DE LLAVE DE PASO"/>
    <x v="2"/>
    <n v="316"/>
    <s v="Estado de la Infraestructura "/>
    <x v="11"/>
    <m/>
    <s v="SIDNEY ZAPATA MARTINEZ"/>
    <m/>
    <m/>
    <m/>
    <n v="14"/>
    <d v="2026-10-01T00:00:00"/>
    <m/>
    <m/>
    <m/>
    <m/>
    <m/>
    <s v="ABIERTA FUERA DE LOS TÉRMINOS"/>
    <m/>
    <m/>
  </r>
  <r>
    <s v="PQR-IN-61"/>
    <s v="3396/2026"/>
    <d v="2026-09-11T00:00:00"/>
    <s v="Telefónico"/>
    <x v="3"/>
    <s v="USUARIA SOLICITA RECOLECCION DE 1 COLCHON"/>
    <x v="0"/>
    <n v="503"/>
    <s v="Frecuencias adicionales de recolección"/>
    <x v="6"/>
    <m/>
    <s v="ALEYDA ARIAS HERNANDEZ"/>
    <m/>
    <m/>
    <m/>
    <n v="14"/>
    <d v="2026-10-01T00:00:00"/>
    <m/>
    <m/>
    <m/>
    <m/>
    <m/>
    <s v="ABIERTA FUERA DE LOS TÉRMINOS"/>
    <m/>
    <m/>
  </r>
  <r>
    <s v="PQR-IN-62"/>
    <s v="3397/2026"/>
    <d v="2026-09-11T00:00:00"/>
    <s v="Telefónico"/>
    <x v="3"/>
    <s v="USUARIA SOLICITA RECOLECCION DE 1 BASE CAMA,ARMARIO Y UNA MESA USUARIA SOLICITA RECOLECCION DE 1 BASE CAMA,ARMARIO Y UNA MESA"/>
    <x v="0"/>
    <n v="503"/>
    <s v="Frecuencias adicionales de recolección"/>
    <x v="6"/>
    <m/>
    <s v="JHON JAIRO FRANCO RAMIREZ"/>
    <m/>
    <m/>
    <m/>
    <n v="14"/>
    <d v="2026-10-01T00:00:00"/>
    <m/>
    <m/>
    <m/>
    <m/>
    <m/>
    <s v="ABIERTA FUERA DE LOS TÉRMINOS"/>
    <m/>
    <m/>
  </r>
  <r>
    <s v="PQR-SUI-117"/>
    <s v="3398/2026"/>
    <d v="2026-09-11T00:00:00"/>
    <s v="Verbal"/>
    <x v="1"/>
    <s v="1094650 USUARIA SOLICITA CAMBIO DE LA LLAVE DE PASO"/>
    <x v="2"/>
    <n v="316"/>
    <s v="Estado de la Infraestructura "/>
    <x v="11"/>
    <m/>
    <s v="ISABEL VALENCIA"/>
    <m/>
    <m/>
    <m/>
    <n v="14"/>
    <d v="2026-10-01T00:00:00"/>
    <m/>
    <m/>
    <m/>
    <m/>
    <m/>
    <s v="ABIERTA FUERA DE LOS TÉRMINOS"/>
    <m/>
    <m/>
  </r>
  <r>
    <s v="PQR-SUI-118"/>
    <s v="3399/2026"/>
    <d v="2026-09-12T00:00:00"/>
    <s v="Verbal"/>
    <x v="0"/>
    <s v="USUARIO SOLICITA CAMBIO DE NOMBRE EN LA FACTURA"/>
    <x v="1"/>
    <n v="106"/>
    <s v="Datos Generales Incorrectos"/>
    <x v="0"/>
    <m/>
    <s v="MARIA JAZMIN LEAL POTES"/>
    <n v="1120400"/>
    <m/>
    <m/>
    <n v="14"/>
    <d v="2026-10-01T00:00:00"/>
    <m/>
    <m/>
    <m/>
    <m/>
    <m/>
    <s v="ABIERTA FUERA DE LOS TÉRMINOS"/>
    <m/>
    <m/>
  </r>
  <r>
    <s v="PQR-IN-63"/>
    <s v="3400/2026"/>
    <d v="2026-09-14T00:00:00"/>
    <s v="Verbal"/>
    <x v="3"/>
    <s v="USUARIA SOLICITA QUE RECOJAN UNA CAMA UN COLCHON UN CAJON VARIAS COSAS EN LA DIRECCION VILLA TATIANA MZ 4 CASA 3"/>
    <x v="0"/>
    <n v="503"/>
    <s v="Solicitud General"/>
    <x v="6"/>
    <m/>
    <s v="MARLENY GALLEGO RINCON"/>
    <m/>
    <m/>
    <m/>
    <n v="14"/>
    <d v="2026-10-01T00:00:00"/>
    <m/>
    <m/>
    <m/>
    <m/>
    <m/>
    <s v="ABIERTA FUERA DE LOS TÉRMINOS"/>
    <m/>
    <m/>
  </r>
  <r>
    <s v="PQR-IN-64"/>
    <s v="3401/2026"/>
    <d v="2026-09-14T00:00:00"/>
    <s v="Correo Electrónico"/>
    <x v="5"/>
    <s v="SOLICITUD DE LIMPIEZA DE POZO SÉPTICO - CORREGIMIENTO LA VIRGINIA FINCA PALMITAS"/>
    <x v="2"/>
    <n v="316"/>
    <s v="Estado de la Infraestructura "/>
    <x v="51"/>
    <m/>
    <s v="ANDREA LIEVANO"/>
    <m/>
    <m/>
    <m/>
    <n v="14"/>
    <d v="2026-10-02T00:00:00"/>
    <m/>
    <m/>
    <m/>
    <m/>
    <m/>
    <s v="ABIERTA FUERA DE LOS TÉRMINOS"/>
    <m/>
    <m/>
  </r>
  <r>
    <s v="PQR-SUI-119"/>
    <s v="3402/2026"/>
    <d v="2026-09-14T00:00:00"/>
    <s v="Verbal"/>
    <x v="4"/>
    <s v="USUARIA REPORTA FUGA DE DOMICILIARIA YA QUE SE ESTA FILTRANDO EL AGUA POR EL ANDEN LLAMAR ANTES DE IR"/>
    <x v="2"/>
    <n v="316"/>
    <s v="Estado de la Infraestructura "/>
    <x v="20"/>
    <m/>
    <s v="DIANA PATRICIA CASTELLANOS HENAO"/>
    <m/>
    <m/>
    <m/>
    <n v="14"/>
    <d v="2026-10-02T00:00:00"/>
    <m/>
    <m/>
    <m/>
    <m/>
    <m/>
    <s v="ABIERTA FUERA DE LOS TÉRMINOS"/>
    <m/>
    <m/>
  </r>
  <r>
    <s v="PQR-SUI-120"/>
    <s v="3403/2026"/>
    <d v="2026-09-14T00:00:00"/>
    <s v="Verbal"/>
    <x v="0"/>
    <s v="USUARIA SOLICITA CAMBIO DE NOMBRE EN LA FACTURA"/>
    <x v="1"/>
    <n v="106"/>
    <s v="Datos Generales Incorrectos"/>
    <x v="0"/>
    <m/>
    <s v="YENY ZULEIDY USUGA SIERRA"/>
    <n v="1128706"/>
    <m/>
    <m/>
    <n v="14"/>
    <d v="2026-10-02T00:00:00"/>
    <m/>
    <m/>
    <m/>
    <m/>
    <m/>
    <s v="ABIERTA FUERA DE LOS TÉRMINOS"/>
    <m/>
    <m/>
  </r>
  <r>
    <s v="PQR-IN-65"/>
    <s v="3404/2026"/>
    <d v="2026-09-14T00:00:00"/>
    <s v="Correo Electrónico"/>
    <x v="2"/>
    <s v="OBSERVACIONES DE LA COTIZACIÓN EMCA-I-5191-2026"/>
    <x v="0"/>
    <n v="503"/>
    <s v="Solicitud General"/>
    <x v="52"/>
    <s v="SI"/>
    <s v="ARIEL FELIPE ARCILA ZAMBRANO"/>
    <m/>
    <m/>
    <m/>
    <n v="14"/>
    <d v="2026-10-02T00:00:00"/>
    <d v="2026-09-14T00:00:00"/>
    <s v="N/A"/>
    <s v="N/A"/>
    <d v="2026-09-18T00:00:00"/>
    <s v="EMCA-I-5325-2026"/>
    <s v="Cerrado"/>
    <s v="SI"/>
    <s v="SI"/>
  </r>
  <r>
    <s v="PQR-SUI-122"/>
    <s v="3405/2026"/>
    <d v="2026-09-14T00:00:00"/>
    <s v="Verbal"/>
    <x v="1"/>
    <s v="USUARIO REPORTA FUGA EN EL MEDIDOR"/>
    <x v="2"/>
    <n v="316"/>
    <s v="Estado de la Infraestructura "/>
    <x v="19"/>
    <m/>
    <s v="ROBERTO GUTIERREZ"/>
    <n v="1180700"/>
    <m/>
    <m/>
    <n v="14"/>
    <d v="2026-10-02T00:00:00"/>
    <m/>
    <m/>
    <m/>
    <m/>
    <m/>
    <s v="ABIERTA FUERA DE LOS TÉRMINOS"/>
    <m/>
    <m/>
  </r>
  <r>
    <s v="PQR-SUI-121"/>
    <s v="3406/2026"/>
    <d v="2026-09-14T00:00:00"/>
    <s v="Correo Electrónico"/>
    <x v="4"/>
    <s v="ARREGLO URGENTE POR FUGA DE AGUA - MZ 9 CASA 14 BARRIO LLANITOS GUALARA"/>
    <x v="2"/>
    <n v="316"/>
    <s v="Estado de la Infraestructura "/>
    <x v="20"/>
    <m/>
    <s v="YOLANDA RAMON CERON"/>
    <m/>
    <m/>
    <m/>
    <n v="14"/>
    <d v="2026-10-02T00:00:00"/>
    <m/>
    <m/>
    <m/>
    <m/>
    <m/>
    <s v="ABIERTA FUERA DE LOS TÉRMINOS"/>
    <m/>
    <m/>
  </r>
  <r>
    <s v="PQR-SUI-124"/>
    <s v="3407/2026"/>
    <d v="2026-09-14T00:00:00"/>
    <s v="Documento Físico"/>
    <x v="4"/>
    <s v="SOLICITUD DE REVISIÓN DE TUBERIAS INTERNAS - PLAZUELAS DE LA VILLA MZ K CASA 9"/>
    <x v="2"/>
    <n v="316"/>
    <s v="Estado de la Infraestructura "/>
    <x v="18"/>
    <s v="SI"/>
    <s v="DORA LUCIDIA RESTREPO"/>
    <m/>
    <m/>
    <m/>
    <n v="14"/>
    <d v="2026-10-02T00:00:00"/>
    <d v="2026-09-14T00:00:00"/>
    <s v="N/A"/>
    <s v="N/A"/>
    <d v="2026-09-29T00:00:00"/>
    <s v="EMCA-I-5632-2026"/>
    <s v="Cerrado"/>
    <s v="SI"/>
    <m/>
  </r>
  <r>
    <s v="PQR-SUI-123"/>
    <s v="3408/2026"/>
    <d v="2026-09-14T00:00:00"/>
    <s v="Verbal"/>
    <x v="1"/>
    <s v="USUARIO REPORTA QUE APARTIR DE LAS 11 DE LA MAÑANA SE QUEDAN SIN PRESION Y ESTO PASA TODOS LOS DIAS"/>
    <x v="2"/>
    <n v="304"/>
    <s v="Variaciones en las características del suministro o prestación del servicio"/>
    <x v="12"/>
    <m/>
    <s v="ANTONIO MOYA"/>
    <n v="1238512"/>
    <m/>
    <m/>
    <n v="14"/>
    <d v="2026-10-02T00:00:00"/>
    <m/>
    <m/>
    <m/>
    <m/>
    <m/>
    <s v="ABIERTA FUERA DE LOS TÉRMINOS"/>
    <m/>
    <m/>
  </r>
  <r>
    <s v="PQR-SUI-125"/>
    <s v="3409/2026"/>
    <d v="2026-09-14T00:00:00"/>
    <s v="Verbal"/>
    <x v="1"/>
    <s v="USUARIO REPORTA DEFICIENCIA DE PRESION DESDE HACE MAS DE 8 DIAS"/>
    <x v="2"/>
    <n v="304"/>
    <s v="Variaciones en las características del suministro o prestación del servicio"/>
    <x v="12"/>
    <m/>
    <s v="GARZON CARDONA ANTONIO ANTONIO"/>
    <n v="1156300"/>
    <m/>
    <m/>
    <n v="14"/>
    <d v="2026-10-02T00:00:00"/>
    <m/>
    <m/>
    <m/>
    <m/>
    <m/>
    <s v="ABIERTA FUERA DE LOS TÉRMINOS"/>
    <m/>
    <m/>
  </r>
  <r>
    <s v="PQR-SUI-126"/>
    <s v="3410/2026"/>
    <d v="2026-09-14T00:00:00"/>
    <s v="Verbal"/>
    <x v="1"/>
    <s v="USUARIA SOLICITA CAMBIO DE LLAVE DE PASO LLAMAR ANTES DE IR"/>
    <x v="2"/>
    <n v="316"/>
    <s v="Estado de la Infraestructura "/>
    <x v="11"/>
    <m/>
    <s v="TANIA PATRICIA OSPITIA REYES"/>
    <m/>
    <m/>
    <m/>
    <n v="14"/>
    <d v="2026-10-02T00:00:00"/>
    <m/>
    <m/>
    <m/>
    <m/>
    <m/>
    <s v="ABIERTA FUERA DE LOS TÉRMINOS"/>
    <m/>
    <m/>
  </r>
  <r>
    <s v="PQR-IN-66"/>
    <s v="3411/2026"/>
    <d v="2026-09-14T00:00:00"/>
    <s v="Verbal"/>
    <x v="3"/>
    <s v="RECOLECCION ESPECIAL USUARIA SOLICITA LE RECOJAN 1 COLCHON Y UNA SILLA"/>
    <x v="0"/>
    <n v="503"/>
    <s v="Solicitud General"/>
    <x v="6"/>
    <m/>
    <s v="JENNIFER KATHERINE REALPE"/>
    <n v="1147440"/>
    <m/>
    <m/>
    <n v="14"/>
    <d v="2026-10-02T00:00:00"/>
    <m/>
    <m/>
    <m/>
    <m/>
    <m/>
    <s v="ABIERTA FUERA DE LOS TÉRMINOS"/>
    <m/>
    <m/>
  </r>
  <r>
    <s v="PQR-IN-67"/>
    <s v="3412/2026"/>
    <d v="2026-09-14T00:00:00"/>
    <s v="Verbal"/>
    <x v="3"/>
    <s v="RECOLECCION ESPECIAL USUARIA SOLICITA LE RECOJAN UN CAJON MEDIANO Y UNA TEJA PLASTICA"/>
    <x v="0"/>
    <n v="503"/>
    <s v="Solicitud General"/>
    <x v="6"/>
    <m/>
    <s v="IBETH GASCA"/>
    <n v="1116260"/>
    <m/>
    <m/>
    <n v="14"/>
    <d v="2026-10-02T00:00:00"/>
    <m/>
    <m/>
    <m/>
    <m/>
    <m/>
    <s v="ABIERTA FUERA DE LOS TÉRMINOS"/>
    <m/>
    <m/>
  </r>
  <r>
    <s v="PQR-SUI-127"/>
    <s v="3413/2026"/>
    <d v="2026-09-14T00:00:00"/>
    <s v="Verbal"/>
    <x v="4"/>
    <s v="USUARIO SOLICITA DESCUENTO EN COBRO DE CONSUMO DE ACUERDO A EMCA-2884-2026"/>
    <x v="1"/>
    <n v="127"/>
    <s v="Inconformidad por desviación significativa"/>
    <x v="5"/>
    <m/>
    <s v="MARIA ORFANELI BUITRAGO SANCHEZ"/>
    <m/>
    <m/>
    <m/>
    <n v="14"/>
    <d v="2026-10-02T00:00:00"/>
    <m/>
    <m/>
    <m/>
    <m/>
    <m/>
    <s v="ABIERTA FUERA DE LOS TÉRMINOS"/>
    <m/>
    <m/>
  </r>
  <r>
    <s v="PQR-SUI-128"/>
    <s v="3414/2026"/>
    <d v="2026-09-14T00:00:00"/>
    <s v="Verbal"/>
    <x v="3"/>
    <s v="USUARIO REPORTA PREDIO DESOCUPADO HACE 10 DIAS"/>
    <x v="1"/>
    <n v="114"/>
    <s v="Descuento por predio desocupado"/>
    <x v="3"/>
    <m/>
    <s v="JAIME VALENCIA"/>
    <n v="1203060"/>
    <m/>
    <m/>
    <n v="14"/>
    <d v="2026-10-02T00:00:00"/>
    <m/>
    <m/>
    <m/>
    <m/>
    <m/>
    <s v="ABIERTA FUERA DE LOS TÉRMINOS"/>
    <m/>
    <m/>
  </r>
  <r>
    <s v="PQR-SUI-129"/>
    <s v="3415/2026"/>
    <d v="2026-09-14T00:00:00"/>
    <s v="Documento Físico"/>
    <x v="5"/>
    <s v="DERECHO DE PETICIÓN -SOLICITUD DE REVISION TECNICA REDES DE AGUAS RESIDUALES CRA 23 #43-49"/>
    <x v="2"/>
    <n v="316"/>
    <s v="Estado de la Infraestructura "/>
    <x v="18"/>
    <m/>
    <s v="LOPEZ VERGARA CESAR AUGUSTO"/>
    <m/>
    <m/>
    <m/>
    <n v="14"/>
    <d v="2026-10-02T00:00:00"/>
    <m/>
    <m/>
    <m/>
    <m/>
    <m/>
    <s v="ABIERTA FUERA DE LOS TÉRMINOS"/>
    <m/>
    <m/>
  </r>
  <r>
    <s v="PQR-SUI-130"/>
    <s v="3416/2026"/>
    <d v="2026-09-14T00:00:00"/>
    <s v="Correo Electrónico"/>
    <x v="0"/>
    <s v="SOLICITUD DUPLICADO DE FACTURA CÓDIGO 1045240, 1200020, 1071720, 1071920, 1254280, 1250889, 1254079 Y 1254752"/>
    <x v="0"/>
    <n v="503"/>
    <s v="Solicitud General"/>
    <x v="36"/>
    <m/>
    <s v="YIRLEY LOAIZA ANALISTA DE GESTIÓN"/>
    <m/>
    <m/>
    <m/>
    <n v="14"/>
    <d v="2026-10-02T00:00:00"/>
    <m/>
    <m/>
    <m/>
    <m/>
    <m/>
    <s v="ABIERTA FUERA DE LOS TÉRMINOS"/>
    <m/>
    <m/>
  </r>
  <r>
    <s v="PQR-IN-68"/>
    <s v="3417/2026"/>
    <d v="2026-09-14T00:00:00"/>
    <s v="Correo Electrónico"/>
    <x v="3"/>
    <s v="DERECHO DE PETICIÓN -SOLICITUD DE RECOLECCION DE RESIDUOS ESTADERO LA CHIQUITA"/>
    <x v="0"/>
    <n v="503"/>
    <s v="Solicitud General"/>
    <x v="6"/>
    <m/>
    <s v="CRISTIAN IVAN BUITRAGO CEPEDA"/>
    <m/>
    <m/>
    <m/>
    <n v="14"/>
    <d v="2026-10-02T00:00:00"/>
    <m/>
    <m/>
    <m/>
    <m/>
    <m/>
    <s v="ABIERTA FUERA DE LOS TÉRMINOS"/>
    <m/>
    <m/>
  </r>
  <r>
    <s v="PQR-SUI-131"/>
    <s v="3418/2026"/>
    <d v="2026-09-14T00:00:00"/>
    <s v="Correo Electrónico"/>
    <x v="0"/>
    <s v="SOLICITUD DE FACTURAS CON CÓDIGO 1027880, 1029020, 1193500 Y 1193510"/>
    <x v="0"/>
    <n v="503"/>
    <s v="Solicitud General"/>
    <x v="36"/>
    <m/>
    <s v="GRUPO EXITO"/>
    <m/>
    <m/>
    <m/>
    <n v="14"/>
    <d v="2026-10-02T00:00:00"/>
    <m/>
    <m/>
    <m/>
    <m/>
    <m/>
    <s v="ABIERTA FUERA DE LOS TÉRMINOS"/>
    <m/>
    <m/>
  </r>
  <r>
    <m/>
    <s v="3419/2026"/>
    <d v="2026-09-15T00:00:00"/>
    <s v="Correo Electrónico"/>
    <x v="0"/>
    <s v="ACCIÓN DE TUTELA - A DERECHO DE PETICIÓN RADICADO EMCA-PQRS-2938-2026"/>
    <x v="1"/>
    <n v="118"/>
    <s v="Clase de uso incorrecto _x000a_(Industrial, comercial, oficial, otros)"/>
    <x v="53"/>
    <m/>
    <s v="RINCON G MARTHA CECILIA"/>
    <m/>
    <m/>
    <m/>
    <n v="14"/>
    <d v="2026-10-02T00:00:00"/>
    <m/>
    <m/>
    <m/>
    <m/>
    <m/>
    <s v="ABIERTA FUERA DE LOS TÉRMINOS"/>
    <m/>
    <m/>
  </r>
  <r>
    <s v="PQR-SUI-133"/>
    <s v="3420/2026"/>
    <d v="2026-09-15T00:00:00"/>
    <s v="Verbal"/>
    <x v="4"/>
    <s v="USUARIA ESTA INCONFORME POR DESVIASION SIGNIFICATIVA DE CONSUMO"/>
    <x v="1"/>
    <n v="127"/>
    <s v="Inconformidad por desviación significativa"/>
    <x v="5"/>
    <m/>
    <s v="LUZ YANED HENAO"/>
    <n v="1114740"/>
    <m/>
    <m/>
    <n v="14"/>
    <d v="2026-10-05T00:00:00"/>
    <m/>
    <m/>
    <m/>
    <m/>
    <m/>
    <s v="Vence Hoy"/>
    <m/>
    <m/>
  </r>
  <r>
    <s v="PQR-SUI-134"/>
    <s v="3421/2026"/>
    <d v="2026-09-15T00:00:00"/>
    <s v="Verbal"/>
    <x v="1"/>
    <s v="USUARIA REPORTA FUGA DE MEDIDOR YA QUE ESTA BOTANDO MUCHA AGUA LLAMAR ANTES DE IR"/>
    <x v="2"/>
    <n v="316"/>
    <s v="Estado de la Infraestructura "/>
    <x v="19"/>
    <m/>
    <s v="MARIA JULIETH QUIJANO MORALES"/>
    <m/>
    <m/>
    <m/>
    <n v="14"/>
    <d v="2026-10-05T00:00:00"/>
    <m/>
    <m/>
    <m/>
    <m/>
    <m/>
    <s v="Vence Hoy"/>
    <m/>
    <m/>
  </r>
  <r>
    <s v="PQR-SUI-135"/>
    <s v="3422/2026"/>
    <d v="2026-09-15T00:00:00"/>
    <s v="Documento Físico"/>
    <x v="0"/>
    <s v="SOLICITUD DE CONEXIÓN DE SERVICIOS - CRA 32 No. 9-152 LOTE TERRENO # 142B CONJUNTO CABO MARIPOSA"/>
    <x v="0"/>
    <n v="502"/>
    <s v="Vinculación del Servicio"/>
    <x v="22"/>
    <m/>
    <s v="ANGIE CAROLINA MARIN"/>
    <m/>
    <m/>
    <m/>
    <n v="14"/>
    <d v="2026-10-05T00:00:00"/>
    <m/>
    <m/>
    <m/>
    <m/>
    <m/>
    <s v="Vence Hoy"/>
    <m/>
    <m/>
  </r>
  <r>
    <s v="PQR-SUI-136"/>
    <s v="3423/2026"/>
    <d v="2026-09-15T00:00:00"/>
    <s v="Verbal"/>
    <x v="4"/>
    <s v="USUARIA REPORTA FUGA EN RED PRINCIPAL EN ESTE HUNDIMIENTO YA QUE CAUSO EL CARRO RECOLECTOR YA ESTA BROTANDO MUCHA AGUA AL FRENTE DE ESTE PREDIO ESTA EL HUNDIMIENTO"/>
    <x v="2"/>
    <n v="316"/>
    <s v="Estado de la Infraestructura "/>
    <x v="33"/>
    <m/>
    <s v="YENY ALEJANDRA MONTENEGRO RODRIGUEZ"/>
    <m/>
    <m/>
    <m/>
    <n v="14"/>
    <d v="2026-10-05T00:00:00"/>
    <m/>
    <m/>
    <m/>
    <m/>
    <m/>
    <s v="Vence Hoy"/>
    <m/>
    <m/>
  </r>
  <r>
    <s v="PQR-SUI-137"/>
    <s v="3424/2026"/>
    <d v="2026-09-15T00:00:00"/>
    <s v="Verbal"/>
    <x v="4"/>
    <s v="USUARIA INCONFORME POR DESVIASION SIGNIFICATIVA DE CONSUMO"/>
    <x v="1"/>
    <n v="127"/>
    <s v="Inconformidad por desviación significativa"/>
    <x v="5"/>
    <m/>
    <s v="DIANA MARCELA MURILLO"/>
    <n v="1254711"/>
    <m/>
    <m/>
    <n v="14"/>
    <d v="2026-10-05T00:00:00"/>
    <m/>
    <m/>
    <m/>
    <m/>
    <m/>
    <s v="Vence Hoy"/>
    <m/>
    <m/>
  </r>
  <r>
    <s v="PQR-SUI-138"/>
    <s v="3425/2026"/>
    <d v="2026-09-15T00:00:00"/>
    <s v="Verbal"/>
    <x v="4"/>
    <s v="USUARIO REPORTA INCONFORMIDAD POR DESVIACION SIGNIFICATIVA"/>
    <x v="1"/>
    <n v="127"/>
    <s v="Inconformidad por desviación significativa"/>
    <x v="5"/>
    <m/>
    <s v="LUIS FERNANDO ARANGO FRANCO"/>
    <m/>
    <m/>
    <m/>
    <n v="14"/>
    <d v="2026-10-05T00:00:00"/>
    <m/>
    <m/>
    <m/>
    <m/>
    <m/>
    <s v="Vence Hoy"/>
    <m/>
    <m/>
  </r>
  <r>
    <s v="PQR-SUI-139"/>
    <s v="3426/2026"/>
    <d v="2026-09-15T00:00:00"/>
    <s v="Correo Electrónico"/>
    <x v="1"/>
    <s v="USUARIO SOLICIA DESCUENTO EN COBRO DE MATERIALES DE ACUERDO A RADICADO EMCA-PQRS-3363-2026"/>
    <x v="1"/>
    <n v="113"/>
    <s v="Cobro de otros bienes o servicios en la factura, no autorizados por el usuario"/>
    <x v="10"/>
    <m/>
    <s v="LUZ MARINA CASTRILLON"/>
    <m/>
    <m/>
    <m/>
    <n v="14"/>
    <d v="2026-10-05T00:00:00"/>
    <m/>
    <m/>
    <m/>
    <m/>
    <m/>
    <s v="Vence Hoy"/>
    <m/>
    <m/>
  </r>
  <r>
    <s v="PQR-IN-69"/>
    <s v="3427/2026"/>
    <d v="2026-09-15T00:00:00"/>
    <s v="Documento Físico"/>
    <x v="6"/>
    <s v="SH-837-2026 - REMISIÓN POR COMPETENCIA INCONFORMIDAD EN FACTURACIÓN DE ALUMBRADO PÚBLICO"/>
    <x v="1"/>
    <n v="119"/>
    <s v="Tarifa Incorrecta"/>
    <x v="54"/>
    <m/>
    <s v="MARQUEZ JAIRO ELIAS"/>
    <m/>
    <m/>
    <m/>
    <n v="14"/>
    <d v="2026-10-05T00:00:00"/>
    <m/>
    <m/>
    <m/>
    <m/>
    <m/>
    <s v="Vence Hoy"/>
    <m/>
    <m/>
  </r>
  <r>
    <s v="PQR-IN-70"/>
    <s v="3428/2026"/>
    <d v="2026-09-15T00:00:00"/>
    <s v="Documento Físico"/>
    <x v="6"/>
    <s v="SH-840-2026 - REMISIÓN POR COMPETENCIA INCONFORMIDAD EN FACTURACIÓN DE ALUMBRADO PÚBLICO"/>
    <x v="2"/>
    <n v="316"/>
    <s v="Estado de la Infraestructura "/>
    <x v="13"/>
    <m/>
    <s v="MARQUEZ JAIRO ELIAS"/>
    <m/>
    <m/>
    <m/>
    <n v="14"/>
    <d v="2026-10-05T00:00:00"/>
    <m/>
    <m/>
    <m/>
    <m/>
    <m/>
    <s v="Vence Hoy"/>
    <m/>
    <m/>
  </r>
  <r>
    <s v="PQR-SUI-140"/>
    <s v="3429/2026"/>
    <d v="2026-09-15T00:00:00"/>
    <s v="Verbal"/>
    <x v="1"/>
    <s v="USUARIO SOLICIA CAMBIO DE LLAVE DE PASO LLAMAR ANTES DE IR"/>
    <x v="2"/>
    <n v="316"/>
    <s v="Estado de la Infraestructura "/>
    <x v="11"/>
    <m/>
    <s v="RUBEN ANTONIO MURILLO GONZALEZ"/>
    <m/>
    <m/>
    <m/>
    <n v="14"/>
    <d v="2026-10-05T00:00:00"/>
    <m/>
    <m/>
    <m/>
    <m/>
    <m/>
    <s v="Vence Hoy"/>
    <m/>
    <m/>
  </r>
  <r>
    <s v="PQR-SUI-141"/>
    <s v="3430/2026"/>
    <d v="2026-09-15T00:00:00"/>
    <s v="Correo Electrónico"/>
    <x v="0"/>
    <s v="SOLICITUD DE COPIA DE FACTURA DEL SERVICIO DE ACUEDUCTO DEL PREDIO UBICADO EN LA MZ U CASA 6 DEL BARRIO GAITAN"/>
    <x v="0"/>
    <n v="503"/>
    <s v="Solicitud General"/>
    <x v="36"/>
    <m/>
    <s v="LUIS ALBERTO HERNANDEZ BERMUDEZ"/>
    <m/>
    <m/>
    <s v="lucho0398@gmail.com"/>
    <n v="14"/>
    <d v="2026-10-05T00:00:00"/>
    <m/>
    <m/>
    <m/>
    <m/>
    <m/>
    <s v="Vence Hoy"/>
    <m/>
    <m/>
  </r>
  <r>
    <m/>
    <s v="3431/2026"/>
    <d v="2026-09-15T00:00:00"/>
    <s v="Documento Físico"/>
    <x v="1"/>
    <s v="USUARIO SOLICIA DESCUENTO EN COBRO DE MATERIALES DE ACUERDO A RADICADO EMCA-PQRS-3363-2026"/>
    <x v="1"/>
    <n v="113"/>
    <s v="Cobro de otros bienes o servicios en la factura, no autorizados por el usuario"/>
    <x v="10"/>
    <m/>
    <s v="LUZ MARINA CASTRILLON"/>
    <m/>
    <m/>
    <m/>
    <n v="14"/>
    <d v="2026-10-05T00:00:00"/>
    <m/>
    <m/>
    <m/>
    <m/>
    <m/>
    <s v="Vence Hoy"/>
    <m/>
    <m/>
  </r>
  <r>
    <s v="PQR-SUI-143"/>
    <s v="3432/2026"/>
    <d v="2026-09-15T00:00:00"/>
    <s v="Verbal"/>
    <x v="4"/>
    <s v="USUARIA REPORTA INCONFORMIDAD CON EL CONSUMO YA QUE LA FACTURA DE SEPTIEMBRE LE INCRIMENTO BASTANTE EL CONSUMO LLAMAR ANTES DE IR"/>
    <x v="1"/>
    <n v="127"/>
    <s v="Inconformidad por desviación significativa"/>
    <x v="5"/>
    <m/>
    <s v="LUISA FERNANDA RUIZ MEJIA"/>
    <m/>
    <m/>
    <m/>
    <n v="14"/>
    <d v="2026-10-05T00:00:00"/>
    <m/>
    <m/>
    <m/>
    <m/>
    <m/>
    <s v="Vence Hoy"/>
    <m/>
    <m/>
  </r>
  <r>
    <s v="PQR-SUI-144"/>
    <s v="3433/2026"/>
    <d v="2026-09-15T00:00:00"/>
    <s v="Verbal"/>
    <x v="3"/>
    <s v="USUARIA REPORTA PREDIO DESOCUPADO"/>
    <x v="1"/>
    <n v="114"/>
    <s v="Descuento por predio desocupado"/>
    <x v="3"/>
    <m/>
    <s v="TAMAYO LIEVANO BLANCA LILIA"/>
    <n v="1207840"/>
    <m/>
    <m/>
    <n v="14"/>
    <d v="2026-10-05T00:00:00"/>
    <m/>
    <m/>
    <m/>
    <m/>
    <m/>
    <s v="Vence Hoy"/>
    <m/>
    <m/>
  </r>
  <r>
    <s v="PQR-SUI-145"/>
    <s v="3434/2026"/>
    <d v="2026-09-15T00:00:00"/>
    <s v="Verbal"/>
    <x v="1"/>
    <s v="SOLICITUD DE REVISIÓN DE LA RED DE ACUEDUCTO DEL PREDIO UBICADO EN LA CRA 29 No. 38-49"/>
    <x v="2"/>
    <n v="316"/>
    <s v="Estado de la Infraestructura "/>
    <x v="18"/>
    <m/>
    <s v="LUZ MARY RODRIGUEZ"/>
    <m/>
    <m/>
    <m/>
    <n v="14"/>
    <d v="2026-10-05T00:00:00"/>
    <m/>
    <m/>
    <m/>
    <m/>
    <m/>
    <s v="Vence Hoy"/>
    <m/>
    <m/>
  </r>
  <r>
    <s v="PQR-SUI-146"/>
    <s v="3435/2026"/>
    <d v="2026-09-15T00:00:00"/>
    <s v="Verbal"/>
    <x v="1"/>
    <s v="USUARIA REPORTA FUGA ANTES DEL MEDIDOR LLAMAR ANTES DE IR"/>
    <x v="2"/>
    <n v="316"/>
    <s v="Estado de la Infraestructura "/>
    <x v="19"/>
    <m/>
    <s v="MARIA CECILIA RODRIGUEZ"/>
    <m/>
    <m/>
    <m/>
    <n v="14"/>
    <d v="2026-10-05T00:00:00"/>
    <m/>
    <m/>
    <m/>
    <m/>
    <m/>
    <s v="Vence Hoy"/>
    <m/>
    <m/>
  </r>
  <r>
    <s v="PQR-SUI-147"/>
    <s v="3436/2026"/>
    <d v="2026-09-15T00:00:00"/>
    <s v="Verbal"/>
    <x v="4"/>
    <s v="USUARIO REPORTA INCONFORMIDAD CON EL CONSUMO YA QUE LA FACTURA DEL MES DE SEPTIEMBRE INCREMENTO BASTANTE Y VIVEN LAS MISMAS PERSONAS NO TUVIERON VISITA DURANTE EL MES"/>
    <x v="1"/>
    <n v="127"/>
    <s v="Inconformidad por desviación significativa"/>
    <x v="5"/>
    <m/>
    <s v="YAMIL HERNAN ROMAN GONZALEZ"/>
    <m/>
    <m/>
    <m/>
    <n v="14"/>
    <d v="2026-10-05T00:00:00"/>
    <m/>
    <m/>
    <m/>
    <m/>
    <m/>
    <s v="Vence Hoy"/>
    <m/>
    <m/>
  </r>
  <r>
    <s v="PQR-SUI-148"/>
    <s v="3437/2026"/>
    <d v="2026-09-15T00:00:00"/>
    <s v="Verbal"/>
    <x v="3"/>
    <s v="USUARIO REPORTA PREDIO DESOCUPADO"/>
    <x v="1"/>
    <n v="114"/>
    <s v="Descuento por predio desocupado"/>
    <x v="3"/>
    <m/>
    <s v="HECTOR JULIAN SAAVEDRA"/>
    <n v="1202640"/>
    <m/>
    <m/>
    <n v="14"/>
    <d v="2026-10-05T00:00:00"/>
    <m/>
    <m/>
    <m/>
    <m/>
    <m/>
    <s v="Vence Hoy"/>
    <m/>
    <m/>
  </r>
  <r>
    <s v="PQR-IN-71"/>
    <s v="3438/2026"/>
    <d v="2026-09-15T00:00:00"/>
    <s v="Telefónico"/>
    <x v="3"/>
    <s v="USUARIA SOLICITA RECOLECCION DE 1 COLCHON"/>
    <x v="0"/>
    <n v="503"/>
    <s v="Solicitud General"/>
    <x v="6"/>
    <m/>
    <s v="DIANA PATRICIA TORRES"/>
    <m/>
    <m/>
    <m/>
    <n v="14"/>
    <d v="2026-10-05T00:00:00"/>
    <m/>
    <m/>
    <m/>
    <m/>
    <m/>
    <s v="Vence Hoy"/>
    <m/>
    <m/>
  </r>
  <r>
    <s v="PQR-IN-72"/>
    <s v="3439/2026"/>
    <d v="2026-09-15T00:00:00"/>
    <s v="Correo Electrónico"/>
    <x v="3"/>
    <s v="SOLICITUD DE RECOLECCIÓN DE RESIDUOS ESPECIALES (COLCHONES, SILLAS) BARRIO VILLA ASTRID"/>
    <x v="0"/>
    <n v="503"/>
    <s v="Solicitud General"/>
    <x v="6"/>
    <m/>
    <s v="DEIVI FLOREZ"/>
    <m/>
    <m/>
    <m/>
    <n v="14"/>
    <d v="2026-10-05T00:00:00"/>
    <m/>
    <m/>
    <m/>
    <m/>
    <m/>
    <s v="Vence Hoy"/>
    <m/>
    <m/>
  </r>
  <r>
    <s v="PQR-SUI-149"/>
    <s v="3440/2026"/>
    <d v="2026-09-15T00:00:00"/>
    <s v="Verbal"/>
    <x v="4"/>
    <s v="USUARIA INCONFORME POR DESVIASION SIGNIFICATIVA DE CONSUMO"/>
    <x v="1"/>
    <n v="127"/>
    <s v="Inconformidad por desviación significativa"/>
    <x v="5"/>
    <m/>
    <s v="PATRICIA LOPEZ"/>
    <n v="1116360"/>
    <m/>
    <m/>
    <n v="14"/>
    <d v="2026-10-05T00:00:00"/>
    <m/>
    <m/>
    <m/>
    <m/>
    <m/>
    <s v="Vence Hoy"/>
    <m/>
    <m/>
  </r>
  <r>
    <s v="PQR-SUI-150"/>
    <s v="3441/2025"/>
    <d v="2026-09-15T00:00:00"/>
    <s v="Verbal"/>
    <x v="3"/>
    <s v="USUARIA REPORTA PREDIO DESOCUPADO"/>
    <x v="1"/>
    <n v="114"/>
    <s v="Descuento por predio desocupado"/>
    <x v="3"/>
    <m/>
    <s v="SANDRA LOAIZA TAYACK"/>
    <m/>
    <m/>
    <m/>
    <n v="14"/>
    <d v="2026-10-05T00:00:00"/>
    <m/>
    <m/>
    <m/>
    <m/>
    <m/>
    <s v="Vence Hoy"/>
    <m/>
    <m/>
  </r>
  <r>
    <s v="PQR-SUI-151"/>
    <s v="3442/2026"/>
    <d v="2026-09-15T00:00:00"/>
    <s v="Documento Físico"/>
    <x v="1"/>
    <s v="USUARIO SOLICIA DESCUENTO EN COBRO DE CONSUMO DE ACUERDO A RADICADO EMCA-2486-2026"/>
    <x v="1"/>
    <n v="102"/>
    <s v="Inconformidad con la medición del consumo o producción facturado"/>
    <x v="5"/>
    <m/>
    <s v="FABIAN ANDRES RODRIGUEZ OSPINA"/>
    <m/>
    <m/>
    <m/>
    <n v="14"/>
    <d v="2026-10-05T00:00:00"/>
    <m/>
    <m/>
    <m/>
    <m/>
    <m/>
    <s v="Vence Hoy"/>
    <m/>
    <m/>
  </r>
  <r>
    <s v="PQR-SUI-152"/>
    <s v="3443/2026"/>
    <d v="2026-09-15T00:00:00"/>
    <s v="Documento Físico"/>
    <x v="0"/>
    <s v="DERECHO DE PETICIÓN - SOLICITUD DE REVISIÓN Y CAMBIO DE USO COMERCIAL A RESIDENCIAL DEL PREDIO UBICADO EN LA CRA 18 No. 35-21 CODIGO 1132240"/>
    <x v="1"/>
    <n v="118"/>
    <s v="Clase de uso incorrecto _x000a_(Industrial, comercial, oficial, otros)"/>
    <x v="55"/>
    <m/>
    <s v="MONICA ALEJANDRA RIOS CASTIBLANCO"/>
    <m/>
    <m/>
    <m/>
    <n v="14"/>
    <d v="2026-10-05T00:00:00"/>
    <m/>
    <m/>
    <m/>
    <m/>
    <m/>
    <s v="Vence Hoy"/>
    <m/>
    <m/>
  </r>
  <r>
    <s v="PQR-IN-73"/>
    <s v="3444/2026"/>
    <d v="2026-09-15T00:00:00"/>
    <s v="Documento Físico"/>
    <x v="3"/>
    <s v="RUU-2026-58 - SOLICITUD DE APOYO PARA LIMPIEZA Y MANTENIMIENTO DE ZONAS EXTERNAS Y VIAS DE ACCESO"/>
    <x v="0"/>
    <n v="503"/>
    <s v="Solicitud General"/>
    <x v="56"/>
    <m/>
    <s v="URIBE URIBE COLEGIO RAFAEL"/>
    <m/>
    <m/>
    <m/>
    <n v="14"/>
    <d v="2026-10-05T00:00:00"/>
    <m/>
    <m/>
    <m/>
    <m/>
    <m/>
    <s v="Vence Hoy"/>
    <m/>
    <m/>
  </r>
  <r>
    <s v="PQR-SUI-153"/>
    <s v="3445/2026"/>
    <d v="2026-09-15T00:00:00"/>
    <s v="Correo Electrónico"/>
    <x v="1"/>
    <s v="DOGERD-469-2026 - TRASLADO POR COMPETENCIA - DERECHO DE PETICIÓN 2026RE12448 - DEFICIENCIA EN LA PRESIÓN DEL SERVICIO DE ACUEDUCTO"/>
    <x v="2"/>
    <n v="304"/>
    <s v="Variaciones en las características del suministro o prestación del servicio"/>
    <x v="12"/>
    <m/>
    <s v="ALCALDIA CALARCÁ"/>
    <m/>
    <m/>
    <s v="asuntosadministrativos@calarca-quindio.gov.co"/>
    <n v="14"/>
    <d v="2026-10-05T00:00:00"/>
    <m/>
    <m/>
    <m/>
    <m/>
    <m/>
    <s v="Vence Hoy"/>
    <m/>
    <m/>
  </r>
  <r>
    <s v="PQR-IN-74"/>
    <s v="3446/2026"/>
    <d v="2026-09-16T00:00:00"/>
    <s v="Correo Electrónico"/>
    <x v="4"/>
    <s v="20268304551841 - DEVOLUCIÓN DE EXPEDIENTE No. 2026830420115296E MILTON BILLY GONZALEZ"/>
    <x v="0"/>
    <n v="503"/>
    <s v="Solicitud General"/>
    <x v="30"/>
    <s v="SI"/>
    <s v="SUPERINTENDENCIA DE SERVICIOS PUBLICOS DOMICILIARIOS"/>
    <m/>
    <m/>
    <m/>
    <n v="14"/>
    <d v="2026-10-05T00:00:00"/>
    <s v="N/A"/>
    <s v="N/A"/>
    <s v="N/A"/>
    <d v="2026-09-18T00:00:00"/>
    <s v="EMCA-I-5414-2026"/>
    <s v="Cerrado"/>
    <s v="#REF!"/>
    <m/>
  </r>
  <r>
    <s v="PQR-SUI-154"/>
    <s v="3447/2026"/>
    <d v="2026-09-16T00:00:00"/>
    <s v="Verbal"/>
    <x v="3"/>
    <s v="USUARIA REPORTA PREDIO DESOCUPADO"/>
    <x v="1"/>
    <n v="114"/>
    <s v="Descuento por predio desocupado"/>
    <x v="3"/>
    <m/>
    <s v="ALBA ROCIO DIAZ RIOS"/>
    <m/>
    <m/>
    <m/>
    <n v="14"/>
    <d v="2026-10-06T00:00:00"/>
    <m/>
    <m/>
    <m/>
    <m/>
    <m/>
    <s v="ABIERTO EN TÉRMINOS"/>
    <m/>
    <m/>
  </r>
  <r>
    <s v="PQR-SUI-155"/>
    <s v="3448/2026"/>
    <d v="2026-09-16T00:00:00"/>
    <s v="Verbal"/>
    <x v="9"/>
    <s v="USUARIA SOLICITA CAMBIO DE NOMBRE EN LA FACTURA"/>
    <x v="1"/>
    <n v="106"/>
    <s v="Datos Generales Incorrectos"/>
    <x v="0"/>
    <m/>
    <s v="BERTHA PATRICIA MARTINEZ ARIAS"/>
    <n v="6025572"/>
    <m/>
    <m/>
    <n v="14"/>
    <d v="2026-10-06T00:00:00"/>
    <m/>
    <m/>
    <m/>
    <m/>
    <m/>
    <s v="ABIERTO EN TÉRMINOS"/>
    <m/>
    <m/>
  </r>
  <r>
    <s v="PQR-SUI-156"/>
    <s v="3449/2026"/>
    <d v="2026-09-16T00:00:00"/>
    <s v="Correo Electrónico"/>
    <x v="0"/>
    <s v="SOLICITUD DE ENVIO DE LA FACTURA AL CORREO ELECTRÓNICO DEL PREDIO CALLE 44 # 20-46"/>
    <x v="0"/>
    <n v="503"/>
    <s v="Solicitud General"/>
    <x v="57"/>
    <m/>
    <s v="MAXIMILIANO NUÑEZ"/>
    <m/>
    <m/>
    <m/>
    <n v="14"/>
    <d v="2026-10-06T00:00:00"/>
    <m/>
    <m/>
    <m/>
    <m/>
    <m/>
    <s v="ABIERTO EN TÉRMINOS"/>
    <m/>
    <m/>
  </r>
  <r>
    <s v="PQR-SUI-157"/>
    <s v="3450/2026"/>
    <d v="2026-09-16T00:00:00"/>
    <s v="Correo Electrónico"/>
    <x v="0"/>
    <s v="USUARIO SOLICITA AJUSTE EN LA FACTURA DE SEPTIEMBRE No.100.008 YA QUE POR ERROR SE SIGUE COBRANDO EL MEDIDOR Y QUE SE ANULEN LAS CUOTAS, EL RESTANTE DEL MEDIDOR FUE CANCELADO EL 8 DE SEPTIEMBRE POR UN VALOR DE 100.392"/>
    <x v="1"/>
    <n v="113"/>
    <s v="Cobro de otros bienes o servicios en la factura, no autorizados por el usuario"/>
    <x v="10"/>
    <m/>
    <s v="JOSE ALBERTO CORDERO SANTACRUZ"/>
    <m/>
    <m/>
    <m/>
    <n v="14"/>
    <d v="2026-10-06T00:00:00"/>
    <m/>
    <m/>
    <m/>
    <m/>
    <m/>
    <s v="ABIERTO EN TÉRMINOS"/>
    <m/>
    <m/>
  </r>
  <r>
    <s v="PQR-SUI-158"/>
    <s v="3451/2026"/>
    <d v="2026-09-16T00:00:00"/>
    <s v="Documento Físico"/>
    <x v="1"/>
    <s v="SOLICITUD DE REVISIÓN POR FALTA DEL SERVICIO DE ACUEDUCTO - INVASIÓN COLOMBIA CASA 15"/>
    <x v="2"/>
    <n v="304"/>
    <s v="Variaciones en las características del suministro o prestación del servicio"/>
    <x v="12"/>
    <m/>
    <s v="MONICA MARICELA ZAMBRANO"/>
    <m/>
    <m/>
    <m/>
    <n v="14"/>
    <d v="2026-10-06T00:00:00"/>
    <m/>
    <m/>
    <m/>
    <m/>
    <m/>
    <s v="ABIERTO EN TÉRMINOS"/>
    <m/>
    <m/>
  </r>
  <r>
    <s v="PQR-SUI-159"/>
    <s v="3452/2026"/>
    <d v="2026-09-16T00:00:00"/>
    <s v="Documento Físico"/>
    <x v="0"/>
    <s v="D.E.Q. 211-2026 - SOLICITUD DE CAMBIO DE NOMBRE DEL TITULAR DEL PREDIO UBICADO EN LA CALLE 46A No. 24-29 APARTAMENTOS 101 Y 102"/>
    <x v="1"/>
    <n v="106"/>
    <s v="Datos Generales Incorrectos"/>
    <x v="0"/>
    <m/>
    <s v="CRUZ ROJA COLOMBIANA SEC QUIN"/>
    <m/>
    <m/>
    <m/>
    <n v="14"/>
    <d v="2026-10-06T00:00:00"/>
    <m/>
    <m/>
    <m/>
    <m/>
    <m/>
    <s v="ABIERTO EN TÉRMINOS"/>
    <m/>
    <m/>
  </r>
  <r>
    <s v="PQR-SUI-160"/>
    <s v="3453/2026"/>
    <d v="2026-09-16T00:00:00"/>
    <s v="Correo Electrónico"/>
    <x v="0"/>
    <s v="DERECHO DE PETICIÓN - SOLICITUD DE ACTUALIZACIÓN DEL TITULAR DEL SERVICIO DE ACUEDUCTO DEL PREDIO UBICADO EN LA CRA 21 No. 27-01 MZ A CASA 3 CONJUNTO CERRADO QUINTAS DE GUADUALES"/>
    <x v="1"/>
    <n v="106"/>
    <s v="Datos Generales Incorrectos"/>
    <x v="0"/>
    <m/>
    <s v="CESAR AUGUSTO GUTIERREZ"/>
    <m/>
    <m/>
    <m/>
    <n v="14"/>
    <d v="2026-10-06T00:00:00"/>
    <m/>
    <m/>
    <m/>
    <m/>
    <m/>
    <s v="ABIERTO EN TÉRMINOS"/>
    <m/>
    <m/>
  </r>
  <r>
    <s v="PQR-IN-76"/>
    <s v="3454/2026"/>
    <d v="2026-09-16T00:00:00"/>
    <s v="Correo Electrónico"/>
    <x v="2"/>
    <s v="SOLICITUD DE COTIZACIÓN DE CARACTERIZACIÓN CONSULTORIO ODONTOLOGICO DRA ANGELICA LUCIA RIAÑO"/>
    <x v="0"/>
    <n v="503"/>
    <s v="Solicitud General"/>
    <x v="2"/>
    <m/>
    <s v="CENTRO MÉDICO RODRIGO ARANGO"/>
    <m/>
    <m/>
    <m/>
    <n v="14"/>
    <d v="2026-10-06T00:00:00"/>
    <s v="N/A"/>
    <s v="N/A"/>
    <s v="N/A"/>
    <d v="2026-09-18T00:00:00"/>
    <s v="EMCA-I-5489-2026"/>
    <s v="Cerrado"/>
    <s v="SI"/>
    <m/>
  </r>
  <r>
    <s v="PQR-IN-77 _x000a_"/>
    <s v="3455/2026"/>
    <d v="2026-09-16T00:00:00"/>
    <s v="Documento Físico"/>
    <x v="0"/>
    <s v="SOLICITUD DE CONEXIÓN DE SERVICIOS - CRA 28 No. 37-51 PISO 3"/>
    <x v="0"/>
    <n v="502"/>
    <s v="Vinculación del Servicio"/>
    <x v="22"/>
    <m/>
    <s v="RAFAEL RODRIGUEZ"/>
    <m/>
    <m/>
    <m/>
    <n v="14"/>
    <d v="2026-10-06T00:00:00"/>
    <m/>
    <m/>
    <m/>
    <m/>
    <m/>
    <s v="ABIERTO EN TÉRMINOS"/>
    <m/>
    <m/>
  </r>
  <r>
    <s v="PQR-SUI-161"/>
    <s v="3456/2026"/>
    <d v="2026-09-16T00:00:00"/>
    <s v="Documento Físico"/>
    <x v="3"/>
    <s v="DERECHO DE PETICIÓN - SOLICITUD DE REVISIÓN, RELIQUIDACIÓN Y APLICACIÓN DE TARIFA PARA INMUEBLE DESOCUPADO"/>
    <x v="1"/>
    <n v="114"/>
    <s v="Descuento por predio desocupado"/>
    <x v="3"/>
    <m/>
    <s v="ARANA CARMENZA VALDION"/>
    <m/>
    <m/>
    <m/>
    <n v="14"/>
    <d v="2026-10-06T00:00:00"/>
    <m/>
    <m/>
    <m/>
    <m/>
    <m/>
    <s v="ABIERTO EN TÉRMINOS"/>
    <m/>
    <m/>
  </r>
  <r>
    <s v="PQR-SUI-162"/>
    <s v="3457/2026"/>
    <d v="2026-09-16T00:00:00"/>
    <s v="Verbal"/>
    <x v="4"/>
    <s v="USUARIA SOLICITA QUE TAPEN EL HUECO YA QUE AYER REALIZARON UN ARREGLO 15 DE SEPTIEMBRE Y ESTA CAUSANDO PELIGRO QUE SE CAIGA UNA PERSONA"/>
    <x v="2"/>
    <n v="316"/>
    <s v="Estado de la Infraestructura "/>
    <x v="4"/>
    <m/>
    <s v="IVON JOHANA LOAIZA"/>
    <m/>
    <m/>
    <m/>
    <n v="14"/>
    <d v="2026-10-06T00:00:00"/>
    <m/>
    <m/>
    <m/>
    <m/>
    <m/>
    <s v="ABIERTO EN TÉRMINOS"/>
    <m/>
    <m/>
  </r>
  <r>
    <s v="PQR-SUI-163"/>
    <s v="3458/2026"/>
    <d v="2026-09-16T00:00:00"/>
    <s v="Verbal"/>
    <x v="0"/>
    <s v="USUARIA SOLICITA CAMBIO DE NOMBRE EN LA FACTURA"/>
    <x v="1"/>
    <n v="106"/>
    <s v="Datos Generales Incorrectos"/>
    <x v="0"/>
    <m/>
    <s v="NIDIA OFIR MOLINA ROMAN"/>
    <m/>
    <m/>
    <m/>
    <n v="14"/>
    <d v="2026-10-06T00:00:00"/>
    <m/>
    <m/>
    <m/>
    <m/>
    <m/>
    <s v="ABIERTO EN TÉRMINOS"/>
    <m/>
    <m/>
  </r>
  <r>
    <s v="PQR-SUI-164"/>
    <s v="3459/2026"/>
    <d v="2026-09-16T00:00:00"/>
    <s v="Verbal"/>
    <x v="0"/>
    <s v="USUARIA SOLICITA CAMBIO DE NOMBRE EN LA FACTURA"/>
    <x v="1"/>
    <n v="106"/>
    <s v="Datos Generales Incorrectos"/>
    <x v="0"/>
    <m/>
    <s v="FRANCY MILENA HERNANDEZ ESPITIA"/>
    <n v="1084000"/>
    <m/>
    <m/>
    <n v="14"/>
    <d v="2026-10-06T00:00:00"/>
    <m/>
    <m/>
    <m/>
    <m/>
    <m/>
    <s v="ABIERTO EN TÉRMINOS"/>
    <m/>
    <m/>
  </r>
  <r>
    <s v="PQR-SUI-165"/>
    <s v="3460/2026"/>
    <d v="2026-09-16T00:00:00"/>
    <s v="Verbal"/>
    <x v="3"/>
    <s v="PREDIO DESOCUPADO"/>
    <x v="1"/>
    <n v="114"/>
    <s v="Descuento por predio desocupado"/>
    <x v="3"/>
    <m/>
    <s v="CANO MARIA DEICERE"/>
    <m/>
    <m/>
    <m/>
    <n v="14"/>
    <d v="2026-10-06T00:00:00"/>
    <m/>
    <m/>
    <m/>
    <m/>
    <m/>
    <s v="ABIERTO EN TÉRMINOS"/>
    <m/>
    <m/>
  </r>
  <r>
    <s v="PQR-SUI-166"/>
    <s v="3461/2026"/>
    <d v="2026-09-16T00:00:00"/>
    <s v="Verbal"/>
    <x v="1"/>
    <s v="USUARIA SOLICITA CAMBIO DE LA LLAVE DE PASO"/>
    <x v="2"/>
    <n v="316"/>
    <s v="Estado de la Infraestructura "/>
    <x v="11"/>
    <m/>
    <s v="GLORIA AMPARO VALENCIA"/>
    <n v="1024020"/>
    <m/>
    <m/>
    <n v="14"/>
    <d v="2026-10-06T00:00:00"/>
    <m/>
    <m/>
    <m/>
    <m/>
    <m/>
    <s v="ABIERTO EN TÉRMINOS"/>
    <m/>
    <m/>
  </r>
  <r>
    <s v="PQR-IN-80_x000a_"/>
    <s v="3462/2026"/>
    <d v="2026-09-16T00:00:00"/>
    <s v="Documento Físico"/>
    <x v="0"/>
    <s v="SOLICITUD DE PRESTACIÓN DEL SERVICIO DE ACUEDUCTO - PREDIO FINCA EL MILAGRO VIA LA BELLA"/>
    <x v="0"/>
    <n v="502"/>
    <s v="Vinculación del Servicio"/>
    <x v="22"/>
    <m/>
    <s v="LUZ AIDA HOYOS PELAEZ"/>
    <m/>
    <m/>
    <m/>
    <n v="14"/>
    <d v="2026-10-06T00:00:00"/>
    <m/>
    <m/>
    <m/>
    <m/>
    <m/>
    <s v="ABIERTO EN TÉRMINOS"/>
    <m/>
    <m/>
  </r>
  <r>
    <s v="PQR-SUI-167"/>
    <s v="3463/2026"/>
    <d v="2026-09-16T00:00:00"/>
    <s v="Documento Físico"/>
    <x v="4"/>
    <s v="USUARIO SOLICITA DESCUENTO EN COBRO DE MATERIALES YA QUE CORRESPONDE A OTRO PREDIO CON CODIGO 1031900 DE ACUERDO A SOLICITUD EMCA -PQRS-2990-2026"/>
    <x v="1"/>
    <n v="113"/>
    <s v="Cobro de otros bienes o servicios en la factura, no autorizados por el usuario"/>
    <x v="10"/>
    <m/>
    <s v="CECILIA RAMIREZ HURTADO"/>
    <m/>
    <m/>
    <m/>
    <n v="14"/>
    <d v="2026-10-06T00:00:00"/>
    <m/>
    <m/>
    <m/>
    <m/>
    <m/>
    <s v="ABIERTO EN TÉRMINOS"/>
    <m/>
    <m/>
  </r>
  <r>
    <s v="PQR-SUI-168"/>
    <s v="3464/2026"/>
    <d v="2026-09-16T00:00:00"/>
    <s v="Verbal"/>
    <x v="4"/>
    <s v="USUARIO SOLICITA DESCUENTO EN COBRO DE CONSUMO DE ACUERDO A EMCA-2913-2026"/>
    <x v="1"/>
    <n v="127"/>
    <s v="Inconformidad por desviación significativa"/>
    <x v="5"/>
    <m/>
    <s v="LUZ ESTELLA JIMENEZ SUAREZ"/>
    <m/>
    <m/>
    <m/>
    <n v="14"/>
    <d v="2026-10-06T00:00:00"/>
    <m/>
    <m/>
    <m/>
    <m/>
    <m/>
    <s v="ABIERTO EN TÉRMINOS"/>
    <m/>
    <m/>
  </r>
  <r>
    <s v="PQR-SUI-169"/>
    <s v="3465/2026"/>
    <d v="2026-09-16T00:00:00"/>
    <s v="Verbal"/>
    <x v="1"/>
    <s v="USUARIO SOLICITA CAMBIO DE LA LLAVE DE PASO EL USUARIO TIENE LA NUEVA LLAVE EN EL PREDIO"/>
    <x v="2"/>
    <n v="316"/>
    <s v="Estado de la Infraestructura "/>
    <x v="11"/>
    <m/>
    <s v="JOHN KENNEDY ARIAS CUBILLOS"/>
    <n v="1238178"/>
    <m/>
    <m/>
    <n v="14"/>
    <d v="2026-10-06T00:00:00"/>
    <m/>
    <m/>
    <m/>
    <m/>
    <m/>
    <s v="ABIERTO EN TÉRMINOS"/>
    <m/>
    <m/>
  </r>
  <r>
    <s v="PQR-SUI-170"/>
    <s v="3466/2026"/>
    <d v="2026-09-16T00:00:00"/>
    <s v="Correo Electrónico"/>
    <x v="3"/>
    <s v="DENUNCIA POR INADECUADA DISPOSICIÓN DE RESIDUOS SOLIDOS EN LA MZ 16B DEL BARRIO LLANITOS PILOTO"/>
    <x v="2"/>
    <n v="311"/>
    <s v="Frecuencias adicionales de recolección"/>
    <x v="58"/>
    <m/>
    <s v="LORENA MORALES"/>
    <m/>
    <m/>
    <m/>
    <n v="14"/>
    <d v="2026-10-06T00:00:00"/>
    <m/>
    <m/>
    <m/>
    <m/>
    <m/>
    <s v="ABIERTO EN TÉRMINOS"/>
    <m/>
    <m/>
  </r>
  <r>
    <s v="PQR-SUI-171"/>
    <s v="3467/2026"/>
    <d v="2026-09-17T00:00:00"/>
    <s v="Correo Electrónico"/>
    <x v="3"/>
    <s v="1109317 USUARIA REPORTA PREDIO DESOCUPADO"/>
    <x v="1"/>
    <n v="114"/>
    <s v="Descuento por predio desocupado"/>
    <x v="3"/>
    <m/>
    <s v="ROSIO AREVALO"/>
    <m/>
    <m/>
    <m/>
    <n v="14"/>
    <d v="2026-10-06T00:00:00"/>
    <m/>
    <m/>
    <m/>
    <m/>
    <m/>
    <s v="ABIERTO EN TÉRMINOS"/>
    <m/>
    <m/>
  </r>
  <r>
    <s v="PQR-SUI-172"/>
    <s v="3468/2026"/>
    <d v="2026-09-17T00:00:00"/>
    <s v="Verbal"/>
    <x v="3"/>
    <s v="DESCUENTO POR PREDIO DESOCUPADO"/>
    <x v="1"/>
    <n v="114"/>
    <s v="Descuento por predio desocupado"/>
    <x v="3"/>
    <m/>
    <s v="DORIS BONILLA PABON"/>
    <m/>
    <m/>
    <m/>
    <n v="14"/>
    <d v="2026-10-07T00:00:00"/>
    <m/>
    <m/>
    <m/>
    <m/>
    <m/>
    <s v="ABIERTO EN TÉRMINOS"/>
    <m/>
    <m/>
  </r>
  <r>
    <s v="PQR-SUI-173"/>
    <s v="3469/2026"/>
    <d v="2026-09-17T00:00:00"/>
    <s v="Verbal"/>
    <x v="3"/>
    <s v="1028720 USUARIO REPORTA PREDIO DESOCUPADO"/>
    <x v="1"/>
    <n v="114"/>
    <s v="Descuento por predio desocupado"/>
    <x v="3"/>
    <m/>
    <s v="JESUS EDUARDO CAMPILLO PARRA"/>
    <m/>
    <m/>
    <m/>
    <n v="14"/>
    <d v="2026-10-07T00:00:00"/>
    <m/>
    <m/>
    <m/>
    <m/>
    <m/>
    <s v="ABIERTO EN TÉRMINOS"/>
    <m/>
    <m/>
  </r>
  <r>
    <s v="PQR-IN-81_x000a_"/>
    <s v="3470/2026"/>
    <d v="2026-09-17T00:00:00"/>
    <s v="Telefónico"/>
    <x v="3"/>
    <s v="USUARIO SOLICITA RECOLECCION DE TRES CANECAS CON VIDRIO"/>
    <x v="0"/>
    <n v="503"/>
    <s v="Solicitud General"/>
    <x v="6"/>
    <m/>
    <s v="LEONARDO INSUASTI"/>
    <m/>
    <m/>
    <m/>
    <n v="14"/>
    <d v="2026-10-07T00:00:00"/>
    <m/>
    <m/>
    <m/>
    <m/>
    <m/>
    <s v="ABIERTO EN TÉRMINOS"/>
    <m/>
    <m/>
  </r>
  <r>
    <s v="PQR-SUI-174"/>
    <s v="3471/2026"/>
    <d v="2026-09-17T00:00:00"/>
    <s v="Verbal"/>
    <x v="4"/>
    <s v="FUGA EN RED PRINCIPAL"/>
    <x v="2"/>
    <n v="316"/>
    <s v="Estado de la Infraestructura "/>
    <x v="19"/>
    <m/>
    <s v="MELVA RINCON PARRA"/>
    <m/>
    <m/>
    <m/>
    <n v="14"/>
    <d v="2026-10-07T00:00:00"/>
    <m/>
    <m/>
    <m/>
    <m/>
    <m/>
    <s v="ABIERTO EN TÉRMINOS"/>
    <m/>
    <m/>
  </r>
  <r>
    <s v="PQR-SUI-175"/>
    <s v="3472/2026"/>
    <d v="2026-09-17T00:00:00"/>
    <s v="Verbal"/>
    <x v="3"/>
    <s v="1076540 USUARIA REPORTA PREDIO DESOCUPADO HACE MAS DE UN MES"/>
    <x v="1"/>
    <n v="114"/>
    <s v="Descuento por predio desocupado"/>
    <x v="3"/>
    <m/>
    <s v="MARIA AMPARO ARENES TORRES"/>
    <m/>
    <m/>
    <m/>
    <n v="14"/>
    <d v="2026-10-07T00:00:00"/>
    <m/>
    <m/>
    <m/>
    <m/>
    <m/>
    <s v="ABIERTO EN TÉRMINOS"/>
    <m/>
    <m/>
  </r>
  <r>
    <s v="PQR-SUI-176"/>
    <s v="3473/2026"/>
    <d v="2026-09-17T00:00:00"/>
    <s v="Documento Físico"/>
    <x v="4"/>
    <s v="SOLICITUD DE REVISIÓN POR ROMPIMIENTO DE LA TUBERIA DE ACUEDUCTO Y ALCANTARILLADO DEL PREDIO UBICADO EN LA CALLE 40 No. 29-26 2DO PISO"/>
    <x v="1"/>
    <n v="316"/>
    <s v="Estado de la Infraestructura "/>
    <x v="19"/>
    <m/>
    <s v="JAIME VALENCIA"/>
    <m/>
    <m/>
    <m/>
    <n v="14"/>
    <d v="2026-10-07T00:00:00"/>
    <s v="N/A"/>
    <s v="N/A"/>
    <s v="N/A"/>
    <d v="2026-09-21T00:00:00"/>
    <s v="EMCA-I-5448-2026"/>
    <s v="Cerrado"/>
    <s v="SI"/>
    <m/>
  </r>
  <r>
    <s v="PQR-IN-82_x000a_"/>
    <s v="3474/2026"/>
    <d v="2026-09-17T00:00:00"/>
    <s v="Documento Físico"/>
    <x v="0"/>
    <s v="DERECHO DE PETICIÓN DE OPOSICIÓN A INSTALACIÓN, SOLICITUD DE SUSPENCIÓN/RETIRO DE SERVICIOS PUBLICOS Y SOLICITUD DE DESMONTE DE CONTRUCCIÓN ILEGAL"/>
    <x v="1"/>
    <n v="503"/>
    <s v="Solicitud General"/>
    <x v="59"/>
    <m/>
    <s v="JUAN DIEGO GONZALEZ RIOS"/>
    <m/>
    <m/>
    <m/>
    <n v="14"/>
    <d v="2026-10-07T00:00:00"/>
    <m/>
    <m/>
    <m/>
    <m/>
    <m/>
    <s v="ABIERTO EN TÉRMINOS"/>
    <m/>
    <m/>
  </r>
  <r>
    <s v="PQR-SUI-177"/>
    <s v="3475/2026"/>
    <d v="2026-09-17T00:00:00"/>
    <s v="Verbal"/>
    <x v="3"/>
    <s v="PREDIO DESOCUPADO"/>
    <x v="1"/>
    <n v="114"/>
    <s v="Descuento por predio desocupado"/>
    <x v="3"/>
    <m/>
    <s v="ALBARO GHISLAYM LOPEZ SARAZO"/>
    <m/>
    <m/>
    <m/>
    <n v="14"/>
    <d v="2026-10-07T00:00:00"/>
    <m/>
    <m/>
    <m/>
    <m/>
    <m/>
    <s v="ABIERTO EN TÉRMINOS"/>
    <m/>
    <m/>
  </r>
  <r>
    <s v="PQR-SUI-178"/>
    <s v="3476/2026"/>
    <d v="2026-09-17T00:00:00"/>
    <s v="Verbal"/>
    <x v="3"/>
    <s v="1018980 USUARIA REPORTA PREDIO DESOCUPADO HACE MAS DE 3 MESES"/>
    <x v="1"/>
    <n v="114"/>
    <s v="Predio Desocupado"/>
    <x v="3"/>
    <m/>
    <s v="MARIA AMERICA GARCIA PRIETO"/>
    <m/>
    <m/>
    <m/>
    <n v="14"/>
    <d v="2026-10-07T00:00:00"/>
    <m/>
    <m/>
    <m/>
    <m/>
    <m/>
    <s v="ABIERTO EN TÉRMINOS"/>
    <m/>
    <m/>
  </r>
  <r>
    <s v="PQR-SUI-179"/>
    <s v="3477/2026"/>
    <d v="2026-09-17T00:00:00"/>
    <s v="Correo Electrónico"/>
    <x v="1"/>
    <s v="SG-521-2026- REMISIÓN DE DERECHO DE PETICIÓN EMCA-PQRS-3466"/>
    <x v="0"/>
    <n v="503"/>
    <s v="Solicitud General"/>
    <x v="6"/>
    <m/>
    <s v="ALCALDIA CALARCÁ"/>
    <m/>
    <m/>
    <m/>
    <n v="14"/>
    <d v="2026-10-07T00:00:00"/>
    <m/>
    <m/>
    <m/>
    <m/>
    <m/>
    <s v="ABIERTO EN TÉRMINOS"/>
    <m/>
    <m/>
  </r>
  <r>
    <s v="PQR-SUI-180"/>
    <s v="3478/2026"/>
    <d v="2026-09-17T00:00:00"/>
    <s v="Documento Físico"/>
    <x v="0"/>
    <s v="SOLICITUD DE FACTURA CLIENTE DAVIVIENDA CODIGO DE USUARIO 1045020"/>
    <x v="0"/>
    <n v="503"/>
    <s v="Solicitud General"/>
    <x v="36"/>
    <m/>
    <s v="NATALIA FERNANDA BRICEÑO PINTO"/>
    <m/>
    <m/>
    <m/>
    <n v="14"/>
    <d v="2026-10-07T00:00:00"/>
    <m/>
    <m/>
    <m/>
    <m/>
    <m/>
    <s v="ABIERTO EN TÉRMINOS"/>
    <m/>
    <m/>
  </r>
  <r>
    <s v="PQR-SUI-181"/>
    <s v="3479/2026"/>
    <d v="2026-09-17T00:00:00"/>
    <s v="Documento Físico"/>
    <x v="4"/>
    <s v="DERECHO DE PETICIÓN - SOLICITUD DE REVISIÓN DE LAS REDES DE ALCANTARILLADO POR COLAPSO DEL PREDIO UBICADO EN EL BARRIO MZ N CASA 13"/>
    <x v="0"/>
    <n v="316"/>
    <s v="Estado de la Infraestructura "/>
    <x v="19"/>
    <m/>
    <s v="ORLANDO BECERRA MORALES"/>
    <m/>
    <m/>
    <m/>
    <n v="14"/>
    <d v="2026-10-07T00:00:00"/>
    <d v="2026-09-17T00:00:00"/>
    <s v="N/A"/>
    <d v="2026-09-17T00:00:00"/>
    <d v="2026-09-28T00:00:00"/>
    <s v="EMCA-I-5631-2026"/>
    <s v="Cerrado"/>
    <s v="SI"/>
    <m/>
  </r>
  <r>
    <s v="PQR-SUI-183"/>
    <s v="3480/2026"/>
    <d v="2026-09-17T00:00:00"/>
    <s v="Correo Electrónico"/>
    <x v="4"/>
    <s v="SPM-3593-2026 - TRASLADO POR COMPETENCIA - 2026RE12487 SOLICITUD DE REVISIÓN POR FUGA INTERNA EN EL PREDIO UBICADO EN LA CRA 28 No. 36-40"/>
    <x v="0"/>
    <n v="316"/>
    <s v="Estado de la Infraestructura "/>
    <x v="19"/>
    <s v="SI"/>
    <s v="ALCALDIA CALARCÁ"/>
    <m/>
    <m/>
    <m/>
    <n v="14"/>
    <d v="2026-10-07T00:00:00"/>
    <d v="2026-09-17T00:00:00"/>
    <s v="N/A"/>
    <s v="N/A"/>
    <d v="2026-09-29T00:00:00"/>
    <s v="EMCA-I-5430-2026"/>
    <s v="Cerrado"/>
    <s v="SI"/>
    <m/>
  </r>
  <r>
    <s v="PQR-SUI-182"/>
    <s v="3481/2026"/>
    <d v="2026-09-17T00:00:00"/>
    <s v="Verbal"/>
    <x v="3"/>
    <s v="1197200 USUARIA REPORTA PREDIO DESOCUPADO"/>
    <x v="1"/>
    <n v="114"/>
    <s v="Predio Desocupado"/>
    <x v="3"/>
    <m/>
    <s v="YOLANDA PAIVA ZANCHEZ"/>
    <m/>
    <m/>
    <m/>
    <n v="14"/>
    <d v="2026-10-07T00:00:00"/>
    <m/>
    <m/>
    <m/>
    <m/>
    <m/>
    <s v="ABIERTO EN TÉRMINOS"/>
    <m/>
    <m/>
  </r>
  <r>
    <s v="PQR-SUI-184"/>
    <s v="3482/2026"/>
    <d v="2026-09-17T00:00:00"/>
    <s v="Correo Electrónico"/>
    <x v="0"/>
    <s v="SOLICITUD DUPLICADO DE FACTURA CÓDIGO 1250889"/>
    <x v="0"/>
    <n v="503"/>
    <s v="Solicitud General"/>
    <x v="36"/>
    <m/>
    <s v="MISHELL CAROLINA PERALTA"/>
    <m/>
    <m/>
    <m/>
    <n v="14"/>
    <d v="2026-10-07T00:00:00"/>
    <m/>
    <m/>
    <m/>
    <m/>
    <m/>
    <s v="ABIERTO EN TÉRMINOS"/>
    <m/>
    <m/>
  </r>
  <r>
    <s v="PQR-IN-83_x000a_"/>
    <s v="3483/2026"/>
    <d v="2026-09-17T00:00:00"/>
    <s v="Documento Físico"/>
    <x v="0"/>
    <s v="SOLICITUD CONEXION DE SERVICIOS LA PRIMAVERA MZ A CASA 11"/>
    <x v="0"/>
    <n v="502"/>
    <s v="Vinculación del Servicio"/>
    <x v="22"/>
    <m/>
    <s v="PORRAS GLADYS OVIEDO"/>
    <m/>
    <m/>
    <m/>
    <n v="14"/>
    <d v="2026-10-07T00:00:00"/>
    <m/>
    <m/>
    <m/>
    <m/>
    <m/>
    <s v="ABIERTO EN TÉRMINOS"/>
    <m/>
    <m/>
  </r>
  <r>
    <s v="PQR-IN-146_x000a_"/>
    <s v="3484/2026"/>
    <d v="2026-09-17T00:00:00"/>
    <s v="Documento Físico"/>
    <x v="0"/>
    <s v="SOLICITUD CONEXION DE SERVICIOS CALLE 41 No. 36-111 HORIZONTE REAL"/>
    <x v="0"/>
    <n v="502"/>
    <s v="Vinculación del Servicio"/>
    <x v="22"/>
    <m/>
    <s v="INGNOVARQ CONSTRUCTORA"/>
    <m/>
    <m/>
    <m/>
    <n v="14"/>
    <d v="2026-10-07T00:00:00"/>
    <m/>
    <m/>
    <m/>
    <m/>
    <m/>
    <s v="ABIERTO EN TÉRMINOS"/>
    <m/>
    <m/>
  </r>
  <r>
    <s v="PQR-IN-85_x000a_"/>
    <s v="3485/2026"/>
    <d v="2026-09-17T00:00:00"/>
    <s v="Documento Físico"/>
    <x v="3"/>
    <s v="SOLICITUD DE 4 CANECAS PARA DISPOSICIÓN DE RESIDUOS Y VISITA TÉCNICA AL ACUEDUCTO DEL CORREGIMIENTO DE QUEBRADANEGRA"/>
    <x v="0"/>
    <n v="503"/>
    <s v="Solicitud General"/>
    <x v="6"/>
    <m/>
    <s v="DIEGO ALEJANDRO CAMELO DIAZ"/>
    <m/>
    <m/>
    <m/>
    <n v="14"/>
    <d v="2026-10-07T00:00:00"/>
    <m/>
    <m/>
    <m/>
    <m/>
    <m/>
    <s v="ABIERTO EN TÉRMINOS"/>
    <m/>
    <m/>
  </r>
  <r>
    <s v="PQR-SUI-185"/>
    <s v="3486/2026"/>
    <d v="2026-09-18T00:00:00"/>
    <s v="Verbal"/>
    <x v="5"/>
    <s v="USUARIO SOLICITA QUE LIMPIAR SUMIDERO DE ALCANTARILLADO DIAGONAL A ESTE PREDIO Y EL OTRO SUMIDERO SE ENCUENTRA POR LA CL 23 ENTRANDO HACIA EL MURO DE LA CANCHA DEL MONDRAGON LLAMAR ANTES DE IR"/>
    <x v="2"/>
    <n v="316"/>
    <s v="Estado de la Infraestructura "/>
    <x v="60"/>
    <m/>
    <s v="LUIS CARLOS COLLAZOZ COLLAZOZ"/>
    <m/>
    <m/>
    <m/>
    <n v="14"/>
    <d v="2026-10-07T00:00:00"/>
    <m/>
    <m/>
    <m/>
    <m/>
    <m/>
    <s v="ABIERTO EN TÉRMINOS"/>
    <m/>
    <m/>
  </r>
  <r>
    <s v="PQR-SUI-186"/>
    <s v="3487/2026"/>
    <d v="2026-09-18T00:00:00"/>
    <s v="Verbal"/>
    <x v="1"/>
    <s v="USUARIA SOLICITA CAMBIO DE LLAVE DE PASO LLAMAR ANTES DE IR"/>
    <x v="2"/>
    <n v="316"/>
    <s v="Estado de la Infraestructura "/>
    <x v="11"/>
    <m/>
    <s v="MARIA ELENA FORERO MORA"/>
    <m/>
    <m/>
    <m/>
    <n v="14"/>
    <d v="2026-10-08T00:00:00"/>
    <m/>
    <m/>
    <m/>
    <m/>
    <m/>
    <s v="ABIERTO EN TÉRMINOS"/>
    <m/>
    <m/>
  </r>
  <r>
    <s v="PQR-SUI-187"/>
    <s v="3488/2026"/>
    <d v="2026-09-18T00:00:00"/>
    <s v="Verbal"/>
    <x v="3"/>
    <s v="SOLCITUD PREDIO DESOCUPADO"/>
    <x v="1"/>
    <n v="114"/>
    <s v="Descuento por predio desocupado"/>
    <x v="3"/>
    <m/>
    <s v="ALVARO GONZALEZ QUEVEDO"/>
    <m/>
    <m/>
    <m/>
    <n v="14"/>
    <d v="2026-10-08T00:00:00"/>
    <m/>
    <m/>
    <m/>
    <m/>
    <m/>
    <s v="ABIERTO EN TÉRMINOS"/>
    <m/>
    <m/>
  </r>
  <r>
    <s v="PQR-SUI-188"/>
    <s v="3489/2026"/>
    <d v="2026-09-18T00:00:00"/>
    <s v="Documento Físico"/>
    <x v="0"/>
    <s v="USUARIO SOLICIA DESCUENTO EN COBRO DE CONSUMO DE ACUERDO A RESPUESTA DEL RECLAMO 1453-127"/>
    <x v="1"/>
    <n v="127"/>
    <s v="Inconformidad por desviación significativa"/>
    <x v="5"/>
    <m/>
    <s v="RICARDO ESTEBAN SANTAMARIA"/>
    <m/>
    <m/>
    <m/>
    <n v="14"/>
    <d v="2026-10-08T00:00:00"/>
    <m/>
    <m/>
    <m/>
    <m/>
    <m/>
    <s v="ABIERTO EN TÉRMINOS"/>
    <m/>
    <m/>
  </r>
  <r>
    <s v="PQR-SUI-189"/>
    <s v="3490/2026"/>
    <d v="2026-09-18T00:00:00"/>
    <s v="Documento Físico"/>
    <x v="1"/>
    <s v="USUARIO SOLICITA CAMBIO DE LA LLAVE DE PASO DEL MEDIDOR"/>
    <x v="2"/>
    <n v="316"/>
    <s v="Estado de la Infraestructura "/>
    <x v="11"/>
    <m/>
    <s v="WILLIAM JOSE HERRERA HERRERA"/>
    <m/>
    <m/>
    <m/>
    <n v="14"/>
    <d v="2026-10-08T00:00:00"/>
    <m/>
    <m/>
    <m/>
    <m/>
    <m/>
    <s v="ABIERTO EN TÉRMINOS"/>
    <m/>
    <m/>
  </r>
  <r>
    <s v="PQR-IN-86_x000a_"/>
    <s v="3491/2026"/>
    <d v="2026-09-18T00:00:00"/>
    <s v="Documento Físico"/>
    <x v="3"/>
    <s v="SOLICTUD DE AJUSTE EN ALUMBRADO PÚBLICO"/>
    <x v="0"/>
    <n v="503"/>
    <s v="Solicitud General"/>
    <x v="61"/>
    <m/>
    <s v="ANGIE MARIETH CASTAÑEDA"/>
    <m/>
    <m/>
    <m/>
    <n v="14"/>
    <d v="2026-10-08T00:00:00"/>
    <m/>
    <m/>
    <m/>
    <m/>
    <m/>
    <s v="ABIERTO EN TÉRMINOS"/>
    <m/>
    <m/>
  </r>
  <r>
    <s v="PQR-SUI-190"/>
    <s v="3492/2026"/>
    <d v="2026-09-18T00:00:00"/>
    <s v="Verbal"/>
    <x v="4"/>
    <s v="USUARIO REPORTA FUGA EN EL MEDIDOR"/>
    <x v="2"/>
    <n v="316"/>
    <s v="Estado de la Infraestructura "/>
    <x v="19"/>
    <m/>
    <s v="JOSE DEIBER MORALES"/>
    <m/>
    <m/>
    <m/>
    <n v="14"/>
    <d v="2026-10-08T00:00:00"/>
    <m/>
    <m/>
    <m/>
    <m/>
    <m/>
    <s v="ABIERTO EN TÉRMINOS"/>
    <m/>
    <m/>
  </r>
  <r>
    <s v="PQR-SUI-191"/>
    <s v="3493/2026"/>
    <d v="2026-09-18T00:00:00"/>
    <s v="Verbal"/>
    <x v="3"/>
    <s v="USUARIO REPORTA PREDIO DESOCUPADO"/>
    <x v="1"/>
    <n v="114"/>
    <s v="Descuento por predio desocupado"/>
    <x v="3"/>
    <m/>
    <s v="ALBERTO VEGA ARIAS"/>
    <m/>
    <m/>
    <s v="VEGAALBERTO273@GMAIL.COM"/>
    <n v="14"/>
    <d v="2026-10-08T00:00:00"/>
    <m/>
    <m/>
    <m/>
    <m/>
    <m/>
    <s v="ABIERTO EN TÉRMINOS"/>
    <m/>
    <m/>
  </r>
  <r>
    <s v="PQR-SUI-192"/>
    <s v="3494/2026"/>
    <d v="2026-09-18T00:00:00"/>
    <s v="Verbal"/>
    <x v="3"/>
    <s v="USUARIO REPORTA PREDIO DESOCUPADO BARRIO LUIS CARLOS GALNA MZ N cASA 1"/>
    <x v="1"/>
    <n v="114"/>
    <s v="Descuento por predio desocupado"/>
    <x v="3"/>
    <m/>
    <s v="ALBERTO VEGA ARIAS"/>
    <m/>
    <m/>
    <s v="VEGAALBERTO273@GMAIL.COM"/>
    <n v="14"/>
    <d v="2026-10-08T00:00:00"/>
    <m/>
    <m/>
    <m/>
    <m/>
    <m/>
    <s v="ABIERTO EN TÉRMINOS"/>
    <m/>
    <m/>
  </r>
  <r>
    <s v="PQR-IN-88_x000a_"/>
    <s v="3495/2026"/>
    <d v="2026-09-18T00:00:00"/>
    <s v="Documento Físico"/>
    <x v="6"/>
    <s v="SOLICITUD DE REVISIÓN DEL ALUMBRADO PUBLICO"/>
    <x v="2"/>
    <n v="316"/>
    <s v="Estado de la Infraestructura "/>
    <x v="14"/>
    <m/>
    <s v="S.A.S CABO MARIPOSA"/>
    <m/>
    <m/>
    <m/>
    <n v="14"/>
    <d v="2026-10-08T00:00:00"/>
    <m/>
    <m/>
    <m/>
    <m/>
    <m/>
    <s v="ABIERTO EN TÉRMINOS"/>
    <m/>
    <m/>
  </r>
  <r>
    <s v="PQR-IN-89_x000a_"/>
    <s v="3496/2026"/>
    <d v="2026-09-18T00:00:00"/>
    <s v="Documento Físico"/>
    <x v="4"/>
    <s v="SOLICITUD DE COTIZACIÓN PARA EL SERVICIO DE INSPECCIÓN TELEVISIVA (CCTV) Y LIMPIEZA DE TUBERIA DE LAS REDES DE ALCANTARILLADO (SANITARIO Y PLUVIAL)"/>
    <x v="0"/>
    <n v="503"/>
    <s v="Solicitud General"/>
    <x v="2"/>
    <m/>
    <s v="INGNOVARQ CONSTRUCTORA"/>
    <m/>
    <m/>
    <m/>
    <n v="14"/>
    <d v="2026-10-08T00:00:00"/>
    <m/>
    <m/>
    <m/>
    <m/>
    <m/>
    <s v="ABIERTO EN TÉRMINOS"/>
    <m/>
    <m/>
  </r>
  <r>
    <s v="PQR-SUI-193"/>
    <s v="3497/2026"/>
    <d v="2026-09-18T00:00:00"/>
    <s v="Correo Electrónico"/>
    <x v="0"/>
    <s v="SOLICITUD DUPLICADO DE FACTURA"/>
    <x v="0"/>
    <n v="503"/>
    <s v="Solicitud General"/>
    <x v="36"/>
    <m/>
    <s v="YIRLEY LOAIZA ANALISTA DE GESTIÓN"/>
    <m/>
    <m/>
    <m/>
    <n v="14"/>
    <d v="2026-10-08T00:00:00"/>
    <m/>
    <m/>
    <m/>
    <m/>
    <m/>
    <s v="ABIERTO EN TÉRMINOS"/>
    <m/>
    <m/>
  </r>
  <r>
    <s v="PQR-IN-90_x000a_"/>
    <s v="3498/2026"/>
    <d v="2026-09-18T00:00:00"/>
    <s v="Correo Electrónico"/>
    <x v="0"/>
    <s v="SOLCITUD DE COTIZACIÓN"/>
    <x v="0"/>
    <n v="503"/>
    <s v="Solicitud General"/>
    <x v="2"/>
    <m/>
    <s v="ASOCORREDOR"/>
    <m/>
    <m/>
    <s v="porasignar@gmail.com"/>
    <n v="14"/>
    <d v="2026-10-08T00:00:00"/>
    <m/>
    <m/>
    <m/>
    <m/>
    <m/>
    <s v="ABIERTO EN TÉRMINOS"/>
    <m/>
    <m/>
  </r>
  <r>
    <s v="PQR-SUI-194"/>
    <s v="3499/2026"/>
    <d v="2026-09-18T00:00:00"/>
    <s v="Correo Electrónico"/>
    <x v="3"/>
    <s v="OFICIO IMP-1137-2026 - REMISIÓN POR COMPETENCIA REFERENCIA PQRS-3466-2026/ DENUNCIA BOTADERO DE BASURA"/>
    <x v="0"/>
    <n v="503"/>
    <s v="Solicitud General"/>
    <x v="62"/>
    <m/>
    <s v="INSPECCIÓN DE POLICIA"/>
    <m/>
    <m/>
    <s v="INSPECCIONPOLICIA@CALARCA-QUINDIO.GOV.CO"/>
    <n v="14"/>
    <d v="2026-10-08T00:00:00"/>
    <m/>
    <m/>
    <m/>
    <m/>
    <m/>
    <m/>
    <m/>
    <m/>
  </r>
  <r>
    <s v="PQR-IN-91_x000a_"/>
    <s v="3500/2026"/>
    <d v="2026-09-18T00:00:00"/>
    <s v="Correo Electrónico"/>
    <x v="3"/>
    <s v="USUARIA SOLICITA QUE RECOJAN UNAS MADERAS,TEJAS VARIAS COSAS EN LA DIRECCION CR 17 # 43-26 LLAMAR ANTES DE IR"/>
    <x v="0"/>
    <n v="503"/>
    <s v="Solicitud General"/>
    <x v="6"/>
    <m/>
    <s v="ANGELICA MARIA DOMINGUEZ"/>
    <m/>
    <m/>
    <m/>
    <n v="14"/>
    <d v="2026-10-08T00:00:00"/>
    <m/>
    <m/>
    <m/>
    <m/>
    <m/>
    <m/>
    <m/>
    <m/>
  </r>
  <r>
    <s v="PQR-IN-92_x000a_"/>
    <s v="3501/2026"/>
    <d v="2026-09-18T00:00:00"/>
    <s v="Correo Electrónico"/>
    <x v="4"/>
    <s v="SOLICITUD DE REVISIÓN"/>
    <x v="0"/>
    <n v="316"/>
    <s v="Estado de la Infraestructura "/>
    <x v="63"/>
    <m/>
    <s v="CONJUNTO RESIDENCIAL ALTAVISTA"/>
    <m/>
    <m/>
    <m/>
    <n v="14"/>
    <d v="2026-10-08T00:00:00"/>
    <m/>
    <m/>
    <m/>
    <m/>
    <m/>
    <m/>
    <m/>
    <m/>
  </r>
  <r>
    <s v="PQR-SUI-195"/>
    <s v="3502/2026"/>
    <d v="2026-09-18T00:00:00"/>
    <s v="Documento Físico"/>
    <x v="0"/>
    <s v="USUARIO SOLICITA CAMBIO DE NOMBRE EN LA FACTURA"/>
    <x v="0"/>
    <n v="106"/>
    <s v="Datos Generales Incorrectos"/>
    <x v="0"/>
    <m/>
    <s v="JHON ALEJANDRO MURIEL SANCHEZ"/>
    <m/>
    <m/>
    <m/>
    <n v="14"/>
    <d v="2026-10-08T00:00:00"/>
    <m/>
    <m/>
    <m/>
    <m/>
    <m/>
    <m/>
    <m/>
    <m/>
  </r>
  <r>
    <s v="PQR-SUI-196"/>
    <s v="3503/2026"/>
    <d v="2026-09-18T00:00:00"/>
    <s v="Documento Físico"/>
    <x v="0"/>
    <s v="SE DEBE DE HACER AJUSTE A LA FACTURA POR VALOR DE 87280 YA QUE SE APLICO AL CODIGO 1100460"/>
    <x v="1"/>
    <n v="122"/>
    <s v="Suscriptor que efectúa el pago pero este no es aplicado por la empresa en la facturación"/>
    <x v="26"/>
    <m/>
    <s v="ROSALBA JURADO"/>
    <m/>
    <m/>
    <m/>
    <n v="14"/>
    <d v="2026-10-08T00:00:00"/>
    <m/>
    <m/>
    <m/>
    <m/>
    <m/>
    <m/>
    <m/>
    <m/>
  </r>
  <r>
    <s v="PQR-SUI-197"/>
    <s v="3504/2026"/>
    <d v="2026-09-18T00:00:00"/>
    <s v="Verbal"/>
    <x v="4"/>
    <s v="USUARIO REPORTA DAÑO DE RED DE ALCANTARILLADO YA QUE HACE DIAS REALIZARON UN ARREGLO DONDE YA EMPEZO AFECTAR A ESTE PREDIO YA QUE SE ESTA DEVOLVIENDO LAS AGUAS NEGRAS POR LOS CIFONES LLAMAR ANTES DE IR"/>
    <x v="2"/>
    <n v="316"/>
    <s v="Estado de la Infraestructura "/>
    <x v="19"/>
    <m/>
    <s v="DUFREY AREVALO SABOGAL"/>
    <m/>
    <m/>
    <m/>
    <n v="14"/>
    <d v="2026-10-08T00:00:00"/>
    <m/>
    <m/>
    <m/>
    <m/>
    <m/>
    <m/>
    <m/>
    <m/>
  </r>
  <r>
    <s v="PQR-IN-93_x000a_"/>
    <s v="3505/2026"/>
    <d v="2026-09-18T00:00:00"/>
    <s v="Verbal"/>
    <x v="3"/>
    <s v="USUARIO SOLICITA RECOLECCION DE 1 COLCHON Y UNA MALETA"/>
    <x v="0"/>
    <n v="503"/>
    <s v="Solicitud General"/>
    <x v="6"/>
    <m/>
    <s v="ALBA ISABEL VITATA"/>
    <m/>
    <m/>
    <m/>
    <n v="14"/>
    <d v="2026-10-08T00:00:00"/>
    <m/>
    <m/>
    <m/>
    <m/>
    <m/>
    <m/>
    <m/>
    <m/>
  </r>
  <r>
    <s v="PQR-SUI-198"/>
    <s v="3506/2026"/>
    <d v="2026-09-19T00:00:00"/>
    <s v="Verbal"/>
    <x v="0"/>
    <s v="USUARIA SOLICITA CAMBIO DE NOMBRE EN LA FACTURA"/>
    <x v="0"/>
    <n v="106"/>
    <s v="Datos Generales Incorrectos"/>
    <x v="0"/>
    <m/>
    <s v="SANDRA LILIANA VIRGEN REYES"/>
    <m/>
    <m/>
    <m/>
    <n v="14"/>
    <d v="2026-10-08T00:00:00"/>
    <m/>
    <m/>
    <m/>
    <m/>
    <m/>
    <m/>
    <m/>
    <m/>
  </r>
  <r>
    <s v="PQR-SUI-199"/>
    <s v="3507/2026"/>
    <d v="2026-09-19T00:00:00"/>
    <s v="Verbal"/>
    <x v="1"/>
    <s v="USUARIO SOLICITA CAMBIO DE LLAVE DE PASO"/>
    <x v="2"/>
    <n v="316"/>
    <s v="Estado de la Infraestructura "/>
    <x v="11"/>
    <m/>
    <s v="JORGE HUMBERTO GUEVARA"/>
    <m/>
    <m/>
    <m/>
    <n v="14"/>
    <d v="2026-10-08T00:00:00"/>
    <m/>
    <m/>
    <m/>
    <m/>
    <m/>
    <m/>
    <m/>
    <m/>
  </r>
  <r>
    <s v="PQR-SUI-200"/>
    <s v="3508/2026"/>
    <d v="2026-09-19T00:00:00"/>
    <s v="Verbal"/>
    <x v="4"/>
    <s v="USUARIA SOLICITA CAMBIO DE LA LLAVE DE PASO"/>
    <x v="2"/>
    <n v="316"/>
    <s v="Estado de la Infraestructura "/>
    <x v="11"/>
    <m/>
    <s v="LUZ MIRIAM HERNANDEZ"/>
    <m/>
    <m/>
    <m/>
    <n v="14"/>
    <d v="2026-10-08T00:00:00"/>
    <m/>
    <m/>
    <m/>
    <m/>
    <m/>
    <m/>
    <m/>
    <m/>
  </r>
  <r>
    <s v="PQR-IN-94_x000a_"/>
    <s v="3509/2026"/>
    <d v="2026-09-21T00:00:00"/>
    <s v="Documento Físico"/>
    <x v="6"/>
    <s v="SOLICITUD DE REVISIÓN PARA VIABILIDAD DE INSTALACIÓN DE LUMINARIA EN LA INTERSECCIÓN VÍAL - VILLA TATIANA - MIRADOR DEL CACIQUE"/>
    <x v="2"/>
    <n v="316"/>
    <s v="Estado de la Infraestructura "/>
    <x v="64"/>
    <m/>
    <s v="BUITRAGO PALOMARES RICARDO RICARDO"/>
    <m/>
    <m/>
    <m/>
    <n v="14"/>
    <d v="2026-10-08T00:00:00"/>
    <m/>
    <m/>
    <m/>
    <m/>
    <m/>
    <m/>
    <m/>
    <m/>
  </r>
  <r>
    <s v="PQR-SUI-201"/>
    <s v="3510/2026"/>
    <d v="2026-09-21T00:00:00"/>
    <s v="Verbal"/>
    <x v="5"/>
    <s v="USUARIA SOLICITA LIMPIAR SUMIDERO DE ALCANTARILLADO DEL SECTOR"/>
    <x v="2"/>
    <n v="316"/>
    <s v="Estado de la Infraestructura "/>
    <x v="13"/>
    <m/>
    <s v="FABIOLA ORTIZ AGUDELO"/>
    <m/>
    <m/>
    <m/>
    <n v="14"/>
    <d v="2026-10-09T00:00:00"/>
    <m/>
    <m/>
    <m/>
    <m/>
    <m/>
    <m/>
    <m/>
    <m/>
  </r>
  <r>
    <s v="PQR-SUI-202"/>
    <s v="3511/2026"/>
    <d v="2026-09-21T00:00:00"/>
    <s v="Verbal"/>
    <x v="1"/>
    <s v="USUARIO REPORTA DEFICIENCIA DE PRESION YA QUE LLEGA MUY POCA AGU AL PREDIO LLAMAR ANTES DE IR"/>
    <x v="2"/>
    <n v="304"/>
    <s v="Variaciones en las características del suministro o prestación del servicio"/>
    <x v="12"/>
    <m/>
    <s v="CRISTIAN ZAMIR QUINTERO RAMIREZ"/>
    <m/>
    <m/>
    <m/>
    <n v="14"/>
    <d v="2026-10-09T00:00:00"/>
    <m/>
    <m/>
    <m/>
    <m/>
    <m/>
    <m/>
    <m/>
    <m/>
  </r>
  <r>
    <s v="PQR-IN-95_x000a_"/>
    <s v="3512/2026"/>
    <d v="2026-09-21T00:00:00"/>
    <s v="Verbal"/>
    <x v="6"/>
    <s v="USUARIO REPORTA LUMINARIA APAGADA HACE 4 DIAS EN EL POSTE QUE ESTA AL LADO DE LA CARRERA 31 # 38 44"/>
    <x v="2"/>
    <n v="316"/>
    <s v="Estado de la Infraestructura "/>
    <x v="14"/>
    <m/>
    <s v="HECTOR GALINDO"/>
    <n v="10822260"/>
    <m/>
    <m/>
    <n v="14"/>
    <d v="2026-10-09T00:00:00"/>
    <m/>
    <m/>
    <m/>
    <m/>
    <m/>
    <m/>
    <m/>
    <m/>
  </r>
  <r>
    <s v="PQR-SUI-203"/>
    <s v="3513/2026"/>
    <d v="2026-09-21T00:00:00"/>
    <s v="Verbal"/>
    <x v="3"/>
    <s v="USUARIA REPORTA QUE NO SE EFECTUA RECOLECCION PUERTA A PUERTA YA VARIAS VECES NO LE RECOJEN ALGUNOS PREDIOS DE ESTA MANZANA LA BASURA"/>
    <x v="2"/>
    <n v="311"/>
    <s v="Frecuencias adicionales de recolección"/>
    <x v="44"/>
    <m/>
    <s v="MAGNOLIA VALENCIA TORO"/>
    <m/>
    <m/>
    <m/>
    <n v="14"/>
    <d v="2026-10-09T00:00:00"/>
    <m/>
    <m/>
    <m/>
    <m/>
    <m/>
    <m/>
    <m/>
    <m/>
  </r>
  <r>
    <s v="PQR-SUI-204"/>
    <s v="3514/2026"/>
    <d v="2026-09-21T00:00:00"/>
    <s v="Verbal"/>
    <x v="1"/>
    <s v="SOLICITUD DE REVISIÓN POR DAÑOS DESPUES DEL SISMO DEL 10 DE AGOSTO"/>
    <x v="0"/>
    <n v="316"/>
    <s v="Estado de la Infraestructura "/>
    <x v="19"/>
    <m/>
    <s v="MARIA AMPARO ZULUAGA MONTOYA"/>
    <m/>
    <m/>
    <m/>
    <n v="14"/>
    <d v="2026-10-09T00:00:00"/>
    <m/>
    <m/>
    <m/>
    <m/>
    <m/>
    <m/>
    <m/>
    <m/>
  </r>
  <r>
    <s v="PQR-SUI-205"/>
    <s v="3515/2026"/>
    <d v="2026-09-21T00:00:00"/>
    <s v="Verbal"/>
    <x v="3"/>
    <s v="USUARIO REPORTA PREDIO DESOCUPADOA. DIRECCION DE CORRESPONDENCIA: CRA 27 # 27-12 LAS FERIAS_x000a__x000a__x000a_"/>
    <x v="1"/>
    <n v="114"/>
    <s v="Descuento por predio desocupado"/>
    <x v="3"/>
    <m/>
    <s v="HERNANDEZ JULIA FONSECA DE"/>
    <m/>
    <m/>
    <m/>
    <n v="14"/>
    <d v="2026-10-09T00:00:00"/>
    <m/>
    <m/>
    <m/>
    <m/>
    <m/>
    <m/>
    <m/>
    <m/>
  </r>
  <r>
    <s v="PQR-SUI-206"/>
    <s v="3516/2026"/>
    <d v="2026-09-21T00:00:00"/>
    <s v="Documento Físico"/>
    <x v="5"/>
    <s v="DERECHO DE PETICIÓN - SOLICITUD DE LIMPIEZA Y MANTENIMIENTO DE TUBERIA DE ALCANTARILLADO DEL PREDIO UBICADO EN EL BARRIO VERSALLES CRA 17 CALLE 38"/>
    <x v="2"/>
    <n v="316"/>
    <s v="Estado de la Infraestructura "/>
    <x v="13"/>
    <m/>
    <s v="EDGAR CULMAN"/>
    <m/>
    <m/>
    <m/>
    <n v="14"/>
    <d v="2026-10-09T00:00:00"/>
    <m/>
    <m/>
    <m/>
    <m/>
    <m/>
    <m/>
    <m/>
    <m/>
  </r>
  <r>
    <s v="PQR-IN-96_x000a_"/>
    <s v="3517/2026"/>
    <d v="2026-09-21T00:00:00"/>
    <s v="Documento Físico"/>
    <x v="0"/>
    <s v="SOLICITUD DE CONEXIÓN DE SERVICIOS - CALLE 40 No. 16-16 APTO 101"/>
    <x v="0"/>
    <n v="502"/>
    <s v="Vinculación del Servicio"/>
    <x v="22"/>
    <m/>
    <s v="CLAUDIA MERCEDES ARANGO BELLO"/>
    <m/>
    <m/>
    <m/>
    <n v="14"/>
    <d v="2026-10-09T00:00:00"/>
    <m/>
    <m/>
    <m/>
    <m/>
    <m/>
    <m/>
    <m/>
    <m/>
  </r>
  <r>
    <s v="PQR-SUI-207"/>
    <s v="3518/2026"/>
    <d v="2026-09-21T00:00:00"/>
    <s v="Verbal"/>
    <x v="3"/>
    <s v="USUARIO REPORTA PREDIO DESOCUPADO"/>
    <x v="1"/>
    <n v="114"/>
    <s v="Descuento por predio desocupado"/>
    <x v="3"/>
    <m/>
    <s v="POLANIA OSORIO EVELYN LILIANA"/>
    <m/>
    <m/>
    <m/>
    <n v="14"/>
    <d v="2026-10-09T00:00:00"/>
    <m/>
    <m/>
    <m/>
    <m/>
    <m/>
    <m/>
    <m/>
    <m/>
  </r>
  <r>
    <s v="PQR-SUI-208"/>
    <s v="3519/2026"/>
    <d v="2026-09-21T00:00:00"/>
    <s v="Verbal"/>
    <x v="3"/>
    <s v="USUARIO REPORTA PREDIO DESOCUPADO"/>
    <x v="1"/>
    <n v="114"/>
    <s v="Descuento por predio desocupado"/>
    <x v="3"/>
    <m/>
    <s v="OLMA CECILIA MENDEZ GALINDO"/>
    <m/>
    <m/>
    <m/>
    <n v="14"/>
    <d v="2026-10-09T00:00:00"/>
    <m/>
    <m/>
    <m/>
    <m/>
    <m/>
    <m/>
    <m/>
    <m/>
  </r>
  <r>
    <s v="PQR-IN-97_x000a_"/>
    <s v="3520/2026"/>
    <d v="2026-09-21T00:00:00"/>
    <s v="Verbal"/>
    <x v="3"/>
    <s v="USUARIA SOLICITA QUE RECOJAN UNOS COLCHONES CAJONES VARIAS COSAS EN LA DIRECCION CL 18 # 30-40"/>
    <x v="0"/>
    <n v="503"/>
    <s v="Solicitud General"/>
    <x v="6"/>
    <m/>
    <s v="RUBIELA DIAZ COBALEDA"/>
    <m/>
    <m/>
    <m/>
    <n v="14"/>
    <d v="2026-10-09T00:00:00"/>
    <m/>
    <m/>
    <m/>
    <m/>
    <m/>
    <m/>
    <m/>
    <m/>
  </r>
  <r>
    <s v="PQR-SUI-209"/>
    <s v="3521/2026"/>
    <d v="2026-09-21T00:00:00"/>
    <s v="Verbal"/>
    <x v="5"/>
    <s v="USUARIO SOLICITA LIMPIAR SUMIDERO DE ALCANTARILLADO DEL SECTOR"/>
    <x v="2"/>
    <n v="316"/>
    <s v="Estado de la Infraestructura "/>
    <x v="13"/>
    <m/>
    <s v="VICTOR ALFONSO VALENCIA"/>
    <m/>
    <m/>
    <m/>
    <n v="14"/>
    <d v="2026-10-09T00:00:00"/>
    <m/>
    <m/>
    <m/>
    <m/>
    <m/>
    <m/>
    <m/>
    <m/>
  </r>
  <r>
    <s v="PQR-SUI-210"/>
    <s v="3522/2026"/>
    <d v="2026-09-21T00:00:00"/>
    <s v="Verbal"/>
    <x v="1"/>
    <s v="USUARIA SOLICITA CAMBIO DE LA LLAVE DE PASO"/>
    <x v="2"/>
    <n v="316"/>
    <s v="Estado de la Infraestructura "/>
    <x v="11"/>
    <m/>
    <s v="LUZ NELLY MORALES"/>
    <m/>
    <m/>
    <m/>
    <n v="14"/>
    <d v="2026-10-09T00:00:00"/>
    <m/>
    <m/>
    <m/>
    <m/>
    <m/>
    <m/>
    <m/>
    <m/>
  </r>
  <r>
    <s v="PQR-SUI-211"/>
    <s v="3523/2026"/>
    <d v="2026-09-21T00:00:00"/>
    <s v="Verbal"/>
    <x v="5"/>
    <s v="USUARIO REPORTA DAÑO EN LA RED DE ALCANTARILLADO EL CUAL PERJUDICA A TRES VIVIENDAS DEL SECTOR"/>
    <x v="2"/>
    <n v="316"/>
    <s v="Estado de la Infraestructura "/>
    <x v="9"/>
    <m/>
    <s v="ARLES LOAIZA LOAIZA"/>
    <n v="6018260"/>
    <m/>
    <m/>
    <n v="14"/>
    <d v="2026-10-09T00:00:00"/>
    <m/>
    <m/>
    <m/>
    <m/>
    <m/>
    <m/>
    <m/>
    <m/>
  </r>
  <r>
    <s v="PQR-SUI-212"/>
    <s v="3524/2026"/>
    <d v="2026-09-21T00:00:00"/>
    <s v="Verbal"/>
    <x v="5"/>
    <s v="209662 USUARIO SOLICITA LIMPIA DE LOS SUMIDEROS DEL SECTOR YA QUE ESTAN TAPADOS"/>
    <x v="2"/>
    <n v="316"/>
    <s v="Estado de la Infraestructura "/>
    <x v="13"/>
    <m/>
    <s v="EBER HURTADO GARCIA"/>
    <m/>
    <m/>
    <m/>
    <n v="14"/>
    <d v="2026-10-09T00:00:00"/>
    <m/>
    <m/>
    <m/>
    <m/>
    <m/>
    <m/>
    <m/>
    <m/>
  </r>
  <r>
    <s v="PQR-SUI-213"/>
    <s v="3525/2026"/>
    <d v="2026-09-21T00:00:00"/>
    <s v="Verbal"/>
    <x v="4"/>
    <s v="USUARIO SOLICIA DESCUENTO EN COBRO DE CONSUMO DE ACUERDO A RADICADO EMCA-PQRS-2914-2026"/>
    <x v="1"/>
    <n v="127"/>
    <s v="Inconformidad por desviación significativa"/>
    <x v="5"/>
    <m/>
    <s v="CARMEN DAVILA DE ALZATE"/>
    <m/>
    <m/>
    <m/>
    <n v="14"/>
    <d v="2026-10-09T00:00:00"/>
    <m/>
    <m/>
    <m/>
    <m/>
    <m/>
    <m/>
    <m/>
    <m/>
  </r>
  <r>
    <s v="PQR-IN-97_x000a_"/>
    <s v="3526/2026"/>
    <d v="2026-09-21T00:00:00"/>
    <s v="Documento Físico"/>
    <x v="4"/>
    <s v="SOLICITUD DE REVISIÓN Y AJUSTE EN LA FACTURACIÓN DEL SERVICIO DE ACUEDUCTO POR DAÑOS OCASIONADOS EN EL TERREMOTO CODIGO DE USUARIO 1203060"/>
    <x v="1"/>
    <n v="127"/>
    <s v="Inconformidad por desviación significativa"/>
    <x v="5"/>
    <m/>
    <s v="JENNY CECILIA ECHEVERRY GALLEGO"/>
    <n v="1203060"/>
    <m/>
    <m/>
    <n v="14"/>
    <d v="2026-10-09T00:00:00"/>
    <m/>
    <m/>
    <m/>
    <m/>
    <m/>
    <m/>
    <m/>
    <m/>
  </r>
  <r>
    <s v="PQR-SUI-214"/>
    <s v="3527/2026"/>
    <d v="2026-09-21T00:00:00"/>
    <s v="Verbal"/>
    <x v="5"/>
    <s v="DERECHO DE PETICIÓN - SOLICITUD DE REVISIÓN Y MANTENIMIENTO DE REDES DE ALCANTARILLADO - CONGAL 1 BARCELONA"/>
    <x v="2"/>
    <n v="316"/>
    <s v="Estado de la Infraestructura "/>
    <x v="9"/>
    <m/>
    <s v="ENRIQUE JORGE JORGE"/>
    <m/>
    <m/>
    <m/>
    <n v="14"/>
    <d v="2026-10-09T00:00:00"/>
    <m/>
    <m/>
    <m/>
    <m/>
    <m/>
    <m/>
    <m/>
    <m/>
  </r>
  <r>
    <s v="PQR-SUI-215"/>
    <s v="3528/2026"/>
    <d v="2026-09-21T00:00:00"/>
    <s v="Verbal"/>
    <x v="4"/>
    <s v="USUARIO SOLICITA QUE TAPEN EL HUECO DEL TRABAJO QUE REALIZARON YA QUE DEBIDO A ESTE HUECO ESTA CAUSANDO PELIGRO A QUE SE CAIGA UNA PERSONA"/>
    <x v="2"/>
    <n v="316"/>
    <s v="Estado de la Infraestructura "/>
    <x v="7"/>
    <m/>
    <s v="MARIO ALBERTO PALACIO PALACIO"/>
    <m/>
    <m/>
    <m/>
    <n v="14"/>
    <d v="2026-10-09T00:00:00"/>
    <m/>
    <m/>
    <m/>
    <m/>
    <m/>
    <m/>
    <m/>
    <m/>
  </r>
  <r>
    <s v="PQR-SUI-216"/>
    <s v="3529/2026"/>
    <d v="2026-09-21T00:00:00"/>
    <s v="Verbal"/>
    <x v="3"/>
    <s v="USUARIO REPORTA PREDIO DESOCUPADO HACE MAS DE 3 MESES"/>
    <x v="1"/>
    <n v="114"/>
    <s v="Descuento por predio desocupado"/>
    <x v="3"/>
    <m/>
    <s v="LUIS ALEJANDRO RODRIGUEZ"/>
    <n v="1239068"/>
    <m/>
    <m/>
    <n v="14"/>
    <d v="2026-10-09T00:00:00"/>
    <m/>
    <m/>
    <m/>
    <m/>
    <m/>
    <m/>
    <m/>
    <m/>
  </r>
  <r>
    <s v="PQR-IN-99_x000a_"/>
    <s v="3530/2026"/>
    <d v="2026-09-21T00:00:00"/>
    <s v="Verbal"/>
    <x v="3"/>
    <s v="USUARIA SOLICITA RECOLECCION DE RESIDUOS UN MUEBLE"/>
    <x v="0"/>
    <n v="503"/>
    <s v="Solicitud General"/>
    <x v="6"/>
    <m/>
    <s v="DIANA MILENA GIRALDO MORALES"/>
    <m/>
    <m/>
    <m/>
    <n v="14"/>
    <d v="2026-10-09T00:00:00"/>
    <m/>
    <m/>
    <m/>
    <m/>
    <m/>
    <m/>
    <m/>
    <m/>
  </r>
  <r>
    <s v="PQR-SUI-217"/>
    <s v="3531/2026"/>
    <d v="2026-09-22T00:00:00"/>
    <s v="Correo Electrónico"/>
    <x v="4"/>
    <s v="RECURSO DE REPOSICIÓN Y EN SUBSIDIO DE APELACIÓN CONTRA RESPUESTA EMCA-I-4622-2026 DE LA SOLICITUD PQR 1491-127"/>
    <x v="1"/>
    <n v="127"/>
    <s v="Inconformidad por desviación significativa"/>
    <x v="5"/>
    <m/>
    <s v="LEIDY VIVIANA BARAHONA"/>
    <m/>
    <m/>
    <m/>
    <n v="14"/>
    <d v="2026-10-09T00:00:00"/>
    <m/>
    <m/>
    <m/>
    <m/>
    <m/>
    <m/>
    <m/>
    <m/>
  </r>
  <r>
    <s v="PQR-SUI-218"/>
    <s v="3532/2026"/>
    <d v="2026-09-22T00:00:00"/>
    <s v="Verbal"/>
    <x v="0"/>
    <s v="SOLICITUD DUPLICADO DE FACTURAS CÓDIGOS 1207980-1198480"/>
    <x v="0"/>
    <n v="503"/>
    <s v="Solicitud General"/>
    <x v="36"/>
    <m/>
    <s v="ALEJANDRA SANABRIA SANABRIA"/>
    <m/>
    <m/>
    <s v="sanabria.vertebra@gmail.com"/>
    <n v="14"/>
    <d v="2026-10-13T00:00:00"/>
    <m/>
    <m/>
    <m/>
    <m/>
    <m/>
    <m/>
    <m/>
    <m/>
  </r>
  <r>
    <s v="PQR-IN-100"/>
    <s v="3533/2026"/>
    <d v="2026-09-22T00:00:00"/>
    <s v="Verbal"/>
    <x v="6"/>
    <s v="USUARIO RPORTA LUMINARIA APAGADA EN EL POSTE QUE ESTA EN LA CR 23 # 44-30 ESQUINA DE LA VARIANTE"/>
    <x v="2"/>
    <n v="316"/>
    <s v="Estado de la Infraestructura "/>
    <x v="14"/>
    <m/>
    <s v="RODRIGO GUTIERREZ"/>
    <n v="1026080"/>
    <m/>
    <m/>
    <n v="14"/>
    <d v="2026-10-13T00:00:00"/>
    <m/>
    <m/>
    <m/>
    <m/>
    <m/>
    <m/>
    <m/>
    <m/>
  </r>
  <r>
    <s v="PQR-SUI-219"/>
    <s v="3534/2026"/>
    <d v="2026-09-22T00:00:00"/>
    <s v="Verbal"/>
    <x v="4"/>
    <s v="DERECHO DE PETICIÓN -SOLICITUD DE REVISIÓN DEL CONSUMO DE ACUEDUCTO POR INCREMENTO SIGNIFICATIVO DEL PREDIO UBICADO EN LA CRA 18 No. 34-29"/>
    <x v="1"/>
    <n v="127"/>
    <s v="PQR-SUI-241"/>
    <x v="5"/>
    <m/>
    <s v="JUAN PABLO MORA"/>
    <m/>
    <m/>
    <m/>
    <n v="14"/>
    <d v="2026-10-13T00:00:00"/>
    <m/>
    <m/>
    <m/>
    <m/>
    <m/>
    <m/>
    <m/>
    <m/>
  </r>
  <r>
    <s v="PQR-IN-101"/>
    <s v="3535/2026"/>
    <d v="2026-09-22T00:00:00"/>
    <s v="Verbal"/>
    <x v="7"/>
    <s v="CESIÓN DE LOCAL COMERCIAL DE LA PLAZA DE MERCADO"/>
    <x v="0"/>
    <n v="503"/>
    <s v="Solicitud General"/>
    <x v="65"/>
    <m/>
    <s v="MARIELA CAICEDO"/>
    <m/>
    <m/>
    <s v="JOHANANDRESRODRIGUEZ83@HOTMAIL.COM"/>
    <n v="14"/>
    <d v="2026-10-13T00:00:00"/>
    <m/>
    <m/>
    <m/>
    <m/>
    <m/>
    <m/>
    <m/>
    <m/>
  </r>
  <r>
    <s v="PQR-SUI-220"/>
    <s v="3536/2026"/>
    <d v="2026-09-22T00:00:00"/>
    <s v="Verbal"/>
    <x v="0"/>
    <s v="SOLICITUD DE ENVIO DE LA FACTURA DEL SERVICIO DE ACUEDUCTO DEL PREDIO UBICADO EN LA CRA 26 No. 46-20 Y 46-24 BARRIO ANTONIO NARIÑO"/>
    <x v="0"/>
    <n v="503"/>
    <s v="Solicitud General"/>
    <x v="36"/>
    <m/>
    <s v="ELSY OMAIRA CARVAJAL FERNANDEZ"/>
    <m/>
    <m/>
    <m/>
    <n v="14"/>
    <d v="2026-10-13T00:00:00"/>
    <m/>
    <m/>
    <m/>
    <m/>
    <m/>
    <m/>
    <m/>
    <m/>
  </r>
  <r>
    <s v="PQR-IN-102"/>
    <s v="3537/2026"/>
    <d v="2026-09-22T00:00:00"/>
    <s v="Verbal"/>
    <x v="5"/>
    <s v="DERECHO DE PETICIÓN - SOLICITUD DE REVISIÓN A POZO SEPTICO POR DESBORDE - FINCA EL TESORO PUERTO BARCELONA"/>
    <x v="2"/>
    <n v="316"/>
    <s v="Estado de la Infraestructura "/>
    <x v="51"/>
    <m/>
    <s v="AYDEE SOSSA ALVAREZ"/>
    <m/>
    <m/>
    <m/>
    <n v="14"/>
    <d v="2026-10-13T00:00:00"/>
    <m/>
    <m/>
    <m/>
    <m/>
    <m/>
    <m/>
    <m/>
    <m/>
  </r>
  <r>
    <s v="PQR-IN-103"/>
    <s v="3538/2026"/>
    <d v="2026-09-22T00:00:00"/>
    <s v="Verbal"/>
    <x v="2"/>
    <s v="SOLICITUD DE CARACTERIZACIÓN DE AGUAS RESIDUALES DOMESTICAS"/>
    <x v="0"/>
    <n v="503"/>
    <s v="Solicitud General"/>
    <x v="2"/>
    <m/>
    <s v="JOSE GILBERTO GARCIA GARCIA"/>
    <m/>
    <m/>
    <m/>
    <n v="14"/>
    <d v="2026-10-13T00:00:00"/>
    <m/>
    <m/>
    <m/>
    <m/>
    <m/>
    <m/>
    <m/>
    <m/>
  </r>
  <r>
    <s v="PQR-SUI-221"/>
    <s v="3539/2026"/>
    <d v="2026-09-22T00:00:00"/>
    <s v="Verbal"/>
    <x v="1"/>
    <s v="FUGA DE MEDIDOR"/>
    <x v="2"/>
    <n v="316"/>
    <s v="Estado de la Infraestructura "/>
    <x v="19"/>
    <m/>
    <s v="OSMED ZAPATA MEJIA"/>
    <m/>
    <m/>
    <m/>
    <n v="14"/>
    <d v="2026-10-13T00:00:00"/>
    <m/>
    <m/>
    <m/>
    <m/>
    <m/>
    <m/>
    <m/>
    <m/>
  </r>
  <r>
    <s v="PQR-SUI-222"/>
    <s v="3540/2026"/>
    <d v="2026-09-22T00:00:00"/>
    <s v="Verbal"/>
    <x v="4"/>
    <s v="USUARIO REPORTA FUGA EN RED DOMICILIARIA"/>
    <x v="2"/>
    <n v="316"/>
    <s v="Estado de la Infraestructura "/>
    <x v="20"/>
    <m/>
    <s v="JULIAN MARTINEZ ROJAS"/>
    <n v="1021060"/>
    <m/>
    <m/>
    <n v="14"/>
    <d v="2026-10-13T00:00:00"/>
    <m/>
    <m/>
    <m/>
    <m/>
    <m/>
    <m/>
    <m/>
    <m/>
  </r>
  <r>
    <s v="PQR-SUI-223"/>
    <s v="3541/2026"/>
    <d v="2026-09-22T00:00:00"/>
    <s v="Verbal"/>
    <x v="4"/>
    <s v="DERECHO DE PETICIÓN - SOLICITUD DE VISITA TÉCNICA PARA VERIFICACIÓN DE ESTADO DE TUBERIA - CONJUNTO RESIDENCIAL BIOMA MZ H CASA 4"/>
    <x v="2"/>
    <n v="316"/>
    <s v="Estado de la Infraestructura "/>
    <x v="18"/>
    <m/>
    <s v="CESAR ANTONIO ARISTIZABAL RODAS"/>
    <m/>
    <m/>
    <m/>
    <n v="14"/>
    <d v="2026-10-13T00:00:00"/>
    <m/>
    <m/>
    <m/>
    <m/>
    <m/>
    <m/>
    <m/>
    <m/>
  </r>
  <r>
    <s v="PQR-SUI-224"/>
    <s v="3542/2026"/>
    <d v="2026-09-22T00:00:00"/>
    <s v="Verbal"/>
    <x v="4"/>
    <s v="USUARIO SOLICIA DESCUENTO EN COBRO DE CONSUMO DE ACUERDO A RADICADO EMCA-PQRS-3070-2026"/>
    <x v="1"/>
    <n v="127"/>
    <s v="Inconformidad por desviación significativa"/>
    <x v="66"/>
    <m/>
    <s v="ALFONSO LÓPEZ AGUIRRE"/>
    <n v="1012960"/>
    <n v="3137268488"/>
    <s v="poncholopezaguirre@gmail.com"/>
    <n v="14"/>
    <d v="2026-10-13T00:00:00"/>
    <m/>
    <m/>
    <m/>
    <m/>
    <m/>
    <m/>
    <m/>
    <m/>
  </r>
  <r>
    <s v="PQR-SUI-225"/>
    <s v="3543/2026"/>
    <d v="2026-09-22T00:00:00"/>
    <s v="Verbal"/>
    <x v="4"/>
    <s v="DERECHO DE PETICIÓN - RECLAMACIÓN POR INCREMENTO INJUSTIFICADO EN LA FACTURACIÓN CODIGO DE USUARIO 1251095"/>
    <x v="1"/>
    <n v="127"/>
    <s v="Inconformidad por desviación significativa"/>
    <x v="66"/>
    <m/>
    <s v="MA. DEL TANGARIFE MORALES"/>
    <n v="1251095"/>
    <m/>
    <m/>
    <n v="14"/>
    <d v="2026-10-13T00:00:00"/>
    <m/>
    <m/>
    <m/>
    <m/>
    <m/>
    <m/>
    <m/>
    <m/>
  </r>
  <r>
    <s v="PQR-IN-104"/>
    <s v="3544/2026"/>
    <d v="2026-09-22T00:00:00"/>
    <s v="Verbal"/>
    <x v="6"/>
    <s v="SOLICITUD DE REVISIÓN DE LUMINARIA INSTALADA PARA REUBICACIÓN - EL CONGAL 1 TRANSVERSAL B No. 508"/>
    <x v="2"/>
    <n v="316"/>
    <s v="Estado de la Infraestructura "/>
    <x v="67"/>
    <m/>
    <s v="EMMA GALLEGO MARIA"/>
    <m/>
    <m/>
    <m/>
    <n v="14"/>
    <d v="2026-10-13T00:00:00"/>
    <m/>
    <m/>
    <m/>
    <m/>
    <m/>
    <m/>
    <m/>
    <m/>
  </r>
  <r>
    <s v="PQR-SUI-226"/>
    <s v="3545/2026"/>
    <d v="2026-09-22T00:00:00"/>
    <s v="Verbal"/>
    <x v="3"/>
    <s v="1253892 USUARIA REPORTA PREDIO DESOCUPADO"/>
    <x v="1"/>
    <n v="114"/>
    <s v="Descuento por predio desocupado"/>
    <x v="3"/>
    <m/>
    <s v="MARIA NANCY OVALLE SERNA"/>
    <m/>
    <m/>
    <m/>
    <n v="14"/>
    <d v="2026-10-13T00:00:00"/>
    <m/>
    <m/>
    <m/>
    <m/>
    <m/>
    <m/>
    <m/>
    <m/>
  </r>
  <r>
    <s v="PQR-SUI-227"/>
    <s v="3546/2026"/>
    <d v="2026-09-22T00:00:00"/>
    <s v="Verbal"/>
    <x v="0"/>
    <s v="SOLICITUD DUPLICADO DE FACTURAS CÓDIGOS 1027880, 1029020, 1193500, Y 1193510"/>
    <x v="0"/>
    <n v="503"/>
    <s v="Solicitud General"/>
    <x v="36"/>
    <m/>
    <s v="GRUPO EXITO"/>
    <m/>
    <m/>
    <m/>
    <n v="14"/>
    <d v="2026-10-13T00:00:00"/>
    <m/>
    <m/>
    <m/>
    <m/>
    <m/>
    <m/>
    <m/>
    <m/>
  </r>
  <r>
    <s v="PQR-IN-105"/>
    <s v="3547/2026"/>
    <d v="2026-09-22T00:00:00"/>
    <s v="Verbal"/>
    <x v="3"/>
    <s v="REPORTE DE PREDIO DESOCUPADO UBICADO EN BARRIO GUADUALES MZ D CASA 5 PISO 2 ETAPA 1 CODIGO DE USUARIO 1250482"/>
    <x v="1"/>
    <n v="114"/>
    <s v="Descuento por predio desocupado"/>
    <x v="3"/>
    <m/>
    <s v="LEIDI ARIAS GRAJALES"/>
    <m/>
    <m/>
    <m/>
    <n v="14"/>
    <d v="2026-10-13T00:00:00"/>
    <m/>
    <m/>
    <m/>
    <m/>
    <m/>
    <m/>
    <m/>
    <m/>
  </r>
  <r>
    <s v="PQR-SUI-228"/>
    <s v="3548/2026"/>
    <d v="2026-09-22T00:00:00"/>
    <s v="Correo Electrónico"/>
    <x v="0"/>
    <s v="SOLICITUD DE ENVIO POR CORREO ELECTRONICO DE LA FACTURA DEL SERVICIO DE ACUEDUCTO CODIGO DE USUARIO 1250482"/>
    <x v="0"/>
    <n v="503"/>
    <s v="Solicitud General"/>
    <x v="36"/>
    <m/>
    <s v="LEIDI ARIAS GRAJALES"/>
    <m/>
    <m/>
    <m/>
    <n v="14"/>
    <d v="2026-10-13T00:00:00"/>
    <m/>
    <m/>
    <m/>
    <m/>
    <m/>
    <m/>
    <m/>
    <m/>
  </r>
  <r>
    <s v="PQR-SUI-229"/>
    <s v="3549/2026"/>
    <d v="2026-09-22T00:00:00"/>
    <s v="Verbal"/>
    <x v="3"/>
    <s v="DESCUENTO POR PREDIO DESOCUPADO"/>
    <x v="1"/>
    <n v="114"/>
    <s v="Descuento por predio desocupado"/>
    <x v="3"/>
    <m/>
    <s v="ALBA LUCIA LOPEZ CASTAÑO"/>
    <m/>
    <m/>
    <m/>
    <n v="14"/>
    <d v="2026-10-13T00:00:00"/>
    <m/>
    <m/>
    <m/>
    <m/>
    <m/>
    <m/>
    <m/>
    <m/>
  </r>
  <r>
    <s v="PQR-SUI-230"/>
    <s v="3550/2026"/>
    <d v="2026-09-22T00:00:00"/>
    <s v="Verbal"/>
    <x v="3"/>
    <s v="PREDIO DESOCUPADO"/>
    <x v="1"/>
    <n v="114"/>
    <s v="Descuento por predio desocupado"/>
    <x v="3"/>
    <m/>
    <s v="ALBA LUCIA LOPEZ CASTAÑO"/>
    <m/>
    <m/>
    <m/>
    <n v="14"/>
    <d v="2026-10-13T00:00:00"/>
    <m/>
    <m/>
    <m/>
    <m/>
    <m/>
    <m/>
    <m/>
    <m/>
  </r>
  <r>
    <s v="PQR-IN-106"/>
    <s v="3551/2026"/>
    <d v="2026-09-22T00:00:00"/>
    <s v="Correo Electrónico"/>
    <x v="6"/>
    <s v="USUARIA REPORTA LUMINARIA FUNDIDA EN LA DIRECCION GUADUALES III MZ N CASA 1 NUMERO DE POSTE 2623,2627"/>
    <x v="2"/>
    <n v="316"/>
    <s v="Estado de la Infraestructura "/>
    <x v="14"/>
    <m/>
    <s v="ROSALBA GUERRERO DAVILA"/>
    <m/>
    <m/>
    <m/>
    <n v="14"/>
    <d v="2026-10-13T00:00:00"/>
    <m/>
    <m/>
    <m/>
    <m/>
    <m/>
    <m/>
    <m/>
    <m/>
  </r>
  <r>
    <s v="PQR-IN-107"/>
    <s v="3552/2026"/>
    <d v="2026-09-22T00:00:00"/>
    <s v="Documento Físico"/>
    <x v="0"/>
    <s v="SOLICITUD CONEXION DE SERVICIOS CRA 32 No. 9-152 - CABO MARIPOSA LOTE 01"/>
    <x v="0"/>
    <n v="502"/>
    <s v="Vinculación del Servicio"/>
    <x v="22"/>
    <m/>
    <s v="JAVIER ESTEBAN GONZALEZ"/>
    <m/>
    <m/>
    <m/>
    <n v="14"/>
    <d v="2026-10-13T00:00:00"/>
    <m/>
    <m/>
    <m/>
    <m/>
    <m/>
    <m/>
    <m/>
    <m/>
  </r>
  <r>
    <s v="PQR-SUI-231"/>
    <s v="3553/2026"/>
    <d v="2026-09-22T00:00:00"/>
    <s v="Verbal"/>
    <x v="3"/>
    <s v="1252888 USUARIO REPORTA PREDIO DESOCUPADO"/>
    <x v="1"/>
    <n v="114"/>
    <s v="Descuento por predio desocupado"/>
    <x v="3"/>
    <m/>
    <s v="WILSON BURGOS SILVA"/>
    <n v="1252888"/>
    <m/>
    <m/>
    <n v="14"/>
    <d v="2026-10-13T00:00:00"/>
    <m/>
    <m/>
    <m/>
    <m/>
    <m/>
    <m/>
    <m/>
    <m/>
  </r>
  <r>
    <s v="PQR-SUI-232"/>
    <s v="3554/2026"/>
    <d v="2026-09-22T00:00:00"/>
    <s v="Verbal"/>
    <x v="1"/>
    <s v="FUGA DE MEDIDOR"/>
    <x v="2"/>
    <n v="316"/>
    <s v="Estado de la Infraestructura "/>
    <x v="19"/>
    <m/>
    <s v="ANDERSON ESTEFAN RAMIREZ ALAP"/>
    <m/>
    <m/>
    <m/>
    <n v="14"/>
    <d v="2026-10-13T00:00:00"/>
    <m/>
    <m/>
    <m/>
    <m/>
    <m/>
    <m/>
    <m/>
    <m/>
  </r>
  <r>
    <s v="PQR-SUI-233"/>
    <s v="3555/2026"/>
    <d v="2026-09-22T00:00:00"/>
    <s v="Verbal"/>
    <x v="1"/>
    <s v="CAMBIO DE LLAVE"/>
    <x v="2"/>
    <n v="316"/>
    <s v="Estado de la Infraestructura "/>
    <x v="11"/>
    <m/>
    <s v="ANDERSON ESTEFAN RAMIREZ ALAP"/>
    <m/>
    <m/>
    <m/>
    <n v="14"/>
    <d v="2026-10-13T00:00:00"/>
    <m/>
    <m/>
    <m/>
    <m/>
    <m/>
    <m/>
    <m/>
    <m/>
  </r>
  <r>
    <s v="PQR-SUI-234"/>
    <s v="3556/2026"/>
    <d v="2026-09-22T00:00:00"/>
    <s v="Verbal"/>
    <x v="5"/>
    <s v="DAÑO RED DE ALCANTARILLADO"/>
    <x v="2"/>
    <n v="316"/>
    <s v="Estado de la Infraestructura "/>
    <x v="9"/>
    <m/>
    <s v="MELIDA CRUZ"/>
    <m/>
    <m/>
    <m/>
    <n v="14"/>
    <d v="2026-10-13T00:00:00"/>
    <m/>
    <m/>
    <m/>
    <m/>
    <m/>
    <m/>
    <m/>
    <m/>
  </r>
  <r>
    <s v="PQR-SUI-235"/>
    <s v="3557/2026"/>
    <d v="2026-09-22T00:00:00"/>
    <s v="Verbal"/>
    <x v="5"/>
    <s v="USUARIA SOLICITA LIMPIA DE LOS SUMIDEROS DEL SECTOR"/>
    <x v="2"/>
    <n v="316"/>
    <s v="Estado de la Infraestructura "/>
    <x v="13"/>
    <m/>
    <s v="MERY MARTINEZ BLANCA"/>
    <n v="1165840"/>
    <m/>
    <m/>
    <n v="14"/>
    <d v="2026-10-13T00:00:00"/>
    <m/>
    <m/>
    <m/>
    <m/>
    <m/>
    <m/>
    <m/>
    <m/>
  </r>
  <r>
    <s v="PQR-SUI-237"/>
    <s v="3559/2026"/>
    <d v="2026-09-22T00:00:00"/>
    <s v="Verbal"/>
    <x v="0"/>
    <s v="SUSCIRPTOR QUE PAGA Y NO SE APLICA EN LA FACTURA"/>
    <x v="1"/>
    <n v="122"/>
    <s v="Suscriptor que efectúa el pago pero este no es aplicado por la empresa en la facturación"/>
    <x v="26"/>
    <m/>
    <s v="DORA LILIA CANASTEROS HERNANDEZ"/>
    <m/>
    <m/>
    <m/>
    <n v="14"/>
    <d v="2026-10-13T00:00:00"/>
    <m/>
    <m/>
    <m/>
    <m/>
    <m/>
    <m/>
    <m/>
    <m/>
  </r>
  <r>
    <s v="PQR-SUI-238"/>
    <s v="3560/2026"/>
    <d v="2026-09-22T00:00:00"/>
    <s v="Correo Electrónico"/>
    <x v="3"/>
    <s v="2026EE-7007- SLICITUD DE INCLUSIÓN DE ZONA VERDE DEL BARRIO VERANERAS CORREGIMIENTO DE BARCELONA EN EL SERVICIO PÚBLICO DE ASEO"/>
    <x v="0"/>
    <n v="503"/>
    <s v="Solicitud General"/>
    <x v="68"/>
    <m/>
    <s v="ALCALDIA CALARCÁ"/>
    <m/>
    <m/>
    <s v="asuntosadministrativos@calarca-quindio.gov.co"/>
    <n v="14"/>
    <d v="2026-10-13T00:00:00"/>
    <m/>
    <m/>
    <m/>
    <m/>
    <m/>
    <m/>
    <m/>
    <m/>
  </r>
  <r>
    <s v="PQR-SUI-239"/>
    <s v="3561/2026"/>
    <d v="2026-09-23T00:00:00"/>
    <s v="Documento Físico"/>
    <x v="0"/>
    <s v="SOLICITUD DE REVISIÓN Y ACLARACIÓN DE PAGO DEL CODIGO DE USUARIO 1121620"/>
    <x v="1"/>
    <n v="122"/>
    <s v="Suscriptor que efectúa el pago pero este no es aplicado por la empresa en la facturación"/>
    <x v="26"/>
    <m/>
    <s v="NATALIA BERNAL"/>
    <n v="1121620"/>
    <m/>
    <m/>
    <n v="14"/>
    <d v="2026-10-13T00:00:00"/>
    <m/>
    <m/>
    <m/>
    <m/>
    <m/>
    <m/>
    <m/>
    <m/>
  </r>
  <r>
    <s v="PQR-SUI-240"/>
    <s v="3562/2026"/>
    <d v="2026-09-23T00:00:00"/>
    <s v="Verbal"/>
    <x v="3"/>
    <s v="USUARIO SOLICIA DESCUENTO DE RECARGOS POR PAGO DE CONTADO"/>
    <x v="1"/>
    <n v="111"/>
    <s v="Cobro de cargos relacionados con intereses de mora, refinanciación, cartera o acuerdos de pago"/>
    <x v="69"/>
    <m/>
    <s v="NOHEMY JURADO"/>
    <m/>
    <m/>
    <m/>
    <n v="14"/>
    <d v="2026-10-14T00:00:00"/>
    <m/>
    <m/>
    <m/>
    <m/>
    <m/>
    <m/>
    <m/>
    <m/>
  </r>
  <r>
    <s v="PQR-IN-108"/>
    <s v="3563/2026"/>
    <d v="2026-09-23T00:00:00"/>
    <s v="Verbal"/>
    <x v="6"/>
    <s v="USUARIA REPORTA LUMINARIA APAGADA EN EL POSTE UBICADO URB LA PRIMAVERA MZ 12 CASA 15"/>
    <x v="2"/>
    <n v="316"/>
    <s v="Estado de la Infraestructura "/>
    <x v="14"/>
    <m/>
    <s v="HORACIO YAYA MORENO"/>
    <n v="1254380"/>
    <m/>
    <m/>
    <n v="14"/>
    <d v="2026-10-14T00:00:00"/>
    <m/>
    <m/>
    <m/>
    <m/>
    <m/>
    <m/>
    <m/>
    <m/>
  </r>
  <r>
    <s v="PQR-SUI-241"/>
    <s v="3564/2026"/>
    <d v="2026-09-23T00:00:00"/>
    <s v="Verbal"/>
    <x v="4"/>
    <s v="INCONFORMIDAD POR DESVIACION SIGNIFICATIVA"/>
    <x v="1"/>
    <n v="127"/>
    <s v="Inconformidad por desviación significativa"/>
    <x v="5"/>
    <m/>
    <s v="JHON FREDY GARCIA PEÑA"/>
    <m/>
    <m/>
    <m/>
    <n v="14"/>
    <d v="2026-10-14T00:00:00"/>
    <m/>
    <m/>
    <m/>
    <m/>
    <m/>
    <m/>
    <m/>
    <m/>
  </r>
  <r>
    <s v="PQR-IN-109"/>
    <s v="3565/2026"/>
    <d v="2026-09-23T00:00:00"/>
    <s v="Verbal"/>
    <x v="3"/>
    <s v="USUARIO SOLICITA RECOLECCION DE MUEBLE EN MADERA"/>
    <x v="0"/>
    <n v="503"/>
    <s v="Solicitud General"/>
    <x v="6"/>
    <m/>
    <s v="CLARA GIRALDO"/>
    <m/>
    <m/>
    <m/>
    <n v="14"/>
    <d v="2026-10-14T00:00:00"/>
    <m/>
    <m/>
    <m/>
    <m/>
    <m/>
    <m/>
    <m/>
    <m/>
  </r>
  <r>
    <s v="PQR-SUI-242"/>
    <s v="3566/2026"/>
    <d v="2026-09-23T00:00:00"/>
    <s v="Verbal"/>
    <x v="5"/>
    <s v="SOLICITUD DE REVISIÓN Y MANTENIMIENTO DE LA RED DE ALCANTARILLADO DE LA CALLE 39 No. 29A-13 SEGUNDO HENAO"/>
    <x v="0"/>
    <n v="316"/>
    <s v="Estado de la Infraestructura "/>
    <x v="18"/>
    <m/>
    <s v="SANDOVAL DE MARIA ERLY"/>
    <m/>
    <m/>
    <m/>
    <n v="14"/>
    <d v="2026-10-14T00:00:00"/>
    <m/>
    <m/>
    <m/>
    <m/>
    <m/>
    <m/>
    <m/>
    <m/>
  </r>
  <r>
    <s v="PQR-SUI-243"/>
    <s v="3567/2026"/>
    <d v="2026-09-23T00:00:00"/>
    <s v="Verbal"/>
    <x v="1"/>
    <s v="USUARIA REPORTA DEFICIENCIA DE PRESION YA QUE NO LLEGA BUEN AGUA AL PREDIO"/>
    <x v="2"/>
    <n v="304"/>
    <s v="Variaciones en las características del suministro o prestación del servicio"/>
    <x v="12"/>
    <m/>
    <s v="GINA PAOLA CUZZI LARRARTE"/>
    <n v="1253935"/>
    <m/>
    <m/>
    <n v="14"/>
    <d v="2026-10-14T00:00:00"/>
    <m/>
    <m/>
    <m/>
    <m/>
    <m/>
    <m/>
    <m/>
    <m/>
  </r>
  <r>
    <s v="PQR-IN-110"/>
    <s v="3568/2026"/>
    <d v="2026-09-23T00:00:00"/>
    <s v="Verbal"/>
    <x v="3"/>
    <s v="USUARIO SOLICITA RECOLECCION DE MUEBLE EN MADERA"/>
    <x v="0"/>
    <n v="503"/>
    <s v="Solicitud General"/>
    <x v="6"/>
    <m/>
    <s v="DIANA AGUIRRE"/>
    <m/>
    <m/>
    <m/>
    <n v="14"/>
    <d v="2026-10-14T00:00:00"/>
    <m/>
    <m/>
    <m/>
    <m/>
    <m/>
    <m/>
    <m/>
    <m/>
  </r>
  <r>
    <s v="PQR-SUI-244"/>
    <s v="3569/2026"/>
    <d v="2026-09-23T00:00:00"/>
    <s v="Verbal"/>
    <x v="4"/>
    <s v="FUGA EN RED PRINCIPAL"/>
    <x v="2"/>
    <n v="316"/>
    <s v="Estado de la Infraestructura "/>
    <x v="33"/>
    <m/>
    <s v="RICARDO OROZCO RODAS"/>
    <m/>
    <m/>
    <m/>
    <n v="14"/>
    <d v="2026-10-14T00:00:00"/>
    <m/>
    <m/>
    <m/>
    <m/>
    <m/>
    <m/>
    <m/>
    <m/>
  </r>
  <r>
    <s v="PQR-IN-111"/>
    <s v="3570/2026"/>
    <d v="2026-09-23T00:00:00"/>
    <s v="Verbal"/>
    <x v="0"/>
    <s v="SOLICITUD HISTORIAL DE FACTURACIÓN DE LA CRA 25 No. 42-20 APARTAMENTOS 201 Y 202 DE OCTUBRE DE 2025 A SEPTIEMBRE DE 2026"/>
    <x v="0"/>
    <n v="503"/>
    <s v="Solicitud General"/>
    <x v="30"/>
    <m/>
    <s v="GINA PAOLA CUZZI LARRARTE"/>
    <m/>
    <m/>
    <m/>
    <n v="14"/>
    <d v="2026-10-14T00:00:00"/>
    <m/>
    <m/>
    <m/>
    <m/>
    <m/>
    <m/>
    <m/>
    <m/>
  </r>
  <r>
    <s v="PQR-SUI-245"/>
    <s v="3571/2026"/>
    <d v="2026-09-23T00:00:00"/>
    <s v="Verbal"/>
    <x v="4"/>
    <s v="USUARIO SOLICIA DESCUENTO EN COBRO DE CONSUMO DE ACUERDO A RESPUESTA DEL RADICADO EMCA-PQRS-2914-2026"/>
    <x v="1"/>
    <n v="127"/>
    <s v="Inconformidad por desviación significativa"/>
    <x v="5"/>
    <m/>
    <s v="OLGA VALENCIA MARIN"/>
    <m/>
    <m/>
    <m/>
    <n v="14"/>
    <d v="2026-10-14T00:00:00"/>
    <m/>
    <m/>
    <m/>
    <m/>
    <m/>
    <m/>
    <m/>
    <m/>
  </r>
  <r>
    <s v="PQR-SUI-246"/>
    <s v="3572/2026"/>
    <d v="2026-09-23T00:00:00"/>
    <s v="Verbal"/>
    <x v="0"/>
    <s v="DATOS GENERALES INCORRECTOS CAMBIO DE NOMBRE"/>
    <x v="1"/>
    <n v="106"/>
    <s v="Datos Generales Incorrectos"/>
    <x v="0"/>
    <m/>
    <s v="FABIO NELSON IGUIRA CUQUI"/>
    <m/>
    <m/>
    <m/>
    <n v="14"/>
    <d v="2026-10-14T00:00:00"/>
    <m/>
    <m/>
    <m/>
    <m/>
    <m/>
    <m/>
    <m/>
    <m/>
  </r>
  <r>
    <s v="PQR-SUI-247"/>
    <s v="3573/2026"/>
    <d v="2026-09-23T00:00:00"/>
    <s v="Verbal"/>
    <x v="3"/>
    <s v="PREDIO DESOCUPADO"/>
    <x v="1"/>
    <n v="114"/>
    <s v="Descuento por predio desocupado"/>
    <x v="3"/>
    <m/>
    <s v="LUZ ESPERANZA ARBELAEZ ATEHORTUA"/>
    <m/>
    <m/>
    <m/>
    <n v="14"/>
    <d v="2026-10-14T00:00:00"/>
    <m/>
    <m/>
    <m/>
    <m/>
    <m/>
    <m/>
    <m/>
    <m/>
  </r>
  <r>
    <s v="PQR-IN-113"/>
    <s v="3574/2026"/>
    <d v="2026-09-23T00:00:00"/>
    <s v="Verbal"/>
    <x v="7"/>
    <s v="TERMINACIÓN UNILATERAL DEL CONTRATO DE ARRENDAMIENTO POR INCUMPLIMIENTO DEL ARRENDADOR (FALTA DE REPARACIONES NECESARIAS)"/>
    <x v="2"/>
    <n v="308"/>
    <s v="Terminación del contrato"/>
    <x v="70"/>
    <m/>
    <s v="JHON FREDY OSPINA GUTIERREZ"/>
    <m/>
    <m/>
    <m/>
    <n v="14"/>
    <d v="2026-10-14T00:00:00"/>
    <m/>
    <m/>
    <m/>
    <m/>
    <m/>
    <m/>
    <m/>
    <m/>
  </r>
  <r>
    <s v="PQR-SUI-248"/>
    <s v="3575/2026"/>
    <d v="2026-09-23T00:00:00"/>
    <s v="Verbal"/>
    <x v="3"/>
    <s v="SOLICITUD DE INTERVENCIÓN POR INADECUADA DISPOSICIÓN DE RESIDUOS EN LA CRA 26 No. 36-04"/>
    <x v="2"/>
    <n v="311"/>
    <s v="Frecuencias adicionales de recolección"/>
    <x v="71"/>
    <m/>
    <s v="GEMAY RAMIREZ GIRALDO"/>
    <m/>
    <m/>
    <m/>
    <n v="14"/>
    <d v="2026-10-14T00:00:00"/>
    <m/>
    <m/>
    <m/>
    <m/>
    <m/>
    <m/>
    <m/>
    <m/>
  </r>
  <r>
    <s v="PQR-SUI-249"/>
    <s v="3576/2026"/>
    <d v="2026-09-23T00:00:00"/>
    <s v="Verbal"/>
    <x v="0"/>
    <s v="USUARIO SOLICITA AJUSTE EN LA FACTURA YA QUE POR ERROR CANCELO CON CÓDIGO 1254483 EL DÍA 27 DE JULIO 2026"/>
    <x v="1"/>
    <n v="122"/>
    <s v="Suscriptor que efectúa el pago pero este no es aplicado por la empresa en la facturación"/>
    <x v="26"/>
    <m/>
    <s v="CRISTIAN EMILIO COLORADO"/>
    <m/>
    <m/>
    <m/>
    <n v="14"/>
    <d v="2026-10-14T00:00:00"/>
    <m/>
    <m/>
    <m/>
    <m/>
    <m/>
    <m/>
    <m/>
    <m/>
  </r>
  <r>
    <s v="PQR-SUI-251"/>
    <s v="3577/2026"/>
    <d v="2026-09-23T00:00:00"/>
    <s v="Verbal"/>
    <x v="3"/>
    <s v="USUARIA REPORTA PREDIO DESOCUPADO HACE MAS DE 3 MESES"/>
    <x v="1"/>
    <n v="114"/>
    <s v="Descuento por predio desocupado"/>
    <x v="3"/>
    <m/>
    <s v="MARIA NERIED GIRALDO NOREÑA"/>
    <n v="1251528"/>
    <m/>
    <m/>
    <n v="14"/>
    <d v="2026-10-14T00:00:00"/>
    <m/>
    <m/>
    <m/>
    <m/>
    <m/>
    <m/>
    <m/>
    <m/>
  </r>
  <r>
    <s v="PQR-SUI-250"/>
    <s v="3578/2026"/>
    <d v="2026-09-23T00:00:00"/>
    <s v="Verbal"/>
    <x v="1"/>
    <s v="DEFICIENCIA DE PRESION"/>
    <x v="2"/>
    <n v="304"/>
    <s v="Variaciones en las características del suministro o prestación del servicio"/>
    <x v="12"/>
    <m/>
    <s v="OLMED MARIN VALENCIA"/>
    <m/>
    <m/>
    <m/>
    <n v="14"/>
    <d v="2026-10-14T00:00:00"/>
    <m/>
    <m/>
    <m/>
    <m/>
    <m/>
    <m/>
    <m/>
    <m/>
  </r>
  <r>
    <s v="PQR-SUI-252"/>
    <s v="3579/2026"/>
    <d v="2026-09-23T00:00:00"/>
    <s v="Correo Electrónico"/>
    <x v="0"/>
    <s v="SI-1327-2026 - TRASLADO POR COMPETENCIA DERECHO DE PETICIÓN EMCA-PQRS-3466"/>
    <x v="1"/>
    <n v="106"/>
    <s v="Datos Generales Incorrectos"/>
    <x v="0"/>
    <m/>
    <s v="ALCALDIA CALARCÁ"/>
    <m/>
    <m/>
    <m/>
    <n v="14"/>
    <d v="2026-10-14T00:00:00"/>
    <m/>
    <m/>
    <m/>
    <m/>
    <m/>
    <m/>
    <m/>
    <m/>
  </r>
  <r>
    <s v="PQR-SUI-253"/>
    <s v="3580/2026"/>
    <d v="2026-09-23T00:00:00"/>
    <s v="Verbal"/>
    <x v="4"/>
    <s v="RECOGER ESCOMBROS"/>
    <x v="2"/>
    <n v="316"/>
    <s v="Estado de la Infraestructura "/>
    <x v="21"/>
    <m/>
    <s v="LAURA CAROLINA ZULUAGA MELO"/>
    <m/>
    <m/>
    <m/>
    <n v="14"/>
    <d v="2026-10-14T00:00:00"/>
    <m/>
    <m/>
    <m/>
    <m/>
    <m/>
    <m/>
    <m/>
    <m/>
  </r>
  <r>
    <s v="PQR-SUI-254"/>
    <s v="3581/2026"/>
    <d v="2026-09-23T00:00:00"/>
    <s v="Verbal"/>
    <x v="4"/>
    <s v="INCONFORMIDAD POR DESVIACION SIGNIFICATIVA"/>
    <x v="1"/>
    <n v="127"/>
    <s v="Inconformidad por desviación significativa"/>
    <x v="5"/>
    <m/>
    <s v="LUISA FERNANDA AGUIRRE"/>
    <m/>
    <m/>
    <m/>
    <n v="14"/>
    <d v="2026-10-14T00:00:00"/>
    <m/>
    <m/>
    <m/>
    <m/>
    <m/>
    <m/>
    <m/>
    <m/>
  </r>
  <r>
    <s v="PQR-SUI-255"/>
    <s v="3582/2026"/>
    <d v="2026-09-23T00:00:00"/>
    <s v="Verbal"/>
    <x v="1"/>
    <s v="CAMBIO DE LLAVE"/>
    <x v="2"/>
    <n v="316"/>
    <s v="Estado de la Infraestructura "/>
    <x v="11"/>
    <m/>
    <s v="OSCAR ANDRES QUEVEDO BUSTOS"/>
    <m/>
    <m/>
    <m/>
    <n v="14"/>
    <d v="2026-10-14T00:00:00"/>
    <m/>
    <m/>
    <m/>
    <m/>
    <m/>
    <m/>
    <m/>
    <m/>
  </r>
  <r>
    <s v="PQR-SUI-256"/>
    <s v="3583/2026"/>
    <d v="2026-09-23T00:00:00"/>
    <s v="Verbal"/>
    <x v="0"/>
    <s v="SUARIO SOLICITA CAMBIO DE NOMBRE EN LA FACTURA"/>
    <x v="1"/>
    <n v="106"/>
    <s v="Datos Generales Incorrectos"/>
    <x v="0"/>
    <m/>
    <s v="GUILLERMO SANCHEZ CONTRERAS"/>
    <n v="1139880"/>
    <m/>
    <m/>
    <n v="14"/>
    <d v="2026-10-14T00:00:00"/>
    <m/>
    <m/>
    <m/>
    <m/>
    <m/>
    <m/>
    <m/>
    <m/>
  </r>
  <r>
    <s v="PQR-SUI-257"/>
    <s v="3584/2026"/>
    <d v="2026-09-23T00:00:00"/>
    <s v="Documento Físico"/>
    <x v="5"/>
    <s v="202654003000048841 - REITERACIÓN DE SOLICITUD INTERVENCIÓN URGENTE POR FALLAS DEL SISTEMA DE ALCANTARILLADO DEL CDI UNIDAD LLANITOS"/>
    <x v="2"/>
    <n v="316"/>
    <s v="Estado de la Infraestructura "/>
    <x v="9"/>
    <m/>
    <s v="INSTITUTO COLOMBIANO DE BIENESTAR FAMILIAR"/>
    <m/>
    <m/>
    <m/>
    <n v="14"/>
    <d v="2026-10-14T00:00:00"/>
    <m/>
    <m/>
    <m/>
    <m/>
    <m/>
    <m/>
    <m/>
    <m/>
  </r>
  <r>
    <s v="PQR-IN-114"/>
    <s v="3585/2026"/>
    <d v="2026-09-23T00:00:00"/>
    <s v="Correo Electrónico"/>
    <x v="6"/>
    <s v="TRASLADO POR COMPETENCIA - DERECHO DE PETICIÓN - SOLICITUD DE ILUMINACIÓN DE LOS PUNTOS DONDE INSTALARON LAS CAMARAS DE SEGURIDAD EN EL CORREGIMIENTO DE BARCELONA"/>
    <x v="2"/>
    <n v="316"/>
    <s v="Estado de la Infraestructura "/>
    <x v="64"/>
    <m/>
    <s v="ALCALDIA CALARCÁ"/>
    <m/>
    <m/>
    <s v="asuntosadministrativos@calarca-quindio.gov.co"/>
    <n v="14"/>
    <d v="2026-10-14T00:00:00"/>
    <m/>
    <m/>
    <m/>
    <m/>
    <m/>
    <m/>
    <m/>
    <m/>
  </r>
  <r>
    <s v="PQR-SUI-258"/>
    <s v="3586/2026"/>
    <d v="2026-09-24T00:00:00"/>
    <s v="Verbal"/>
    <x v="4"/>
    <s v="FUGA DE DOMICILIARIA"/>
    <x v="2"/>
    <n v="316"/>
    <s v="Estado de la Infraestructura "/>
    <x v="20"/>
    <m/>
    <s v="MARIA RUBY RAMIREZ DE GOMEZ"/>
    <m/>
    <m/>
    <s v="porasignar@gmail.com"/>
    <n v="14"/>
    <d v="2026-10-14T00:00:00"/>
    <m/>
    <m/>
    <m/>
    <m/>
    <m/>
    <m/>
    <m/>
    <m/>
  </r>
  <r>
    <s v="PQR-IN-115"/>
    <s v="3587/2026"/>
    <d v="2026-09-24T00:00:00"/>
    <s v="Documento Físico"/>
    <x v="2"/>
    <s v="SOLICITUD DE COTIZACIÓN PARA ANALISIS FISICOQUIMICO Y MICROBIOLOGICO DE AGUA CRUDA"/>
    <x v="0"/>
    <n v="503"/>
    <s v="Solicitud General"/>
    <x v="2"/>
    <m/>
    <s v="JOHN HENRY RIVERA"/>
    <m/>
    <m/>
    <m/>
    <n v="14"/>
    <d v="2026-10-15T00:00:00"/>
    <m/>
    <m/>
    <m/>
    <m/>
    <m/>
    <m/>
    <m/>
    <m/>
  </r>
  <r>
    <s v="PQR-SUI-259"/>
    <s v="3588/2026"/>
    <d v="2026-09-24T00:00:00"/>
    <s v="Verbal"/>
    <x v="4"/>
    <s v="LECTOR REPORTA FUGA EN LA RED DOMICILIARIA"/>
    <x v="2"/>
    <n v="316"/>
    <s v="Estado de la Infraestructura "/>
    <x v="20"/>
    <m/>
    <s v="EUNICE GONZALES EUNICE"/>
    <n v="1109305"/>
    <m/>
    <m/>
    <n v="14"/>
    <d v="2026-10-15T00:00:00"/>
    <m/>
    <m/>
    <m/>
    <m/>
    <m/>
    <m/>
    <m/>
    <m/>
  </r>
  <r>
    <s v="PQR-SUI-260"/>
    <s v="3589/2026"/>
    <d v="2026-09-24T00:00:00"/>
    <s v="Verbal"/>
    <x v="4"/>
    <s v="LECTOR REPORTA FUGA DE RED DOMICILIARIA"/>
    <x v="2"/>
    <n v="316"/>
    <s v="Estado de la Infraestructura "/>
    <x v="20"/>
    <m/>
    <s v="MARIA Y RODRIGUEZ ROJAS"/>
    <n v="1109170"/>
    <m/>
    <m/>
    <n v="14"/>
    <d v="2026-10-15T00:00:00"/>
    <m/>
    <m/>
    <m/>
    <m/>
    <m/>
    <m/>
    <m/>
    <m/>
  </r>
  <r>
    <s v="PQR-SUI-261"/>
    <s v="3590/2026"/>
    <d v="2026-09-24T00:00:00"/>
    <s v="Verbal"/>
    <x v="0"/>
    <s v="ESTRATO INCORRECTO"/>
    <x v="1"/>
    <n v="118"/>
    <s v="Clase de uso incorrecto _x000a_(Industrial, comercial, oficial, otros)"/>
    <x v="72"/>
    <m/>
    <s v="MARTHA NUBIA AGUIRRE"/>
    <m/>
    <m/>
    <m/>
    <n v="14"/>
    <d v="2026-10-15T00:00:00"/>
    <m/>
    <m/>
    <m/>
    <m/>
    <m/>
    <m/>
    <m/>
    <m/>
  </r>
  <r>
    <s v="PQR-SUI-262"/>
    <s v="3591/2026"/>
    <d v="2026-09-24T00:00:00"/>
    <s v="Verbal"/>
    <x v="5"/>
    <s v="LIMPIAR SUMIDERO DE ALCANTARILLADO"/>
    <x v="2"/>
    <n v="316"/>
    <s v="Estado de la Infraestructura "/>
    <x v="13"/>
    <m/>
    <s v="MERCEDES CASAS ROZO"/>
    <m/>
    <m/>
    <m/>
    <n v="14"/>
    <d v="2026-10-15T00:00:00"/>
    <m/>
    <m/>
    <m/>
    <m/>
    <m/>
    <m/>
    <m/>
    <m/>
  </r>
  <r>
    <s v="PQR-SUI-263"/>
    <s v="3592/2026"/>
    <d v="2026-09-24T00:00:00"/>
    <s v="Verbal"/>
    <x v="0"/>
    <s v="DERECHO DE PETICIÓN - SOLICITUD DE AJUSTE EN FACTURACIÓN CODIGO DE USUARIO 1208380"/>
    <x v="1"/>
    <n v="102"/>
    <s v="Inconformidad con la medición del consumo o producción facturado"/>
    <x v="5"/>
    <m/>
    <s v="JOSE DUBAN GIL JIMENEZ"/>
    <m/>
    <m/>
    <m/>
    <n v="14"/>
    <d v="2026-10-15T00:00:00"/>
    <m/>
    <m/>
    <m/>
    <m/>
    <m/>
    <m/>
    <m/>
    <m/>
  </r>
  <r>
    <s v="PQR-SUI-264"/>
    <s v="3593/2026"/>
    <d v="2026-09-24T00:00:00"/>
    <s v="Verbal"/>
    <x v="5"/>
    <s v="SOLICITUD DE VISITA TECNICA POR TAPONAMIENTO DE ALCANTARILLADO EN EL BARRIO LLANITOS GUALARA MZ 28 CASA 18"/>
    <x v="2"/>
    <n v="316"/>
    <s v="Estado de la Infraestructura "/>
    <x v="13"/>
    <m/>
    <s v="MARIA NUBIA FLOREZ BENJUMEA"/>
    <m/>
    <m/>
    <m/>
    <n v="14"/>
    <d v="2026-10-15T00:00:00"/>
    <m/>
    <m/>
    <m/>
    <m/>
    <m/>
    <m/>
    <m/>
    <m/>
  </r>
  <r>
    <s v="PQR-SUI-265"/>
    <s v="3594/2026"/>
    <d v="2026-09-24T00:00:00"/>
    <s v="Verbal"/>
    <x v="4"/>
    <s v="RECLAMACIÓN POR INCREMENTO EN EL SERVICIO DE ACUEDUCTO - CALLE 31 No. 23-50"/>
    <x v="1"/>
    <n v="127"/>
    <s v="Inconformidad por desviación significativa"/>
    <x v="5"/>
    <m/>
    <s v="LILIANA QUINTERO GUTIERREZ"/>
    <m/>
    <m/>
    <m/>
    <n v="14"/>
    <d v="2026-10-15T00:00:00"/>
    <m/>
    <m/>
    <m/>
    <m/>
    <m/>
    <m/>
    <m/>
    <m/>
  </r>
  <r>
    <s v="PQR-SUI-266"/>
    <s v="3595/2026"/>
    <d v="2026-09-24T00:00:00"/>
    <s v="Documento Físico"/>
    <x v="4"/>
    <s v="DERECHO DE PETICIÓN - SOLICITUD DE REVISIÓN CON GEOFONO POR FUGA IMPERCEPTIBLE CODIGO DE USUARIO 1107700"/>
    <x v="0"/>
    <n v="506"/>
    <s v="Revisión con Geofono"/>
    <x v="23"/>
    <m/>
    <s v="JACKELINE VASQUEZ FLOREZ"/>
    <n v="1107700"/>
    <m/>
    <m/>
    <n v="14"/>
    <d v="2026-10-15T00:00:00"/>
    <m/>
    <m/>
    <m/>
    <m/>
    <m/>
    <m/>
    <m/>
    <m/>
  </r>
  <r>
    <s v="PQR-SUI-268"/>
    <s v="3596/2026"/>
    <d v="2026-09-24T00:00:00"/>
    <s v="Documento Físico"/>
    <x v="0"/>
    <s v="DERECH DE PETICIÓN - SOLICITUD DE INFORMACIÓN DEL CAMBIO DE MEDIDOR FACTURADO EN EL SERVICIO DE ACUEDUCTO - CODIGO DE USUARIO 1171600"/>
    <x v="0"/>
    <n v="503"/>
    <s v="Solicitud General"/>
    <x v="30"/>
    <m/>
    <s v="SANDRA LORENA ARIAS HENAO"/>
    <n v="1171600"/>
    <m/>
    <m/>
    <n v="14"/>
    <d v="2026-10-15T00:00:00"/>
    <m/>
    <m/>
    <m/>
    <m/>
    <m/>
    <m/>
    <m/>
    <m/>
  </r>
  <r>
    <s v="PQR-SUI-267"/>
    <s v="3597/2026"/>
    <d v="2026-09-24T00:00:00"/>
    <s v="Verbal"/>
    <x v="1"/>
    <s v="USUARIA REPORTA QUE HACE MAS DE UN MES QUE EL PREDIO SE QUEDO SIN PRESION"/>
    <x v="2"/>
    <n v="304"/>
    <s v="Variaciones en las características del suministro o prestación del servicio"/>
    <x v="12"/>
    <m/>
    <s v="CAROLINA PEREZ VALENCIA"/>
    <n v="1251046"/>
    <m/>
    <m/>
    <n v="14"/>
    <d v="2026-10-15T00:00:00"/>
    <m/>
    <m/>
    <m/>
    <m/>
    <m/>
    <m/>
    <m/>
    <m/>
  </r>
  <r>
    <s v="PQR-IN-116"/>
    <s v="3598/2026"/>
    <d v="2026-09-24T00:00:00"/>
    <s v="Documento Físico"/>
    <x v="4"/>
    <s v="SOLICITUD DE VISITA TÉCNICA Y VERIFICACIÓN POR HUNDIMIENTO DE LA VÍA CRA 18 No. 38-02"/>
    <x v="2"/>
    <n v="316"/>
    <s v="Estado de la Infraestructura "/>
    <x v="7"/>
    <m/>
    <s v="OLGA CECILIA DIAZ"/>
    <m/>
    <m/>
    <m/>
    <n v="14"/>
    <d v="2026-10-15T00:00:00"/>
    <m/>
    <m/>
    <m/>
    <m/>
    <m/>
    <m/>
    <m/>
    <m/>
  </r>
  <r>
    <s v="PQR-SUI-269"/>
    <s v="3599/2026"/>
    <d v="2026-09-24T00:00:00"/>
    <s v="Verbal"/>
    <x v="4"/>
    <s v="DERECHO DE PETICIÓN - SOLICITUD DE AJUSTE A FACTURA POR FUGA IMPERCEPTIBLE"/>
    <x v="1"/>
    <n v="127"/>
    <s v="Inconformidad por desviación significativa"/>
    <x v="5"/>
    <m/>
    <s v="ALEJANDRA GARCIA GAVIRIA"/>
    <m/>
    <m/>
    <m/>
    <n v="14"/>
    <d v="2026-10-15T00:00:00"/>
    <m/>
    <m/>
    <m/>
    <m/>
    <m/>
    <m/>
    <m/>
    <m/>
  </r>
  <r>
    <s v="PQR-SUI-270"/>
    <s v="3600/2026"/>
    <d v="2026-09-24T00:00:00"/>
    <s v="Verbal"/>
    <x v="1"/>
    <s v="LECTOR REPORTA FUGA EN EL MEDIDOR"/>
    <x v="2"/>
    <n v="316"/>
    <s v="Estado de la Infraestructura "/>
    <x v="19"/>
    <m/>
    <s v="FANNY JURADO ARIAS"/>
    <n v="1175780"/>
    <m/>
    <m/>
    <n v="14"/>
    <d v="2026-10-15T00:00:00"/>
    <m/>
    <m/>
    <m/>
    <m/>
    <m/>
    <m/>
    <m/>
    <m/>
  </r>
  <r>
    <s v="PQR-SUI-271"/>
    <s v="3601/2026"/>
    <d v="2026-09-24T00:00:00"/>
    <s v="Verbal"/>
    <x v="3"/>
    <s v="PREDIO DESOCUPADO"/>
    <x v="1"/>
    <n v="114"/>
    <s v="Descuento por predio desocupado"/>
    <x v="3"/>
    <m/>
    <s v="OLGA LUCIA MONTOYA OSORIO"/>
    <m/>
    <m/>
    <m/>
    <n v="14"/>
    <d v="2026-10-15T00:00:00"/>
    <m/>
    <m/>
    <m/>
    <m/>
    <m/>
    <m/>
    <m/>
    <m/>
  </r>
  <r>
    <s v="PQR-SUI-273"/>
    <s v="3602/2026"/>
    <d v="2026-09-24T00:00:00"/>
    <s v="Documento Físico"/>
    <x v="0"/>
    <s v="DERECHO DE PETICIÓN - SOLICITUD DE CAMBIO DE USO DE LA CALLE 29A 24-61"/>
    <x v="1"/>
    <n v="118"/>
    <s v="Clase de uso incorrecto _x000a_(Industrial, comercial, oficial, otros)"/>
    <x v="73"/>
    <m/>
    <s v="JORGE TULIO DIAS GARCIA"/>
    <m/>
    <m/>
    <m/>
    <n v="14"/>
    <d v="2026-10-15T00:00:00"/>
    <m/>
    <m/>
    <m/>
    <m/>
    <m/>
    <m/>
    <m/>
    <m/>
  </r>
  <r>
    <s v="PQR-SUI-272"/>
    <s v="3603/2026"/>
    <d v="2026-09-24T00:00:00"/>
    <s v="Verbal"/>
    <x v="4"/>
    <s v="USUARIO REPORTA PREDIO DESOCUPADO"/>
    <x v="1"/>
    <n v="114"/>
    <s v="Descuento por predio desocupado"/>
    <x v="3"/>
    <m/>
    <s v="JOSE EDILSON NABARRO"/>
    <n v="1180860"/>
    <m/>
    <m/>
    <n v="14"/>
    <d v="2026-10-15T00:00:00"/>
    <m/>
    <m/>
    <m/>
    <m/>
    <m/>
    <m/>
    <m/>
    <m/>
  </r>
  <r>
    <s v="PQR-IN-117"/>
    <s v="3604/2026"/>
    <d v="2026-09-24T00:00:00"/>
    <s v="Documento Físico"/>
    <x v="7"/>
    <s v="SOLICITUD DE ARRENDAMIENTO LOCAL COMERCIAL PLAZA DE MERCADO"/>
    <x v="0"/>
    <n v="502"/>
    <s v="Vinculación del Servicio"/>
    <x v="17"/>
    <m/>
    <s v="LUZ ELENA CAMELO DIAZ"/>
    <m/>
    <m/>
    <m/>
    <n v="14"/>
    <d v="2026-10-15T00:00:00"/>
    <m/>
    <m/>
    <m/>
    <m/>
    <m/>
    <m/>
    <m/>
    <m/>
  </r>
  <r>
    <s v="PQR-SUI-274"/>
    <s v="3605/2026"/>
    <d v="2026-09-24T00:00:00"/>
    <s v="Verbal"/>
    <x v="3"/>
    <s v="USUARIA REPORTA PRDEDIO DESOCUPADO"/>
    <x v="1"/>
    <n v="114"/>
    <s v="Descuento por predio desocupado"/>
    <x v="3"/>
    <m/>
    <s v="NANCY ACERO"/>
    <n v="1159680"/>
    <m/>
    <m/>
    <n v="14"/>
    <d v="2026-10-15T00:00:00"/>
    <m/>
    <m/>
    <m/>
    <m/>
    <m/>
    <m/>
    <m/>
    <m/>
  </r>
  <r>
    <s v="PQR-IN-118"/>
    <s v="3606/2026"/>
    <d v="2026-09-24T00:00:00"/>
    <s v="Documento Físico"/>
    <x v="0"/>
    <s v="SOLICITUD CONEXION DE SERVICIOS CALLE 40 No. 22-36 APTO 301"/>
    <x v="0"/>
    <n v="502"/>
    <s v="Vinculación del Servicio"/>
    <x v="22"/>
    <m/>
    <s v="GUTIERREZ FLORALBA BEDOYA"/>
    <m/>
    <m/>
    <m/>
    <n v="14"/>
    <d v="2026-10-15T00:00:00"/>
    <m/>
    <m/>
    <m/>
    <m/>
    <m/>
    <m/>
    <m/>
    <m/>
  </r>
  <r>
    <s v="PQR-SUI-275"/>
    <s v="3607/2026"/>
    <d v="2026-09-24T00:00:00"/>
    <s v="Documento Físico"/>
    <x v="4"/>
    <s v="DERECHO DE PETICIÓN - SOLICITUD DE REVISIÓN POR AUMENTO EN EL CONSUMO DE ACUEDUCTO"/>
    <x v="1"/>
    <n v="127"/>
    <s v="Inconformidad por desviación significativa"/>
    <x v="5"/>
    <m/>
    <s v="PAOLA ANDREA BAÑOL TREJOS"/>
    <m/>
    <m/>
    <m/>
    <n v="14"/>
    <d v="2026-10-15T00:00:00"/>
    <m/>
    <m/>
    <m/>
    <m/>
    <m/>
    <m/>
    <m/>
    <m/>
  </r>
  <r>
    <s v="PQR-SUI-276"/>
    <s v="3608/2026"/>
    <d v="2026-09-24T00:00:00"/>
    <s v="Verbal"/>
    <x v="1"/>
    <s v="FUGA DE MEDIDOR"/>
    <x v="2"/>
    <n v="316"/>
    <s v="Estado de la Infraestructura "/>
    <x v="19"/>
    <m/>
    <s v="MARÍA ELENA AGUDELO CASTAÑO"/>
    <m/>
    <m/>
    <m/>
    <n v="14"/>
    <d v="2026-10-15T00:00:00"/>
    <m/>
    <m/>
    <m/>
    <m/>
    <m/>
    <m/>
    <m/>
    <m/>
  </r>
  <r>
    <s v="PQR-IN-119"/>
    <s v="3609/2026"/>
    <d v="2026-09-24T00:00:00"/>
    <s v="Documento Físico"/>
    <x v="0"/>
    <s v="SOLICITUD DE CONEXIÓN DE SERVICIOS - CALLE 40 No. 22-36 APTO 201"/>
    <x v="0"/>
    <n v="502"/>
    <s v="Vinculación del Servicio"/>
    <x v="22"/>
    <m/>
    <s v="GUTIERREZ FLORALBA BEDOYA"/>
    <m/>
    <m/>
    <m/>
    <n v="14"/>
    <d v="2026-10-15T00:00:00"/>
    <m/>
    <m/>
    <m/>
    <m/>
    <m/>
    <m/>
    <m/>
    <m/>
  </r>
  <r>
    <s v="PQR-IN-120"/>
    <s v="3610/2026"/>
    <d v="2026-09-24T00:00:00"/>
    <s v="Documento Físico"/>
    <x v="3"/>
    <s v="RECLAMACIÓN A OFICIO DE COMUNICADO DE AFORO ORDINARIO"/>
    <x v="1"/>
    <n v="101"/>
    <s v="Inconformidad con el Aforo"/>
    <x v="48"/>
    <m/>
    <s v="ASOCIACION DE RECUPERADORES PASTUPLAST"/>
    <m/>
    <m/>
    <m/>
    <n v="14"/>
    <d v="2026-10-15T00:00:00"/>
    <m/>
    <m/>
    <m/>
    <m/>
    <m/>
    <m/>
    <m/>
    <m/>
  </r>
  <r>
    <s v="PQR-IN-121"/>
    <s v="3611/2026"/>
    <d v="2026-09-24T00:00:00"/>
    <s v="Verbal"/>
    <x v="3"/>
    <s v="DERECHO DE PETICIÓN - RECLAMACIÓN Y RECHAZO AL COBRO POR CONCEPTO DE RESIDUOS NO APROVECHABLES"/>
    <x v="1"/>
    <n v="101"/>
    <s v="Inconformidad con el Aforo"/>
    <x v="48"/>
    <m/>
    <s v="ASOCIACION DE RECUPERADORES PASTUPLAST"/>
    <m/>
    <m/>
    <m/>
    <n v="14"/>
    <d v="2026-10-15T00:00:00"/>
    <m/>
    <m/>
    <m/>
    <m/>
    <m/>
    <m/>
    <m/>
    <m/>
  </r>
  <r>
    <s v="PQR-SUI-277"/>
    <s v="3612/2026"/>
    <d v="2026-09-24T00:00:00"/>
    <s v="Verbal"/>
    <x v="0"/>
    <s v="SOLICITUD DE RECONOCIMIENTO Y EJECUTORIEDAD DEL SILENCIADOR ADMINISTRATIVO POSITIVO - DENUNCIA LEGAL CON SOPORTES POR INTENTO ILEGAL DE CORTE Y DESACATO A LA SENTENCIA 026/2026 NUID 1158580"/>
    <x v="2"/>
    <n v="309"/>
    <s v="Suspensión o corte del servicio sin previo aviso o sin causa aparente"/>
    <x v="74"/>
    <m/>
    <s v="JOSE ARLES AGUDELO"/>
    <m/>
    <m/>
    <m/>
    <n v="14"/>
    <d v="2026-10-15T00:00:00"/>
    <m/>
    <m/>
    <m/>
    <m/>
    <m/>
    <m/>
    <m/>
    <m/>
  </r>
  <r>
    <s v="PQR-IN-123"/>
    <s v="3613/2026"/>
    <d v="2026-09-24T00:00:00"/>
    <s v="Documento Físico"/>
    <x v="3"/>
    <s v="SOLICITUD DE PODA E INTERVENCIÓN URGENTE DE PALMERA QUE PRESENTA RIESGO DE CAIDA - BARRIO EL JARDIN CARRERA 35 No. 19-11"/>
    <x v="0"/>
    <n v="503"/>
    <s v="Solicitud General"/>
    <x v="75"/>
    <m/>
    <s v="OLGA BASTIDAS OCAMPO"/>
    <m/>
    <m/>
    <m/>
    <n v="14"/>
    <d v="2026-10-15T00:00:00"/>
    <m/>
    <m/>
    <m/>
    <m/>
    <m/>
    <m/>
    <m/>
    <m/>
  </r>
  <r>
    <s v="PQR-IN-122"/>
    <s v="3614/2026"/>
    <d v="2026-09-24T00:00:00"/>
    <s v="Verbal"/>
    <x v="6"/>
    <s v="ALUMBRADO PUBLICO"/>
    <x v="0"/>
    <n v="316"/>
    <s v="Estado de la Infraestructura "/>
    <x v="14"/>
    <m/>
    <s v="LUIS EDUARDO NOREÑA"/>
    <m/>
    <m/>
    <m/>
    <n v="14"/>
    <d v="2026-10-15T00:00:00"/>
    <m/>
    <m/>
    <m/>
    <m/>
    <m/>
    <m/>
    <m/>
    <m/>
  </r>
  <r>
    <s v="PQR-SUI-278"/>
    <s v="3615/2026"/>
    <d v="2026-09-24T00:00:00"/>
    <s v="Verbal"/>
    <x v="3"/>
    <s v="PREDIO DESOCUPADO"/>
    <x v="1"/>
    <n v="114"/>
    <s v="Descuento por predio desocupado"/>
    <x v="3"/>
    <m/>
    <s v="MARIO DE JESUS HERNANDEZ FORONDA"/>
    <m/>
    <m/>
    <m/>
    <n v="14"/>
    <d v="2026-10-15T00:00:00"/>
    <m/>
    <m/>
    <m/>
    <m/>
    <m/>
    <m/>
    <m/>
    <m/>
  </r>
  <r>
    <s v="PQR-IN-124"/>
    <s v="3616/2026"/>
    <d v="2026-09-24T00:00:00"/>
    <s v="Verbal"/>
    <x v="0"/>
    <s v="SOLICITUD CAMBIO DE SERVICIO DE ACUEDUCTO PROVISIONAL A RESIDENCIAL"/>
    <x v="1"/>
    <n v="118"/>
    <s v="Clase de uso incorrecto _x000a_(Industrial, comercial, oficial, otros)"/>
    <x v="73"/>
    <m/>
    <s v="LILIANA RAMIREZ GIRALDO"/>
    <m/>
    <m/>
    <m/>
    <n v="14"/>
    <d v="2026-10-15T00:00:00"/>
    <m/>
    <m/>
    <m/>
    <m/>
    <m/>
    <m/>
    <m/>
    <m/>
  </r>
  <r>
    <s v="PQR-SUI-279"/>
    <s v="3617/2026"/>
    <d v="2026-09-24T00:00:00"/>
    <s v="Verbal"/>
    <x v="0"/>
    <s v="USUARIO SOLICIA DESCUENTO POR CAMBIO DE USO EN LOS MESES DE JUNIO-JULIO-AGOST DE ACUERDO A RADICADO EMCA-PQRS-3154-2026"/>
    <x v="1"/>
    <n v="118"/>
    <s v="Clase de uso incorrecto _x000a_(Industrial, comercial, oficial, otros)"/>
    <x v="73"/>
    <m/>
    <s v="JUAN FELIPE GONZÁLEZ ZULUAGA"/>
    <m/>
    <m/>
    <m/>
    <n v="14"/>
    <d v="2026-10-15T00:00:00"/>
    <m/>
    <m/>
    <m/>
    <m/>
    <m/>
    <m/>
    <m/>
    <m/>
  </r>
  <r>
    <s v="PQR-SUI-280"/>
    <s v="3618/2026"/>
    <d v="2026-09-25T00:00:00"/>
    <s v="Verbal"/>
    <x v="1"/>
    <s v="USUARIA REPORTA FUGA EN EL MEDIDOR"/>
    <x v="2"/>
    <n v="316"/>
    <s v="Estado de la Infraestructura "/>
    <x v="19"/>
    <m/>
    <s v="ACOSTA DONNELIA BORJA"/>
    <n v="1243117"/>
    <m/>
    <m/>
    <n v="14"/>
    <d v="2026-10-15T00:00:00"/>
    <m/>
    <m/>
    <m/>
    <m/>
    <m/>
    <m/>
    <m/>
    <m/>
  </r>
  <r>
    <s v="PQR-IN-125"/>
    <s v="3619/2026"/>
    <d v="2026-09-25T00:00:00"/>
    <s v="Correo Electrónico"/>
    <x v="0"/>
    <s v="SOLICITUD DE FACTURAS DEL SERVICIO DE ACUEDUCTO 2025-2026"/>
    <x v="0"/>
    <n v="503"/>
    <s v="Solicitud General"/>
    <x v="36"/>
    <m/>
    <s v="LC PROYECTOS Y CONSTRUCCIONES S.A.S"/>
    <m/>
    <m/>
    <m/>
    <n v="14"/>
    <d v="2026-10-16T00:00:00"/>
    <m/>
    <m/>
    <m/>
    <m/>
    <m/>
    <m/>
    <m/>
    <m/>
  </r>
  <r>
    <s v="PQR-SUI-281"/>
    <s v="3620/2026"/>
    <d v="2026-09-25T00:00:00"/>
    <s v="Documento Físico"/>
    <x v="0"/>
    <s v="SOLICITUD DE EXPLICACION SOBRE DIFICULTADES EN EL PAGO DEL SERVICIO DE ACUEDUCTO - CÓDIGO DE USUARIO 1060260"/>
    <x v="0"/>
    <n v="503"/>
    <s v="Solicitud General"/>
    <x v="30"/>
    <m/>
    <s v="JORGE HERNAN RODRIGUEZ BOTERO"/>
    <n v="1060260"/>
    <m/>
    <m/>
    <n v="14"/>
    <d v="2026-10-16T00:00:00"/>
    <m/>
    <m/>
    <m/>
    <m/>
    <m/>
    <m/>
    <m/>
    <m/>
  </r>
  <r>
    <s v="PQR-SUI-282"/>
    <s v="3621/2026"/>
    <d v="2026-09-25T00:00:00"/>
    <s v="Verbal"/>
    <x v="1"/>
    <s v="1254892 USUARIA REPORTA DEFICIENCIA DE PRESION YA QUE NO SUBE AGUA AL PREDIO"/>
    <x v="2"/>
    <n v="304"/>
    <s v="Variaciones en las características del suministro o prestación del servicio"/>
    <x v="12"/>
    <m/>
    <s v="GARCIA ALEJANDRA CARVAJAL"/>
    <m/>
    <m/>
    <m/>
    <n v="14"/>
    <d v="2026-10-16T00:00:00"/>
    <m/>
    <m/>
    <m/>
    <m/>
    <m/>
    <m/>
    <m/>
    <m/>
  </r>
  <r>
    <s v="PQR-IN-126"/>
    <s v="3622/2026"/>
    <d v="2026-09-25T00:00:00"/>
    <s v="Verbal"/>
    <x v="4"/>
    <s v="SOLICITUD DE REVISIÓN POR INCREMENTO INJUSTIFICADO EN EL SERVICIO DE ACUEDUCTO"/>
    <x v="1"/>
    <n v="127"/>
    <s v="Inconformidad por desviación significativa"/>
    <x v="5"/>
    <m/>
    <s v="LUIS ALBERTO SANCHEZ PACHECO"/>
    <m/>
    <m/>
    <m/>
    <n v="14"/>
    <d v="2026-10-16T00:00:00"/>
    <m/>
    <m/>
    <m/>
    <m/>
    <m/>
    <m/>
    <m/>
    <m/>
  </r>
  <r>
    <s v="PQR-SUI-283"/>
    <s v="3623/2026"/>
    <d v="2026-09-25T00:00:00"/>
    <s v="Verbal"/>
    <x v="3"/>
    <s v="USUARIO REPORTA QUE NO SE ESTA HACIENDO EL BARRIDO MANUAL EN ESTE SECTOR"/>
    <x v="2"/>
    <n v="310"/>
    <s v="Frecuencias adicionales de barrido"/>
    <x v="76"/>
    <m/>
    <s v="JOSE MARIA RAMOS"/>
    <n v="1058880"/>
    <m/>
    <m/>
    <n v="14"/>
    <d v="2026-10-16T00:00:00"/>
    <m/>
    <m/>
    <m/>
    <m/>
    <m/>
    <m/>
    <m/>
    <m/>
  </r>
  <r>
    <s v="PQR-SUI-284"/>
    <s v="3624/2026"/>
    <d v="2026-09-25T00:00:00"/>
    <s v="Verbal"/>
    <x v="4"/>
    <s v="USUARIO INCONFORME POR DESVIACION SIGNIFICATIVA DE CONSUMO"/>
    <x v="1"/>
    <n v="127"/>
    <s v="Inconformidad por desviación significativa"/>
    <x v="5"/>
    <m/>
    <s v="LUIS ERNESTO CRUZ"/>
    <n v="1219000"/>
    <m/>
    <m/>
    <n v="14"/>
    <d v="2026-10-16T00:00:00"/>
    <m/>
    <m/>
    <m/>
    <m/>
    <m/>
    <m/>
    <m/>
    <m/>
  </r>
  <r>
    <s v="PQR-SUI-285"/>
    <s v="3625/2026"/>
    <d v="2026-09-25T00:00:00"/>
    <s v="Verbal"/>
    <x v="4"/>
    <s v="USUARIO SOLICITA DESCUENTO POR PREDIO DESOCUPADO DE ACUERDO A PETICIÓN #8013 DEL 06 DE JULIO DE 2026"/>
    <x v="1"/>
    <n v="114"/>
    <s v="Descuento por predio desocupado"/>
    <x v="8"/>
    <m/>
    <s v="CELIS CASTELLANOS LUIS CARLOS"/>
    <m/>
    <m/>
    <m/>
    <n v="14"/>
    <d v="2026-10-16T00:00:00"/>
    <m/>
    <m/>
    <m/>
    <m/>
    <m/>
    <m/>
    <m/>
    <m/>
  </r>
  <r>
    <s v="PQR-IN-127"/>
    <s v="3626/2026"/>
    <d v="2026-09-25T00:00:00"/>
    <s v="Correo Electrónico"/>
    <x v="7"/>
    <s v="631304003001-2026-00385-00 - 2026-385 Auto Admite Tutela - Ref: EMCA-PQRS-3138-2026 - EMCA-I-5329-2026"/>
    <x v="0"/>
    <n v="503"/>
    <s v="Solicitud General"/>
    <x v="30"/>
    <m/>
    <s v="RAMA JUDICIAL"/>
    <m/>
    <m/>
    <m/>
    <n v="14"/>
    <d v="2026-10-16T00:00:00"/>
    <m/>
    <m/>
    <m/>
    <m/>
    <m/>
    <m/>
    <m/>
    <m/>
  </r>
  <r>
    <s v="PQR-SUI-286"/>
    <s v="3627/2026"/>
    <d v="2026-09-25T00:00:00"/>
    <s v="Correo Electrónico"/>
    <x v="4"/>
    <s v="RECURSO DE REPOSICION Y EN SUBSIDIO DE APELACIÓNA A RESPUESTA EMCA-I-5454-2026 REF: EMCA-PQRS-3233-2026"/>
    <x v="1"/>
    <n v="127"/>
    <s v="Inconformidad por desviación significativa"/>
    <x v="5"/>
    <m/>
    <s v="CRISTIAN DAVID LOPERA CALDERON"/>
    <m/>
    <m/>
    <m/>
    <n v="14"/>
    <d v="2026-10-16T00:00:00"/>
    <m/>
    <m/>
    <m/>
    <m/>
    <m/>
    <m/>
    <m/>
    <m/>
  </r>
  <r>
    <s v="PQR-SUI-287"/>
    <s v="3628/2026"/>
    <d v="2026-09-25T00:00:00"/>
    <s v="Verbal"/>
    <x v="4"/>
    <s v="USUARIO SOLICITA DESCUENTO POR COBROS POR PROMEDIO"/>
    <x v="1"/>
    <n v="120"/>
    <s v="Cobros por promedio"/>
    <x v="5"/>
    <m/>
    <s v="PEDRO HUMBERTO SUAREZ"/>
    <n v="1002160"/>
    <m/>
    <m/>
    <n v="14"/>
    <d v="2026-10-16T00:00:00"/>
    <m/>
    <m/>
    <m/>
    <m/>
    <m/>
    <m/>
    <m/>
    <m/>
  </r>
  <r>
    <s v="PQR-SUI-288"/>
    <s v="3629/2026"/>
    <d v="2026-09-25T00:00:00"/>
    <s v="Verbal"/>
    <x v="0"/>
    <s v="USUARIO SOLICITA QUE EL PAGO QUE REALIZO POR VALOR DE 50000 EL DIA 23 DE SEPTIEMBRE AL CODIGO 1159154 SE TRASLADE AL CODIGO 1159164"/>
    <x v="1"/>
    <n v="122"/>
    <s v="Suscriptor que efectúa el pago pero este no es aplicado por la empresa en la facturación"/>
    <x v="26"/>
    <m/>
    <s v="LEONARDO SALAS PELAEZ"/>
    <n v="1159164"/>
    <m/>
    <m/>
    <n v="14"/>
    <d v="2026-10-16T00:00:00"/>
    <m/>
    <m/>
    <m/>
    <m/>
    <m/>
    <m/>
    <m/>
    <m/>
  </r>
  <r>
    <s v="PQR-SUI-289"/>
    <s v="3630/2026"/>
    <d v="2026-09-25T00:00:00"/>
    <s v="Verbal"/>
    <x v="3"/>
    <s v="USUARIO REPORTA PREDIO DESOCUPADO"/>
    <x v="1"/>
    <n v="114"/>
    <s v="Descuento por predio desocupado"/>
    <x v="3"/>
    <m/>
    <s v="LILIANA JIMENEZ"/>
    <m/>
    <m/>
    <m/>
    <n v="14"/>
    <d v="2026-10-16T00:00:00"/>
    <m/>
    <m/>
    <m/>
    <m/>
    <m/>
    <m/>
    <m/>
    <m/>
  </r>
  <r>
    <s v="PQR-SUI-290"/>
    <s v="3631/2026"/>
    <d v="2026-09-25T00:00:00"/>
    <s v="Verbal"/>
    <x v="4"/>
    <s v="USUARIO REPORTA HUNDIMIENTO FRENTE AL PREDIO"/>
    <x v="2"/>
    <n v="316"/>
    <s v="Estado de la Infraestructura "/>
    <x v="7"/>
    <m/>
    <s v="LILIANA JIMENEZ"/>
    <m/>
    <m/>
    <m/>
    <n v="14"/>
    <d v="2026-10-16T00:00:00"/>
    <m/>
    <m/>
    <m/>
    <m/>
    <m/>
    <m/>
    <m/>
    <m/>
  </r>
  <r>
    <s v="PQR-SUI-291"/>
    <s v="3632/2026"/>
    <d v="2026-09-25T00:00:00"/>
    <s v="Verbal"/>
    <x v="3"/>
    <s v="USUARIA REPORTA PREDIO DESOCUPADO"/>
    <x v="1"/>
    <n v="114"/>
    <s v="Descuento por predio desocupado"/>
    <x v="3"/>
    <m/>
    <s v="LUZ ESPERANZA ARBELAEZ ATEHORTUA"/>
    <n v="1047940"/>
    <m/>
    <m/>
    <n v="14"/>
    <d v="2026-10-16T00:00:00"/>
    <m/>
    <m/>
    <m/>
    <m/>
    <m/>
    <m/>
    <m/>
    <m/>
  </r>
  <r>
    <s v="PQR-SUI-292"/>
    <s v="3633/2026"/>
    <d v="2026-09-25T00:00:00"/>
    <s v="Verbal"/>
    <x v="3"/>
    <s v="USUARIO SOLICITA DESCUENTO POR PREDIO DESOCUPADO DE ACUERDO A SOLICITUD 8078 DEL 14 DE JULIO 2026"/>
    <x v="1"/>
    <n v="114"/>
    <s v="Descuento por predio desocupado"/>
    <x v="8"/>
    <m/>
    <s v="NELLY CASTILLO FERRO"/>
    <m/>
    <m/>
    <m/>
    <n v="14"/>
    <d v="2026-10-16T00:00:00"/>
    <m/>
    <m/>
    <m/>
    <m/>
    <m/>
    <m/>
    <m/>
    <m/>
  </r>
  <r>
    <s v="PQR-SUI-293"/>
    <s v="3634/2026"/>
    <d v="2026-09-25T00:00:00"/>
    <s v="Verbal"/>
    <x v="1"/>
    <s v="USUARIO REPORTA MEDIDOR"/>
    <x v="2"/>
    <n v="316"/>
    <s v="Estado de la Infraestructura "/>
    <x v="19"/>
    <m/>
    <s v="ANGELICA MARIA MORALES"/>
    <m/>
    <m/>
    <m/>
    <n v="14"/>
    <d v="2026-10-16T00:00:00"/>
    <m/>
    <m/>
    <m/>
    <m/>
    <m/>
    <m/>
    <m/>
    <m/>
  </r>
  <r>
    <s v="PQR-SUI-294"/>
    <s v="3635/2026"/>
    <d v="2026-09-25T00:00:00"/>
    <s v="Documento Físico"/>
    <x v="0"/>
    <s v="SOLICITUD DE CAMBIO DE USO COMERCIAL A RESIDENCIAL DEL PREDIO UBICADO EN LA CRA 24 No. 35-26 APTO 2"/>
    <x v="1"/>
    <n v="118"/>
    <s v="Clase de uso incorrecto _x000a_(Industrial, comercial, oficial, otros)"/>
    <x v="73"/>
    <m/>
    <s v="MARIELA CARDONA"/>
    <m/>
    <m/>
    <m/>
    <n v="14"/>
    <d v="2026-10-16T00:00:00"/>
    <m/>
    <m/>
    <m/>
    <m/>
    <m/>
    <m/>
    <m/>
    <m/>
  </r>
  <r>
    <s v="PQR-SUI-295"/>
    <s v="3636/2026"/>
    <d v="2026-09-25T00:00:00"/>
    <s v="Verbal"/>
    <x v="0"/>
    <s v="DATOS GENERALES INCORRECTOS CAMBIO DE NOMBRE"/>
    <x v="1"/>
    <n v="106"/>
    <s v="Datos Generales Incorrectos"/>
    <x v="0"/>
    <m/>
    <s v="MARTA YONELLY MARQUEZ ALONSO"/>
    <m/>
    <m/>
    <m/>
    <n v="14"/>
    <d v="2026-10-16T00:00:00"/>
    <m/>
    <m/>
    <m/>
    <m/>
    <m/>
    <m/>
    <m/>
    <m/>
  </r>
  <r>
    <s v="PQR-SUI-296"/>
    <s v="3637/2026"/>
    <d v="2026-09-25T00:00:00"/>
    <s v="Verbal"/>
    <x v="1"/>
    <s v="CAMBIO DE LLAVE"/>
    <x v="2"/>
    <n v="316"/>
    <s v="Estado de la Infraestructura "/>
    <x v="11"/>
    <m/>
    <s v="LUZ STELLA CHACON"/>
    <m/>
    <m/>
    <m/>
    <n v="14"/>
    <d v="2026-10-16T00:00:00"/>
    <m/>
    <m/>
    <m/>
    <m/>
    <m/>
    <m/>
    <m/>
    <m/>
  </r>
  <r>
    <s v="PQR-SUI-297"/>
    <s v="3638/2026"/>
    <d v="2026-09-25T00:00:00"/>
    <s v="Verbal"/>
    <x v="1"/>
    <s v="CAMBIO DE LLAVE"/>
    <x v="2"/>
    <n v="316"/>
    <s v="Estado de la Infraestructura "/>
    <x v="11"/>
    <m/>
    <s v="CARLOS MURILLO"/>
    <m/>
    <m/>
    <m/>
    <n v="14"/>
    <d v="2026-10-16T00:00:00"/>
    <m/>
    <m/>
    <m/>
    <m/>
    <m/>
    <m/>
    <m/>
    <m/>
  </r>
  <r>
    <s v="PQR-SUI-298"/>
    <s v="3639/2026"/>
    <d v="2026-09-25T00:00:00"/>
    <s v="Verbal"/>
    <x v="3"/>
    <s v="DESCUENTO POR PREDIO DESOCUPADO"/>
    <x v="1"/>
    <n v="114"/>
    <s v="Descuento por predio desocupado"/>
    <x v="3"/>
    <m/>
    <s v="HUMBERTO ANDRÉS RAMIREZ"/>
    <m/>
    <m/>
    <m/>
    <n v="14"/>
    <d v="2026-10-16T00:00:00"/>
    <m/>
    <m/>
    <m/>
    <m/>
    <m/>
    <m/>
    <m/>
    <m/>
  </r>
  <r>
    <s v="PQR-SUI-299"/>
    <s v="3640/2026"/>
    <d v="2026-09-25T00:00:00"/>
    <s v="Verbal"/>
    <x v="4"/>
    <s v="DERECHO DE PETICION POR PRESUNTO INCREMENTO INJUSTIFICADO EN EL VALOR DE LA FACTURA DEL SERVICIO DE ACUEDUCTO - CÓDIGO 1253983"/>
    <x v="1"/>
    <n v="127"/>
    <s v="Inconformidad por desviación significativa"/>
    <x v="5"/>
    <m/>
    <s v="LIDA MERCEDES SANCHEZ LOBOA"/>
    <n v="1253983"/>
    <m/>
    <s v="porasignar@gmail.com"/>
    <n v="14"/>
    <d v="2026-10-16T00:00:00"/>
    <m/>
    <m/>
    <m/>
    <m/>
    <m/>
    <m/>
    <m/>
    <m/>
  </r>
  <r>
    <s v="PQR-SUI-300"/>
    <s v="3641/2026"/>
    <d v="2026-09-28T00:00:00"/>
    <s v="Verbal"/>
    <x v="1"/>
    <s v="CAMBIO DE LLAVE"/>
    <x v="2"/>
    <n v="316"/>
    <s v="Estado de la Infraestructura "/>
    <x v="11"/>
    <m/>
    <s v="JESUS DANIEL LOPEZ MARULANDA"/>
    <m/>
    <m/>
    <m/>
    <n v="14"/>
    <d v="2026-10-16T00:00:00"/>
    <m/>
    <m/>
    <m/>
    <m/>
    <m/>
    <m/>
    <m/>
    <m/>
  </r>
  <r>
    <s v="PQR-SUI-301"/>
    <s v="3642/2026"/>
    <d v="2026-09-28T00:00:00"/>
    <s v="Documento Físico"/>
    <x v="4"/>
    <s v="SOLICITUD DE REVISIÓN POR AUMENTO INJUSTIFICADO DEL SERVICIO DE ACUEDUCTO CODIGO 1206500"/>
    <x v="1"/>
    <n v="127"/>
    <s v="Inconformidad por desviación significativa"/>
    <x v="5"/>
    <m/>
    <s v="MUÑOZ ARNOBY AGUIRRE"/>
    <n v="1206500"/>
    <m/>
    <m/>
    <n v="14"/>
    <d v="2026-10-19T00:00:00"/>
    <m/>
    <m/>
    <m/>
    <m/>
    <m/>
    <m/>
    <m/>
    <m/>
  </r>
  <r>
    <s v="PQR-SUI-302"/>
    <s v="3643/2026"/>
    <d v="2026-09-28T00:00:00"/>
    <s v="Documento Físico"/>
    <x v="0"/>
    <s v="DERECHO DE PETICIÓN - SOLICITUD DE REVISIÓN PARA CAMBIO DE USO COMERCIAL A RESIDENCIAL Y CONSUMO ELEVADO"/>
    <x v="1"/>
    <n v="118"/>
    <s v="Clase de uso incorrecto _x000a_(Industrial, comercial, oficial, otros)"/>
    <x v="73"/>
    <m/>
    <s v="FEDERIDO CRUZ HURTADO"/>
    <m/>
    <m/>
    <m/>
    <n v="14"/>
    <d v="2026-10-19T00:00:00"/>
    <m/>
    <m/>
    <m/>
    <m/>
    <m/>
    <m/>
    <m/>
    <m/>
  </r>
  <r>
    <s v="PQR-SUI-303"/>
    <s v="3644/2026"/>
    <d v="2026-09-28T00:00:00"/>
    <s v="Verbal"/>
    <x v="5"/>
    <s v="DAÑO RED DE ALCANTARILLADO"/>
    <x v="2"/>
    <n v="316"/>
    <s v="Estado de la Infraestructura "/>
    <x v="9"/>
    <m/>
    <s v="MARIA ISABEL MUÑOZ"/>
    <m/>
    <m/>
    <m/>
    <n v="14"/>
    <d v="2026-10-19T00:00:00"/>
    <m/>
    <m/>
    <m/>
    <m/>
    <m/>
    <m/>
    <m/>
    <m/>
  </r>
  <r>
    <s v="PQR-IN-128"/>
    <s v="3645/2026"/>
    <d v="2026-09-28T00:00:00"/>
    <s v="Verbal"/>
    <x v="3"/>
    <s v="RECOLECCION ESPECIAL"/>
    <x v="2"/>
    <n v="503"/>
    <s v="Solicitud General"/>
    <x v="6"/>
    <m/>
    <s v="SONIA VALERO PATIÑO"/>
    <m/>
    <m/>
    <m/>
    <n v="14"/>
    <d v="2026-10-19T00:00:00"/>
    <m/>
    <m/>
    <m/>
    <m/>
    <m/>
    <m/>
    <m/>
    <m/>
  </r>
  <r>
    <s v="PQR-SUI-304"/>
    <s v="3646/2026"/>
    <d v="2026-09-28T00:00:00"/>
    <s v="Verbal"/>
    <x v="4"/>
    <s v="INCONFORMIDAD POR DESVIACION SIGNIFICATIVA"/>
    <x v="1"/>
    <n v="127"/>
    <s v="Inconformidad por desviación significativa"/>
    <x v="5"/>
    <m/>
    <s v="RAMIRO ARBELAEZ RAVE"/>
    <m/>
    <m/>
    <m/>
    <n v="14"/>
    <d v="2026-10-19T00:00:00"/>
    <m/>
    <m/>
    <m/>
    <m/>
    <m/>
    <m/>
    <m/>
    <m/>
  </r>
  <r>
    <s v="PQR-SUI-305"/>
    <s v="3647/2026"/>
    <d v="2026-09-28T00:00:00"/>
    <s v="Verbal"/>
    <x v="3"/>
    <s v="USUARIO REPORTA PREDIO DESOCUPADO"/>
    <x v="1"/>
    <n v="114"/>
    <s v="Descuento por predio desocupado"/>
    <x v="3"/>
    <m/>
    <s v="OSCAR VELEZ POSADA"/>
    <m/>
    <m/>
    <m/>
    <n v="14"/>
    <d v="2026-10-19T00:00:00"/>
    <m/>
    <m/>
    <m/>
    <m/>
    <m/>
    <m/>
    <m/>
    <m/>
  </r>
  <r>
    <s v="PQR-SUI-306"/>
    <s v="3648/2026"/>
    <d v="2026-09-28T00:00:00"/>
    <s v="Página Web"/>
    <x v="1"/>
    <s v="PQR-2026-0000005-MCD - RECLAMO POR BAJA PRESIÓN DEL SERVICIO DE ACUEDUCTO - Calle 43 No. 24-60 APTO 402 ÓDIGO DE USUARIO 1215940"/>
    <x v="2"/>
    <n v="304"/>
    <s v="Variaciones en las características del suministro o prestación del servicio"/>
    <x v="12"/>
    <m/>
    <s v="LUZ DARY CABALLERO"/>
    <m/>
    <m/>
    <m/>
    <n v="14"/>
    <d v="2026-10-19T00:00:00"/>
    <m/>
    <m/>
    <m/>
    <m/>
    <m/>
    <m/>
    <m/>
    <m/>
  </r>
  <r>
    <s v="PQR-SUI-307"/>
    <s v="3649/2026"/>
    <d v="2026-09-28T00:00:00"/>
    <s v="Verbal"/>
    <x v="3"/>
    <s v="USUARIO REPORTA PREDIO DESOCUPADO"/>
    <x v="1"/>
    <n v="114"/>
    <s v="Descuento por predio desocupado"/>
    <x v="3"/>
    <m/>
    <s v="OSCAR VELEZ POSADA"/>
    <m/>
    <m/>
    <m/>
    <n v="14"/>
    <d v="2026-10-19T00:00:00"/>
    <m/>
    <m/>
    <m/>
    <m/>
    <m/>
    <m/>
    <m/>
    <m/>
  </r>
  <r>
    <s v="PQR-IN-129"/>
    <s v="3650/2026"/>
    <d v="2026-09-28T00:00:00"/>
    <s v="Pagina Web"/>
    <x v="3"/>
    <s v="PQR2026-0000006-MCD - DERECHO DE PETICION - QUEJA POR DEORA INJUSTIFICADA EN LA RECOLECCIÓN DE RESIDUOS ESPECIALES REPORTADOS DESDE EL MES DE JUNIO DE 20206 LLANITOS DE GUARALA Mz 33 CASA 20"/>
    <x v="0"/>
    <n v="503"/>
    <s v="Solicitud General"/>
    <x v="6"/>
    <m/>
    <s v="ANGIE MARCELA SUAREZ CRUZ"/>
    <m/>
    <m/>
    <m/>
    <n v="14"/>
    <d v="2026-10-19T00:00:00"/>
    <m/>
    <m/>
    <m/>
    <m/>
    <m/>
    <m/>
    <m/>
    <m/>
  </r>
  <r>
    <s v="PQR-IN-130"/>
    <s v="3651/2026"/>
    <d v="2026-09-28T00:00:00"/>
    <s v="Página Web"/>
    <x v="4"/>
    <s v="PQR2026-0000007-MCD - SOLICITUD DE EXPLICACION DE LOS VALORES INCLUIDOS EN LA FACTURA DE ACUEDUCTO DEL CÓDIGO 1253949"/>
    <x v="0"/>
    <n v="503"/>
    <s v="Solicitud General"/>
    <x v="77"/>
    <m/>
    <s v="ANDRES FELIPE CAMARGO POSADA"/>
    <n v="1253949"/>
    <m/>
    <m/>
    <n v="14"/>
    <d v="2026-10-19T00:00:00"/>
    <m/>
    <m/>
    <m/>
    <m/>
    <m/>
    <m/>
    <m/>
    <m/>
  </r>
  <r>
    <s v="PQR-SUI-308"/>
    <s v="3652/2026"/>
    <d v="2026-09-28T00:00:00"/>
    <s v="Documento Físico"/>
    <x v="0"/>
    <s v="USUARIO SOLICIA DESCUENTO EN COBRO DE CONSUMO DE ACUERDO A RESPUESTA DEL RADICADO EMCA-PQRS-2670-2026"/>
    <x v="1"/>
    <n v="102"/>
    <s v="Inconformidad con la medición del consumo o producción facturado"/>
    <x v="5"/>
    <m/>
    <s v="MARIA DENIR SERNA CARDONA"/>
    <m/>
    <m/>
    <m/>
    <n v="14"/>
    <d v="2026-10-19T00:00:00"/>
    <m/>
    <m/>
    <m/>
    <m/>
    <m/>
    <m/>
    <m/>
    <m/>
  </r>
  <r>
    <s v="PQR-IN-131"/>
    <s v="3653/2026"/>
    <d v="2026-09-28T00:00:00"/>
    <s v="Página Web"/>
    <x v="3"/>
    <s v="PQR2026-0000008-MCD - REPORTE POR PREDIO DESOCUPADO POR AFECTACIONES DEL SISMO DEL 10 DE AGOSTO - Cra 25 No. 37-37 APTO 303 EDIFICIO CONCASA"/>
    <x v="1"/>
    <n v="114"/>
    <s v="Descuento por predio desocupado"/>
    <x v="3"/>
    <m/>
    <s v="LUISA FERNANDA CASTRILLON BARBOSA"/>
    <m/>
    <m/>
    <m/>
    <n v="14"/>
    <d v="2026-10-19T00:00:00"/>
    <m/>
    <m/>
    <m/>
    <m/>
    <m/>
    <m/>
    <m/>
    <m/>
  </r>
  <r>
    <s v="PQR-SUI-309"/>
    <s v="3654/2026"/>
    <d v="2026-09-28T00:00:00"/>
    <s v="Verbal"/>
    <x v="0"/>
    <s v="PQR2026-0000009-MCD - RECLAMO POR FALTA DE ENTREGA OPORTUNA DE LA FACTURA DEL SERVIICIO DE ACUEDUCTO DEL PREDIO CON CÓDIGO 1251850"/>
    <x v="1"/>
    <n v="108"/>
    <s v="Entrega inoportuna o no entrega de la factura"/>
    <x v="78"/>
    <m/>
    <s v="USUARIO (A)"/>
    <n v="1251850"/>
    <m/>
    <m/>
    <n v="14"/>
    <d v="2026-10-19T00:00:00"/>
    <m/>
    <m/>
    <m/>
    <m/>
    <m/>
    <m/>
    <m/>
    <m/>
  </r>
  <r>
    <s v="PQR-SUI-310"/>
    <s v="3655/2026"/>
    <d v="2026-09-28T00:00:00"/>
    <s v="Verbal"/>
    <x v="3"/>
    <s v="USUARIO REPORTA PREDIO DESOCUPADO"/>
    <x v="1"/>
    <n v="114"/>
    <s v="Descuento por predio desocupado"/>
    <x v="3"/>
    <m/>
    <s v="OLGA LUCIA ARBELAEZ"/>
    <m/>
    <m/>
    <m/>
    <n v="14"/>
    <d v="2026-10-19T00:00:00"/>
    <m/>
    <m/>
    <m/>
    <m/>
    <m/>
    <m/>
    <m/>
    <m/>
  </r>
  <r>
    <s v="PQR-SUI-234"/>
    <s v="3656/2026"/>
    <d v="2026-09-28T00:00:00"/>
    <s v="Verbal"/>
    <x v="1"/>
    <s v="USUARIO REPORTA FUGA MEDIDOR"/>
    <x v="2"/>
    <n v="316"/>
    <s v="Estado de la Infraestructura "/>
    <x v="19"/>
    <m/>
    <s v="CARLOS EMILIOP CARDONA MARIN"/>
    <m/>
    <m/>
    <m/>
    <n v="14"/>
    <d v="2026-10-19T00:00:00"/>
    <m/>
    <m/>
    <m/>
    <m/>
    <m/>
    <m/>
    <m/>
    <m/>
  </r>
  <r>
    <s v="PQR-IN-132"/>
    <s v="3657/2026"/>
    <d v="2026-09-28T00:00:00"/>
    <s v="Verbal"/>
    <x v="9"/>
    <s v="SOLICITUD DE REVISIÓN Y DESCUENTO DE LOS COBROS DE ASEO Y ALCANTARILLADO DE LA CASETA COMIUNAL DEL BARRIO LOS ALAMOS - BARCELONA"/>
    <x v="1"/>
    <n v="119"/>
    <s v="Tarifa Incorrecta"/>
    <x v="54"/>
    <m/>
    <s v="ANA MERCEDES COY ARIZA"/>
    <m/>
    <m/>
    <m/>
    <n v="14"/>
    <d v="2026-10-19T00:00:00"/>
    <m/>
    <m/>
    <m/>
    <m/>
    <m/>
    <m/>
    <m/>
    <m/>
  </r>
  <r>
    <s v="PQR-SUI-312"/>
    <s v="3658/2026"/>
    <d v="2026-09-28T00:00:00"/>
    <s v="Verbal"/>
    <x v="1"/>
    <s v="CAMBIO DE LLAVE"/>
    <x v="2"/>
    <n v="316"/>
    <s v="Estado de la Infraestructura "/>
    <x v="11"/>
    <m/>
    <s v="MARIA EUGENIA BERNAL SIERRA"/>
    <m/>
    <m/>
    <m/>
    <n v="14"/>
    <d v="2026-10-19T00:00:00"/>
    <m/>
    <m/>
    <m/>
    <m/>
    <m/>
    <m/>
    <m/>
    <m/>
  </r>
  <r>
    <s v="PQR-SUI-313"/>
    <s v="3659/2026"/>
    <d v="2026-09-28T00:00:00"/>
    <s v="Verbal"/>
    <x v="3"/>
    <s v="PREDIO DESOCUPADO"/>
    <x v="1"/>
    <n v="114"/>
    <s v="Descuento por predio desocupado"/>
    <x v="3"/>
    <m/>
    <s v="INES ROZO GLORIA"/>
    <m/>
    <m/>
    <m/>
    <n v="14"/>
    <d v="2026-10-19T00:00:00"/>
    <m/>
    <m/>
    <m/>
    <m/>
    <m/>
    <m/>
    <m/>
    <m/>
  </r>
  <r>
    <s v="PQR-SUI-314"/>
    <s v="3660/2026"/>
    <d v="2026-09-28T00:00:00"/>
    <s v="Verbal"/>
    <x v="1"/>
    <s v="FUGA DE MEDIDOR"/>
    <x v="2"/>
    <n v="316"/>
    <s v="Estado de la Infraestructura "/>
    <x v="19"/>
    <m/>
    <s v="YOLANDA LOPEZ"/>
    <m/>
    <m/>
    <m/>
    <n v="14"/>
    <d v="2026-10-19T00:00:00"/>
    <m/>
    <m/>
    <m/>
    <m/>
    <m/>
    <m/>
    <m/>
    <m/>
  </r>
  <r>
    <s v="PQR-IN-279"/>
    <s v="3661/2026"/>
    <d v="2026-09-28T00:00:00"/>
    <s v="Verbal"/>
    <x v="0"/>
    <s v="USUARIO SOLICITA DESCUENTO POR CAMBIO DE USO EN LOS MESES DE JUNIO- JULIO- AGOSTO 2026 DE ACUERDO AL RADICADO EMCA-PQR-3154"/>
    <x v="1"/>
    <n v="118"/>
    <s v="Clase de uso incorrecto _x000a_(Industrial, comercial, oficial, otros)"/>
    <x v="73"/>
    <m/>
    <s v="JUAN FELIPE GONZÁLEZ ZULUAGA"/>
    <m/>
    <m/>
    <m/>
    <n v="14"/>
    <d v="2026-10-19T00:00:00"/>
    <m/>
    <m/>
    <m/>
    <m/>
    <m/>
    <m/>
    <m/>
    <m/>
  </r>
  <r>
    <s v="PQR-SUI-315"/>
    <s v="3662/2026"/>
    <d v="2026-09-28T00:00:00"/>
    <s v="Verbal"/>
    <x v="3"/>
    <s v="USUARIO SOLICITA AJUSTE EN LA TARIFA DE ASEO"/>
    <x v="1"/>
    <n v="114"/>
    <s v="Descuento por predio desocupado"/>
    <x v="3"/>
    <m/>
    <s v="ROGELIO NIETO"/>
    <m/>
    <m/>
    <m/>
    <n v="14"/>
    <d v="2026-10-19T00:00:00"/>
    <m/>
    <m/>
    <m/>
    <m/>
    <m/>
    <m/>
    <m/>
    <m/>
  </r>
  <r>
    <s v="PQR-SUI-316"/>
    <s v="3663/2026"/>
    <d v="2026-09-28T00:00:00"/>
    <s v="Documento Físico"/>
    <x v="4"/>
    <s v="Solicitud de Revisión por aumento injustificado del servicio de Acueducto barrio las Palmas MZ A Casa 15"/>
    <x v="1"/>
    <n v="102"/>
    <s v="inconformidad cn el consumo o produccion facturado"/>
    <x v="79"/>
    <m/>
    <s v="VIVIANA SANTANA"/>
    <m/>
    <m/>
    <m/>
    <n v="14"/>
    <d v="2026-10-19T00:00:00"/>
    <m/>
    <m/>
    <m/>
    <m/>
    <m/>
    <m/>
    <m/>
    <m/>
  </r>
  <r>
    <s v="PQR-SUI-317"/>
    <s v="3664/2026"/>
    <d v="2026-09-28T00:00:00"/>
    <s v="Verbal"/>
    <x v="4"/>
    <s v="SOLICITUD REVISION DE REDES"/>
    <x v="2"/>
    <n v="316"/>
    <s v="Estado de la Infraestructura "/>
    <x v="19"/>
    <m/>
    <s v="LUZ MILA CAICEDO"/>
    <m/>
    <m/>
    <m/>
    <n v="14"/>
    <d v="2026-10-19T00:00:00"/>
    <m/>
    <m/>
    <m/>
    <m/>
    <m/>
    <m/>
    <m/>
    <m/>
  </r>
  <r>
    <s v="PQR-IN-133"/>
    <s v="3665/2026"/>
    <d v="2026-09-29T00:00:00"/>
    <s v="Correo Electrónico"/>
    <x v="6"/>
    <s v="Solicitud Revisión de Poste - Vía la Rochela Finca Piedras Vivas"/>
    <x v="0"/>
    <n v="316"/>
    <s v="Estado de la Infraestructura "/>
    <x v="14"/>
    <m/>
    <s v="SANDRA LORENA"/>
    <m/>
    <m/>
    <m/>
    <n v="14"/>
    <d v="2026-10-19T00:00:00"/>
    <m/>
    <m/>
    <m/>
    <m/>
    <m/>
    <m/>
    <m/>
    <m/>
  </r>
  <r>
    <s v="PQR-SUI-318"/>
    <s v="3666/2026"/>
    <d v="2026-09-29T00:00:00"/>
    <s v="Verbal"/>
    <x v="3"/>
    <s v="PREDIO DESOCUPADO"/>
    <x v="1"/>
    <n v="114"/>
    <s v="Descuento por predio desocupado"/>
    <x v="3"/>
    <m/>
    <s v="DEDINSON EDIEL BEDOYA RUA"/>
    <m/>
    <m/>
    <m/>
    <n v="14"/>
    <d v="2026-10-20T00:00:00"/>
    <m/>
    <m/>
    <m/>
    <m/>
    <m/>
    <m/>
    <m/>
    <m/>
  </r>
  <r>
    <s v="PQR-SUI-320"/>
    <s v="3667/2026"/>
    <d v="2026-09-29T00:00:00"/>
    <s v="Correo Electrónico"/>
    <x v="0"/>
    <s v="SOLICITUD DUPLICADO DE FACTURA CUENTA 6003544"/>
    <x v="0"/>
    <n v="503"/>
    <s v="Solicitud General"/>
    <x v="36"/>
    <m/>
    <s v="MEDIA COMMERCE S.A"/>
    <m/>
    <m/>
    <m/>
    <n v="14"/>
    <d v="2026-10-20T00:00:00"/>
    <m/>
    <m/>
    <m/>
    <m/>
    <m/>
    <m/>
    <m/>
    <m/>
  </r>
  <r>
    <s v="PQR-SUI-319"/>
    <s v="3668/2026"/>
    <d v="2026-09-29T00:00:00"/>
    <s v="Verbal"/>
    <x v="4"/>
    <s v="CAMBIO DE LLAVE"/>
    <x v="2"/>
    <n v="316"/>
    <s v="Estado de la Infraestructura "/>
    <x v="11"/>
    <m/>
    <s v="FELIX HURTADO"/>
    <m/>
    <m/>
    <m/>
    <n v="14"/>
    <d v="2026-10-20T00:00:00"/>
    <m/>
    <m/>
    <m/>
    <m/>
    <m/>
    <m/>
    <m/>
    <m/>
  </r>
  <r>
    <s v="PQR-IN-134"/>
    <s v="3669/2026"/>
    <d v="2026-09-29T00:00:00"/>
    <s v="Correo Electrónico"/>
    <x v="2"/>
    <s v="Solicitud de venta de agua en bloque"/>
    <x v="0"/>
    <n v="503"/>
    <s v="Solicitud General"/>
    <x v="2"/>
    <m/>
    <s v="CONSORCIO GRUPO CONSTRUCTOR AUTOPISTAS DEL CAFE"/>
    <m/>
    <m/>
    <m/>
    <n v="14"/>
    <d v="2026-10-20T00:00:00"/>
    <m/>
    <m/>
    <m/>
    <m/>
    <m/>
    <m/>
    <m/>
    <m/>
  </r>
  <r>
    <s v="PQR-SUI-321"/>
    <s v="3670/2026"/>
    <d v="2026-09-29T00:00:00"/>
    <s v="Documento Físico"/>
    <x v="0"/>
    <s v="Derecho de Petición - Solicitud de Revisión para eliminación definitiva de matricula cancelada en mayo de 2026 - Cra 27 No. 38-30"/>
    <x v="2"/>
    <n v="308"/>
    <s v="Terminación del contrato"/>
    <x v="80"/>
    <m/>
    <s v="ARIOSTO GARCIA GARCIA"/>
    <m/>
    <m/>
    <m/>
    <n v="14"/>
    <d v="2026-10-20T00:00:00"/>
    <m/>
    <m/>
    <m/>
    <m/>
    <m/>
    <m/>
    <m/>
    <m/>
  </r>
  <r>
    <s v="PQR-SUI-321"/>
    <s v="3671/2026"/>
    <d v="2026-09-29T00:00:00"/>
    <s v="Documento Físico"/>
    <x v="0"/>
    <s v="Derecho de Petición - Solicitud de revisión por aumento desproporcionado del servicio de acueducto - Codigo 1242660"/>
    <x v="1"/>
    <n v="102"/>
    <s v="inconformidad cn el consumo o produccion facturado"/>
    <x v="79"/>
    <m/>
    <s v="LILIANA PATRICIA LONDOÑO PEREZ"/>
    <m/>
    <m/>
    <m/>
    <n v="14"/>
    <d v="2026-10-20T00:00:00"/>
    <m/>
    <m/>
    <m/>
    <m/>
    <m/>
    <m/>
    <m/>
    <m/>
  </r>
  <r>
    <s v="PQR-SUI-323"/>
    <s v="3672/2026"/>
    <d v="2026-09-29T00:00:00"/>
    <s v="Verbal"/>
    <x v="4"/>
    <s v="INCONFORMIDAD POR DESVIACION SIGNIFICATIVA"/>
    <x v="1"/>
    <n v="127"/>
    <s v="Inconformidad por desviación significativa"/>
    <x v="5"/>
    <m/>
    <s v="JONATHAN STIVEN SANCHEZ"/>
    <m/>
    <m/>
    <m/>
    <n v="14"/>
    <d v="2026-10-20T00:00:00"/>
    <m/>
    <m/>
    <m/>
    <m/>
    <m/>
    <m/>
    <m/>
    <m/>
  </r>
  <r>
    <s v="PQR-SUI-324"/>
    <s v="3673/2026"/>
    <d v="2026-09-29T00:00:00"/>
    <s v="Verbal"/>
    <x v="0"/>
    <s v="COBRO DE INTERESES DE MORA, CARTERA"/>
    <x v="1"/>
    <n v="102"/>
    <s v="inconformidad cn el consumo o produccion facturado"/>
    <x v="79"/>
    <m/>
    <s v="MARTHA ADIELA CASAS ORTIZ"/>
    <m/>
    <m/>
    <m/>
    <n v="14"/>
    <d v="2026-10-20T00:00:00"/>
    <m/>
    <m/>
    <m/>
    <m/>
    <m/>
    <m/>
    <m/>
    <m/>
  </r>
  <r>
    <s v="PQR-IN-135"/>
    <s v="3674/2026"/>
    <d v="2026-09-29T00:00:00"/>
    <s v="Documento Físico"/>
    <x v="0"/>
    <s v="Solicitud de cancelación de cobros en la factura de acueducto por predio desocupado - NIU 205536"/>
    <x v="1"/>
    <n v="114"/>
    <s v="Descuento por predio desocupado"/>
    <x v="3"/>
    <m/>
    <s v="LUCELLY HENAO OSORIO"/>
    <m/>
    <m/>
    <m/>
    <n v="14"/>
    <d v="2026-10-20T00:00:00"/>
    <m/>
    <m/>
    <m/>
    <m/>
    <m/>
    <m/>
    <m/>
    <m/>
  </r>
  <r>
    <s v="PQR-SUI-325"/>
    <s v="3675/2026"/>
    <d v="2026-09-29T00:00:00"/>
    <s v="Verbal"/>
    <x v="4"/>
    <s v="HUNDIMIENTO DE VIA"/>
    <x v="2"/>
    <n v="316"/>
    <s v="Estado de la Infraestructura "/>
    <x v="81"/>
    <m/>
    <s v="HUGO MARIO CARVAJAL"/>
    <m/>
    <m/>
    <m/>
    <n v="14"/>
    <d v="2026-10-20T00:00:00"/>
    <m/>
    <m/>
    <m/>
    <m/>
    <m/>
    <m/>
    <m/>
    <m/>
  </r>
  <r>
    <s v="PQR-SUI-326"/>
    <s v="3676/2026"/>
    <d v="2026-09-29T00:00:00"/>
    <s v="Verbal"/>
    <x v="4"/>
    <s v="USUARIA SOLICITA REVISION INTERNA POR INCREMENTO EN EL CONSUMO"/>
    <x v="1"/>
    <n v="102"/>
    <s v="inconformidad cn el consumo o produccion facturado"/>
    <x v="79"/>
    <m/>
    <s v="GLORIA AMPARO ZAPATA"/>
    <m/>
    <m/>
    <m/>
    <n v="14"/>
    <d v="2026-10-20T00:00:00"/>
    <m/>
    <m/>
    <m/>
    <m/>
    <m/>
    <m/>
    <m/>
    <m/>
  </r>
  <r>
    <s v="PQR-SUI-327"/>
    <s v="3677/2026"/>
    <d v="2026-09-29T00:00:00"/>
    <s v="Documento Físico"/>
    <x v="0"/>
    <s v="Reclamación por cobro desmedido del servicio de Aseo del predio ubicado en la calle 15 No. 35-55 - código 1090920"/>
    <x v="1"/>
    <n v="119"/>
    <s v="Tarifa Incorrecta"/>
    <x v="54"/>
    <m/>
    <s v="LUIS FERNANDO RIOS VELASQUEZ"/>
    <m/>
    <m/>
    <m/>
    <n v="14"/>
    <d v="2026-10-20T00:00:00"/>
    <m/>
    <m/>
    <m/>
    <m/>
    <m/>
    <m/>
    <m/>
    <m/>
  </r>
  <r>
    <s v="PQR-SUI-328"/>
    <s v="3678/2026"/>
    <d v="2026-09-29T00:00:00"/>
    <s v="Verbal"/>
    <x v="0"/>
    <s v="DATOS GENERALES INCORRECTOS CAMBIO DE NOMENCLATURA"/>
    <x v="0"/>
    <n v="500"/>
    <s v="Cambio de datos básicos"/>
    <x v="0"/>
    <m/>
    <s v="AZAEL CERON LOPEZ"/>
    <m/>
    <m/>
    <m/>
    <n v="14"/>
    <d v="2026-10-20T00:00:00"/>
    <m/>
    <m/>
    <m/>
    <m/>
    <m/>
    <m/>
    <m/>
    <m/>
  </r>
  <r>
    <s v="PQR-IN-136"/>
    <s v="3679/2026"/>
    <d v="2026-09-29T00:00:00"/>
    <s v="Documento Físico"/>
    <x v="0"/>
    <s v="SOLICITUD DE CONEXIÓN DE SERVICIOS - CRA 32 No. 9-152 LOTE TERRENO # 66 CONJUNTO CABO MARIPOSA"/>
    <x v="0"/>
    <n v="502"/>
    <s v="Vinculación del Servicio"/>
    <x v="22"/>
    <m/>
    <s v="DANIEL SANCHEZ HURADO"/>
    <m/>
    <m/>
    <m/>
    <n v="14"/>
    <d v="2026-10-20T00:00:00"/>
    <m/>
    <m/>
    <m/>
    <m/>
    <m/>
    <m/>
    <m/>
    <m/>
  </r>
  <r>
    <s v="PQR-SUI-329"/>
    <s v="3680/2026"/>
    <d v="2026-09-29T00:00:00"/>
    <s v="Documento Físico"/>
    <x v="4"/>
    <s v="Derecho de Petición - Solicitud de visita técnica y de conexión para el sistema de alcantarillado del predio ubicado - CRA 25 No. 21-29 barrio el Jardín"/>
    <x v="0"/>
    <n v="502"/>
    <s v="Vinculación del Servicio"/>
    <x v="22"/>
    <m/>
    <s v="YENNI LILIANA ARANGO CUESTA"/>
    <m/>
    <m/>
    <m/>
    <n v="14"/>
    <d v="2026-10-20T00:00:00"/>
    <m/>
    <m/>
    <m/>
    <m/>
    <m/>
    <m/>
    <m/>
    <m/>
  </r>
  <r>
    <s v="PQR-IN-137"/>
    <s v="3681/2026"/>
    <d v="2026-09-29T00:00:00"/>
    <s v="Documento Físico"/>
    <x v="6"/>
    <s v="SH-1167-2026 - Remisión por competencia de Recurso de Reconsideración en contra de factura 6358004"/>
    <x v="1"/>
    <n v="102"/>
    <s v="inconformidad cn el consumo o produccion facturado"/>
    <x v="79"/>
    <m/>
    <s v="ALCALDIA CALARCÁ"/>
    <m/>
    <m/>
    <s v="asuntosadministrativos@calarca-quindio.gov.co"/>
    <n v="14"/>
    <d v="2026-10-20T00:00:00"/>
    <m/>
    <m/>
    <m/>
    <m/>
    <m/>
    <m/>
    <m/>
    <m/>
  </r>
  <r>
    <s v="PQR-IN-138"/>
    <s v="3682/2026"/>
    <d v="2026-09-29T00:00:00"/>
    <s v="Telefónico"/>
    <x v="3"/>
    <s v="USUARIO SOLICITA RECOLECCION DE MUEBLE EN MADERA Y BASE DE MADERA"/>
    <x v="2"/>
    <n v="503"/>
    <s v="Solicitud General"/>
    <x v="6"/>
    <m/>
    <s v="LEIDY LILIANA PETEVIA CRISTOBAL"/>
    <m/>
    <m/>
    <m/>
    <n v="14"/>
    <d v="2026-10-20T00:00:00"/>
    <m/>
    <m/>
    <m/>
    <m/>
    <m/>
    <m/>
    <m/>
    <m/>
  </r>
  <r>
    <m/>
    <s v="3683/2026"/>
    <d v="2026-09-29T00:00:00"/>
    <s v="Telefónico"/>
    <x v="3"/>
    <s v="USUARIO SOLICITA RECOLECCION DE MUEBLE EN MADERA Y BASE DE MESA"/>
    <x v="2"/>
    <n v="503"/>
    <s v="Solicitud General"/>
    <x v="6"/>
    <m/>
    <s v="TATIANA BAQUERO OSSA"/>
    <m/>
    <m/>
    <m/>
    <n v="14"/>
    <d v="2026-10-20T00:00:00"/>
    <m/>
    <m/>
    <m/>
    <m/>
    <m/>
    <m/>
    <m/>
    <m/>
  </r>
  <r>
    <m/>
    <s v="3684/2026"/>
    <d v="2026-09-29T00:00:00"/>
    <s v="Telefónico"/>
    <x v="11"/>
    <s v="Derecho de Petición"/>
    <x v="0"/>
    <n v="503"/>
    <s v="Solicitud General"/>
    <x v="32"/>
    <m/>
    <s v="NATALIA GUERRERO MARTINEZ"/>
    <m/>
    <m/>
    <m/>
    <n v="14"/>
    <d v="2026-10-20T00:00:00"/>
    <m/>
    <m/>
    <m/>
    <m/>
    <m/>
    <m/>
    <m/>
    <m/>
  </r>
  <r>
    <s v="PQR-IN-138"/>
    <s v="3685/2026"/>
    <d v="2026-09-29T00:00:00"/>
    <s v="Telefónico"/>
    <x v="3"/>
    <s v="USUARIO SOLICITA RECOLECCION DE UN SOFA"/>
    <x v="2"/>
    <n v="503"/>
    <s v="Solicitud General"/>
    <x v="6"/>
    <m/>
    <s v="LEIDY GIOVANA DELGADILLO"/>
    <m/>
    <m/>
    <m/>
    <n v="14"/>
    <d v="2026-10-20T00:00:00"/>
    <m/>
    <m/>
    <m/>
    <m/>
    <m/>
    <m/>
    <m/>
    <m/>
  </r>
  <r>
    <s v="PQR-IN-140"/>
    <s v="3686/2026"/>
    <d v="2026-09-29T00:00:00"/>
    <s v="Telefónico"/>
    <x v="3"/>
    <s v="USUARIO SOLICITA RECOLECCION DE UN SOFA"/>
    <x v="2"/>
    <n v="503"/>
    <s v="Solicitud General"/>
    <x v="6"/>
    <m/>
    <s v="CAROL CASTRO"/>
    <m/>
    <m/>
    <m/>
    <n v="14"/>
    <d v="2026-10-20T00:00:00"/>
    <m/>
    <m/>
    <m/>
    <m/>
    <m/>
    <m/>
    <m/>
    <m/>
  </r>
  <r>
    <s v="PQR-SUI-331"/>
    <s v="3687/2026"/>
    <d v="2026-09-30T00:00:00"/>
    <s v="Verbal"/>
    <x v="4"/>
    <s v="INCONFORMIDAD POR DESVIACION SIGNIFICATIVA"/>
    <x v="1"/>
    <n v="127"/>
    <s v="Inconformidad por desviación significativa"/>
    <x v="5"/>
    <m/>
    <s v="RICARDO ESTEBAN SANTA MARIA"/>
    <m/>
    <m/>
    <m/>
    <n v="14"/>
    <d v="2026-10-20T00:00:00"/>
    <m/>
    <m/>
    <m/>
    <m/>
    <m/>
    <m/>
    <m/>
    <m/>
  </r>
  <r>
    <s v="PQR-SUI-332"/>
    <s v="3688/2026"/>
    <d v="2026-09-30T00:00:00"/>
    <s v="Verbal"/>
    <x v="4"/>
    <s v="CAMBIO DE LLAVE"/>
    <x v="2"/>
    <n v="316"/>
    <s v="Estado de la Infraestructura "/>
    <x v="11"/>
    <m/>
    <s v="BLANCA DORIS PINZON"/>
    <m/>
    <m/>
    <m/>
    <n v="14"/>
    <d v="2026-10-21T00:00:00"/>
    <m/>
    <m/>
    <m/>
    <m/>
    <m/>
    <m/>
    <m/>
    <m/>
  </r>
  <r>
    <s v="PQR-IN-141"/>
    <s v="3689/2026"/>
    <d v="2026-09-30T00:00:00"/>
    <s v="Correo Electrónico"/>
    <x v="3"/>
    <s v="SOLICITUD DE INFORMACIÓN Y COTIZACIÓN PARA RECOLECCIÓN Y DISPOSICIÓN DE RESIDUOS CÁRNICOS"/>
    <x v="0"/>
    <n v="503"/>
    <s v="Solicitud General"/>
    <x v="2"/>
    <m/>
    <s v="MARIA JOSE ESCOBAR LOPEZ"/>
    <m/>
    <m/>
    <m/>
    <n v="14"/>
    <d v="2026-10-21T00:00:00"/>
    <m/>
    <m/>
    <m/>
    <m/>
    <m/>
    <m/>
    <m/>
    <m/>
  </r>
  <r>
    <s v="PQR-SUI-333"/>
    <s v="3690/2026"/>
    <d v="2026-09-30T00:00:00"/>
    <s v="Correo Electrónico"/>
    <x v="0"/>
    <s v="PQR2026-0000011-MCD - Reclamación por facturación injustificada y cobro excesivo del servicio de Acueducto del predio con código 1144085"/>
    <x v="1"/>
    <n v="127"/>
    <s v="Inconformidad por desviación significativa"/>
    <x v="5"/>
    <m/>
    <s v="LUISA FERNANDA CASTRILLON BARBOSA"/>
    <m/>
    <m/>
    <m/>
    <n v="14"/>
    <d v="2026-10-21T00:00:00"/>
    <m/>
    <m/>
    <m/>
    <m/>
    <m/>
    <m/>
    <m/>
    <m/>
  </r>
  <r>
    <s v="PQR-IN-142"/>
    <s v="3691/2026"/>
    <d v="2026-09-30T00:00:00"/>
    <s v="Documento Físico"/>
    <x v="4"/>
    <s v="Solicitud de revisión por fuga del Servicio de Acueducto después del sismo del 10 de agosto - Códigos de usuario 1188400 y 1188404"/>
    <x v="2"/>
    <n v="316"/>
    <s v="Estado de la Infraestructura "/>
    <x v="19"/>
    <m/>
    <s v="INES GOMEZ SABOGAL"/>
    <m/>
    <m/>
    <m/>
    <n v="14"/>
    <d v="2026-10-21T00:00:00"/>
    <m/>
    <m/>
    <m/>
    <m/>
    <m/>
    <m/>
    <m/>
    <m/>
  </r>
  <r>
    <s v="PQR-SUI-334"/>
    <s v="3692/2026"/>
    <d v="2026-09-30T00:00:00"/>
    <s v="Verbal"/>
    <x v="0"/>
    <s v="DATOS GENERALES INCORRECTOS CAMBIO DE NOMENCLATURA"/>
    <x v="0"/>
    <n v="500"/>
    <s v="Cambio de datos básicos"/>
    <x v="0"/>
    <m/>
    <s v="JUAN DANIEL LEON ALZATE"/>
    <m/>
    <m/>
    <m/>
    <n v="14"/>
    <d v="2026-10-21T00:00:00"/>
    <m/>
    <m/>
    <m/>
    <m/>
    <m/>
    <m/>
    <m/>
    <m/>
  </r>
  <r>
    <s v="PQR-SUI-335"/>
    <s v="3693/2026"/>
    <d v="2026-09-30T00:00:00"/>
    <s v="Verbal"/>
    <x v="0"/>
    <s v="SUSCIRPTOR QUE PAGA Y NO SE APLICA EN LA FACTURA"/>
    <x v="1"/>
    <n v="122"/>
    <s v="Suscriptor que efectúa el pago pero este no es aplicado por la empresa en la facturación"/>
    <x v="26"/>
    <m/>
    <s v="ANGELICA MARIA URREGO GALINDO"/>
    <m/>
    <m/>
    <m/>
    <n v="14"/>
    <d v="2026-10-21T00:00:00"/>
    <m/>
    <m/>
    <m/>
    <m/>
    <m/>
    <m/>
    <m/>
    <m/>
  </r>
  <r>
    <s v="PQR-SUI-336"/>
    <s v="3694/2026"/>
    <d v="2026-09-30T00:00:00"/>
    <s v="Telefónico"/>
    <x v="3"/>
    <s v="Usuario solicita descuento en cobro de consumo de acuerdo a PQR-1534-120"/>
    <x v="0"/>
    <n v="503"/>
    <s v="Solicitud General"/>
    <x v="79"/>
    <m/>
    <s v="LUZ STELLA PELAEZ MONTOYA"/>
    <m/>
    <m/>
    <m/>
    <n v="14"/>
    <d v="2026-10-21T00:00:00"/>
    <m/>
    <m/>
    <m/>
    <m/>
    <m/>
    <m/>
    <m/>
    <m/>
  </r>
  <r>
    <s v="PQR-SUI-338"/>
    <s v="3695/2026"/>
    <d v="2026-09-30T00:00:00"/>
    <s v="Verbal"/>
    <x v="0"/>
    <s v="USUARIO SOLICIA DESCUENTO EN COBRO DE CONSUMO DE ACUERDO A RADICADO EMCA-PQRS-1535-102"/>
    <x v="1"/>
    <n v="102"/>
    <s v="inconformidad cn el consumo o produccion facturado"/>
    <x v="79"/>
    <m/>
    <s v="LUZ LEIDY CRUZ VILLA"/>
    <m/>
    <m/>
    <m/>
    <n v="14"/>
    <d v="2026-10-21T00:00:00"/>
    <m/>
    <m/>
    <m/>
    <m/>
    <m/>
    <m/>
    <m/>
    <m/>
  </r>
  <r>
    <s v="PQR-SUI-337"/>
    <s v="3696/2026"/>
    <d v="2026-09-30T00:00:00"/>
    <s v="Verbal"/>
    <x v="4"/>
    <s v="INCONFORMIDAD POR DESVIACION SIGNIFICATIVA"/>
    <x v="1"/>
    <n v="127"/>
    <s v="Inconformidad por desviación significativa"/>
    <x v="5"/>
    <m/>
    <s v="JAMES MENDOZA BUENO"/>
    <m/>
    <m/>
    <m/>
    <n v="14"/>
    <d v="2026-10-21T00:00:00"/>
    <m/>
    <m/>
    <m/>
    <m/>
    <m/>
    <m/>
    <m/>
    <m/>
  </r>
  <r>
    <s v="PQR-SUI-339"/>
    <s v="3697/2026"/>
    <d v="2026-09-30T00:00:00"/>
    <s v="Verbal"/>
    <x v="0"/>
    <s v="FUGA DE MEDIDOR"/>
    <x v="2"/>
    <n v="316"/>
    <s v="Estado de la Infraestructura "/>
    <x v="19"/>
    <m/>
    <s v="ABEL SAIS GARZON"/>
    <m/>
    <m/>
    <m/>
    <n v="14"/>
    <d v="2026-10-21T00:00:00"/>
    <m/>
    <m/>
    <m/>
    <m/>
    <m/>
    <m/>
    <m/>
    <m/>
  </r>
  <r>
    <s v="PQR-IN-142"/>
    <s v="3698/2026"/>
    <d v="2026-09-30T00:00:00"/>
    <s v="Documento Físico"/>
    <x v="0"/>
    <s v="SOLICITUD DE DEVOLUCIÓN DE DINERO POR PAGO DUPLICADO DE LA FACTURA CODIGO DE USUARIO 1004540"/>
    <x v="0"/>
    <n v="503"/>
    <s v="Solicitud General"/>
    <x v="36"/>
    <m/>
    <s v="USUARIO (A)"/>
    <m/>
    <m/>
    <m/>
    <n v="14"/>
    <d v="2026-10-21T00:00:00"/>
    <m/>
    <m/>
    <m/>
    <m/>
    <m/>
    <m/>
    <m/>
    <m/>
  </r>
  <r>
    <s v="PQR-SUI-340"/>
    <s v="3699/2026"/>
    <d v="2026-09-30T00:00:00"/>
    <s v="Verbal"/>
    <x v="3"/>
    <s v="PREDIO DESOCUPADO"/>
    <x v="1"/>
    <n v="114"/>
    <s v="Descuento por predio desocupado"/>
    <x v="3"/>
    <m/>
    <s v="ANGEL PEDRAZA"/>
    <m/>
    <m/>
    <m/>
    <n v="14"/>
    <d v="2026-10-21T00:00:00"/>
    <m/>
    <m/>
    <m/>
    <m/>
    <m/>
    <m/>
    <m/>
    <m/>
  </r>
  <r>
    <s v="PQR-SUI-341"/>
    <s v="3700/2026"/>
    <d v="2026-09-30T00:00:00"/>
    <s v="Telefónico"/>
    <x v="4"/>
    <s v="USUARIO SOLICIA DESCUENTO EN COBRO DE CONSUMO DE ACUERDO A RESPUESTA DEL RADICADO EMCA-3210-2026"/>
    <x v="1"/>
    <n v="102"/>
    <s v="inconformidad cn el consumo o produccion facturado"/>
    <x v="79"/>
    <m/>
    <s v="MARÍA ELENA AGUDELO CASTAÑO"/>
    <m/>
    <m/>
    <m/>
    <n v="14"/>
    <d v="2026-10-21T00:00:00"/>
    <m/>
    <m/>
    <m/>
    <m/>
    <m/>
    <m/>
    <m/>
    <m/>
  </r>
  <r>
    <s v="PQR-SUI-342"/>
    <s v="3701/2026"/>
    <d v="2026-09-30T00:00:00"/>
    <s v="Documento Físico"/>
    <x v="4"/>
    <s v="DERECHO DE PETICIÓN - SOLICITUD DE REVISIÓN POR AUMENTO INJUSTIFICADO - CODIGO 1241432"/>
    <x v="1"/>
    <n v="127"/>
    <s v="Inconformidad por desviación significativa"/>
    <x v="5"/>
    <m/>
    <s v="USUARIO (A)"/>
    <m/>
    <m/>
    <m/>
    <n v="14"/>
    <d v="2026-10-21T00:00:00"/>
    <m/>
    <m/>
    <m/>
    <m/>
    <m/>
    <m/>
    <m/>
    <m/>
  </r>
  <r>
    <s v="PQR-SUI-343"/>
    <s v="3702/2026"/>
    <d v="2026-09-30T00:00:00"/>
    <s v="Correo Electrónico"/>
    <x v="0"/>
    <s v="PMC-701-2026 - Seguimiento a Derecho de Petición REF: EMCA-PQRS-3245-2026"/>
    <x v="2"/>
    <n v="503"/>
    <s v="Solicitud General"/>
    <x v="82"/>
    <m/>
    <s v="MUNICIPAL PERSONERIA"/>
    <m/>
    <m/>
    <m/>
    <n v="14"/>
    <d v="2026-10-21T00:00:00"/>
    <m/>
    <m/>
    <m/>
    <m/>
    <m/>
    <m/>
    <m/>
    <m/>
  </r>
  <r>
    <s v="PQR-IN-144"/>
    <s v="3703/2026"/>
    <d v="2026-09-30T00:00:00"/>
    <s v="Telefónico"/>
    <x v="3"/>
    <s v="USUARIO SOLICITA RECOLECCION DE DOS MUEBLES"/>
    <x v="2"/>
    <n v="503"/>
    <s v="Solicitud General"/>
    <x v="6"/>
    <m/>
    <s v="INGRID RODRIGUEZ"/>
    <m/>
    <m/>
    <m/>
    <n v="14"/>
    <d v="2026-10-21T00:00:00"/>
    <m/>
    <m/>
    <m/>
    <m/>
    <m/>
    <m/>
    <m/>
    <m/>
  </r>
  <r>
    <s v="PQR-IN-153"/>
    <s v="3704/2026"/>
    <d v="2026-09-30T00:00:00"/>
    <s v="Documento Físico"/>
    <x v="4"/>
    <s v="REMISION DE DOCUMENTOS PARA SUBSANAR EL TRAMITE DE DISPONIBILIDAD DE SERVICIOS (RADICADO EMCA-I-2679-2026"/>
    <x v="0"/>
    <n v="502"/>
    <s v="Vinculación del Servicio"/>
    <x v="83"/>
    <m/>
    <s v="GIORDANY GONZALEZ SERNA"/>
    <m/>
    <m/>
    <m/>
    <n v="14"/>
    <d v="2026-10-21T00:00:00"/>
    <m/>
    <m/>
    <m/>
    <m/>
    <m/>
    <m/>
    <m/>
    <m/>
  </r>
  <r>
    <s v="PQR-IN-145"/>
    <s v="3705/2026"/>
    <d v="2026-09-30T00:00:00"/>
    <s v="Telefónico"/>
    <x v="3"/>
    <s v="USUARIO SOLICITA RECOLECCION DE BASE CAMA,LARGUEROSY SILLA"/>
    <x v="2"/>
    <n v="503"/>
    <s v="Solicitud General"/>
    <x v="6"/>
    <m/>
    <s v="MARIO FERNANDO LEON"/>
    <m/>
    <m/>
    <m/>
    <n v="14"/>
    <d v="2026-10-21T00:00:00"/>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EC95C0-A966-4541-ADA7-204D01249448}" name="TablaDinámica1" cacheId="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A166" firstHeaderRow="1" firstDataRow="1" firstDataCol="1"/>
  <pivotFields count="25">
    <pivotField showAll="0"/>
    <pivotField showAll="0"/>
    <pivotField numFmtId="14" showAll="0"/>
    <pivotField showAll="0"/>
    <pivotField axis="axisRow" showAll="0">
      <items count="13">
        <item x="0"/>
        <item x="4"/>
        <item x="11"/>
        <item x="1"/>
        <item x="9"/>
        <item x="5"/>
        <item x="6"/>
        <item x="3"/>
        <item x="2"/>
        <item x="7"/>
        <item x="8"/>
        <item x="10"/>
        <item t="default"/>
      </items>
    </pivotField>
    <pivotField showAll="0"/>
    <pivotField axis="axisRow" showAll="0">
      <items count="6">
        <item x="0"/>
        <item x="4"/>
        <item x="2"/>
        <item x="1"/>
        <item x="3"/>
        <item t="default"/>
      </items>
    </pivotField>
    <pivotField showAll="0"/>
    <pivotField showAll="0"/>
    <pivotField axis="axisRow" showAll="0">
      <items count="85">
        <item x="39"/>
        <item x="52"/>
        <item x="61"/>
        <item x="56"/>
        <item x="17"/>
        <item x="28"/>
        <item x="72"/>
        <item x="16"/>
        <item x="11"/>
        <item x="45"/>
        <item x="0"/>
        <item x="24"/>
        <item x="80"/>
        <item x="37"/>
        <item x="65"/>
        <item x="22"/>
        <item x="15"/>
        <item x="47"/>
        <item x="2"/>
        <item x="27"/>
        <item x="9"/>
        <item x="12"/>
        <item x="69"/>
        <item x="8"/>
        <item x="23"/>
        <item x="83"/>
        <item x="36"/>
        <item x="31"/>
        <item x="57"/>
        <item x="20"/>
        <item x="19"/>
        <item x="50"/>
        <item x="33"/>
        <item x="81"/>
        <item x="7"/>
        <item x="71"/>
        <item x="35"/>
        <item x="68"/>
        <item x="53"/>
        <item x="34"/>
        <item x="73"/>
        <item x="79"/>
        <item x="55"/>
        <item x="1"/>
        <item x="10"/>
        <item x="58"/>
        <item x="74"/>
        <item x="54"/>
        <item x="29"/>
        <item x="64"/>
        <item x="51"/>
        <item x="60"/>
        <item x="13"/>
        <item x="14"/>
        <item x="41"/>
        <item x="59"/>
        <item x="76"/>
        <item x="78"/>
        <item x="44"/>
        <item x="43"/>
        <item x="26"/>
        <item x="42"/>
        <item x="75"/>
        <item x="40"/>
        <item x="3"/>
        <item x="49"/>
        <item x="21"/>
        <item x="62"/>
        <item x="6"/>
        <item x="25"/>
        <item x="4"/>
        <item x="46"/>
        <item x="67"/>
        <item x="48"/>
        <item x="5"/>
        <item x="66"/>
        <item x="63"/>
        <item x="38"/>
        <item x="82"/>
        <item x="30"/>
        <item x="18"/>
        <item x="77"/>
        <item x="70"/>
        <item x="32"/>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3">
    <field x="6"/>
    <field x="4"/>
    <field x="9"/>
  </rowFields>
  <rowItems count="163">
    <i>
      <x/>
    </i>
    <i r="1">
      <x/>
    </i>
    <i r="2">
      <x/>
    </i>
    <i r="2">
      <x v="10"/>
    </i>
    <i r="2">
      <x v="15"/>
    </i>
    <i r="2">
      <x v="18"/>
    </i>
    <i r="2">
      <x v="26"/>
    </i>
    <i r="2">
      <x v="28"/>
    </i>
    <i r="2">
      <x v="71"/>
    </i>
    <i r="2">
      <x v="79"/>
    </i>
    <i r="1">
      <x v="1"/>
    </i>
    <i r="2">
      <x v="15"/>
    </i>
    <i r="2">
      <x v="18"/>
    </i>
    <i r="2">
      <x v="24"/>
    </i>
    <i r="2">
      <x v="25"/>
    </i>
    <i r="2">
      <x v="30"/>
    </i>
    <i r="2">
      <x v="68"/>
    </i>
    <i r="2">
      <x v="76"/>
    </i>
    <i r="2">
      <x v="77"/>
    </i>
    <i r="2">
      <x v="79"/>
    </i>
    <i r="2">
      <x v="81"/>
    </i>
    <i r="1">
      <x v="2"/>
    </i>
    <i r="2">
      <x v="83"/>
    </i>
    <i r="1">
      <x v="3"/>
    </i>
    <i r="2">
      <x v="30"/>
    </i>
    <i r="2">
      <x v="59"/>
    </i>
    <i r="2">
      <x v="68"/>
    </i>
    <i r="1">
      <x v="5"/>
    </i>
    <i r="2">
      <x v="18"/>
    </i>
    <i r="2">
      <x v="79"/>
    </i>
    <i r="2">
      <x v="80"/>
    </i>
    <i r="1">
      <x v="6"/>
    </i>
    <i r="2">
      <x v="15"/>
    </i>
    <i r="2">
      <x v="53"/>
    </i>
    <i r="1">
      <x v="7"/>
    </i>
    <i r="2">
      <x v="2"/>
    </i>
    <i r="2">
      <x v="3"/>
    </i>
    <i r="2">
      <x v="5"/>
    </i>
    <i r="2">
      <x v="17"/>
    </i>
    <i r="2">
      <x v="18"/>
    </i>
    <i r="2">
      <x v="37"/>
    </i>
    <i r="2">
      <x v="41"/>
    </i>
    <i r="2">
      <x v="61"/>
    </i>
    <i r="2">
      <x v="62"/>
    </i>
    <i r="2">
      <x v="67"/>
    </i>
    <i r="2">
      <x v="68"/>
    </i>
    <i r="1">
      <x v="8"/>
    </i>
    <i r="2">
      <x v="1"/>
    </i>
    <i r="2">
      <x v="18"/>
    </i>
    <i r="1">
      <x v="9"/>
    </i>
    <i r="2">
      <x v="4"/>
    </i>
    <i r="2">
      <x v="9"/>
    </i>
    <i r="2">
      <x v="13"/>
    </i>
    <i r="2">
      <x v="14"/>
    </i>
    <i r="2">
      <x v="65"/>
    </i>
    <i r="2">
      <x v="79"/>
    </i>
    <i r="1">
      <x v="10"/>
    </i>
    <i r="2">
      <x v="69"/>
    </i>
    <i r="1">
      <x v="11"/>
    </i>
    <i r="2">
      <x v="15"/>
    </i>
    <i>
      <x v="1"/>
    </i>
    <i r="1">
      <x v="9"/>
    </i>
    <i r="2">
      <x v="63"/>
    </i>
    <i>
      <x v="2"/>
    </i>
    <i r="1">
      <x/>
    </i>
    <i r="2">
      <x v="12"/>
    </i>
    <i r="2">
      <x v="30"/>
    </i>
    <i r="2">
      <x v="46"/>
    </i>
    <i r="2">
      <x v="78"/>
    </i>
    <i r="1">
      <x v="1"/>
    </i>
    <i r="2">
      <x v="7"/>
    </i>
    <i r="2">
      <x v="8"/>
    </i>
    <i r="2">
      <x v="19"/>
    </i>
    <i r="2">
      <x v="29"/>
    </i>
    <i r="2">
      <x v="30"/>
    </i>
    <i r="2">
      <x v="31"/>
    </i>
    <i r="2">
      <x v="32"/>
    </i>
    <i r="2">
      <x v="33"/>
    </i>
    <i r="2">
      <x v="34"/>
    </i>
    <i r="2">
      <x v="66"/>
    </i>
    <i r="2">
      <x v="70"/>
    </i>
    <i r="2">
      <x v="80"/>
    </i>
    <i r="1">
      <x v="3"/>
    </i>
    <i r="2">
      <x v="8"/>
    </i>
    <i r="2">
      <x v="16"/>
    </i>
    <i r="2">
      <x v="21"/>
    </i>
    <i r="2">
      <x v="30"/>
    </i>
    <i r="2">
      <x v="48"/>
    </i>
    <i r="2">
      <x v="66"/>
    </i>
    <i r="2">
      <x v="80"/>
    </i>
    <i r="1">
      <x v="5"/>
    </i>
    <i r="2">
      <x v="7"/>
    </i>
    <i r="2">
      <x v="20"/>
    </i>
    <i r="2">
      <x v="36"/>
    </i>
    <i r="2">
      <x v="48"/>
    </i>
    <i r="2">
      <x v="50"/>
    </i>
    <i r="2">
      <x v="51"/>
    </i>
    <i r="2">
      <x v="52"/>
    </i>
    <i r="2">
      <x v="80"/>
    </i>
    <i r="1">
      <x v="6"/>
    </i>
    <i r="2">
      <x v="11"/>
    </i>
    <i r="2">
      <x v="49"/>
    </i>
    <i r="2">
      <x v="52"/>
    </i>
    <i r="2">
      <x v="53"/>
    </i>
    <i r="2">
      <x v="72"/>
    </i>
    <i r="2">
      <x v="80"/>
    </i>
    <i r="1">
      <x v="7"/>
    </i>
    <i r="2">
      <x v="8"/>
    </i>
    <i r="2">
      <x v="34"/>
    </i>
    <i r="2">
      <x v="35"/>
    </i>
    <i r="2">
      <x v="45"/>
    </i>
    <i r="2">
      <x v="56"/>
    </i>
    <i r="2">
      <x v="58"/>
    </i>
    <i r="2">
      <x v="68"/>
    </i>
    <i r="1">
      <x v="9"/>
    </i>
    <i r="2">
      <x v="27"/>
    </i>
    <i r="2">
      <x v="82"/>
    </i>
    <i>
      <x v="3"/>
    </i>
    <i r="1">
      <x/>
    </i>
    <i r="2">
      <x v="6"/>
    </i>
    <i r="2">
      <x v="10"/>
    </i>
    <i r="2">
      <x v="38"/>
    </i>
    <i r="2">
      <x v="40"/>
    </i>
    <i r="2">
      <x v="41"/>
    </i>
    <i r="2">
      <x v="42"/>
    </i>
    <i r="2">
      <x v="44"/>
    </i>
    <i r="2">
      <x v="47"/>
    </i>
    <i r="2">
      <x v="55"/>
    </i>
    <i r="2">
      <x v="57"/>
    </i>
    <i r="2">
      <x v="60"/>
    </i>
    <i r="2">
      <x v="64"/>
    </i>
    <i r="2">
      <x v="74"/>
    </i>
    <i r="1">
      <x v="1"/>
    </i>
    <i r="2">
      <x v="23"/>
    </i>
    <i r="2">
      <x v="30"/>
    </i>
    <i r="2">
      <x v="41"/>
    </i>
    <i r="2">
      <x v="44"/>
    </i>
    <i r="2">
      <x v="64"/>
    </i>
    <i r="2">
      <x v="74"/>
    </i>
    <i r="2">
      <x v="75"/>
    </i>
    <i r="1">
      <x v="3"/>
    </i>
    <i r="2">
      <x v="39"/>
    </i>
    <i r="2">
      <x v="43"/>
    </i>
    <i r="2">
      <x v="44"/>
    </i>
    <i r="2">
      <x v="54"/>
    </i>
    <i r="2">
      <x v="74"/>
    </i>
    <i r="1">
      <x v="4"/>
    </i>
    <i r="2">
      <x v="10"/>
    </i>
    <i r="2">
      <x v="47"/>
    </i>
    <i r="1">
      <x v="6"/>
    </i>
    <i r="2">
      <x v="41"/>
    </i>
    <i r="2">
      <x v="47"/>
    </i>
    <i r="1">
      <x v="7"/>
    </i>
    <i r="2">
      <x v="10"/>
    </i>
    <i r="2">
      <x v="22"/>
    </i>
    <i r="2">
      <x v="23"/>
    </i>
    <i r="2">
      <x v="64"/>
    </i>
    <i r="2">
      <x v="73"/>
    </i>
    <i r="2">
      <x v="74"/>
    </i>
    <i>
      <x v="4"/>
    </i>
    <i r="1">
      <x v="5"/>
    </i>
    <i r="2">
      <x v="8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F246FC-9F6C-4324-8D60-7710866B9286}" name="TablaDiná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C19" firstHeaderRow="1" firstDataRow="2" firstDataCol="1" rowPageCount="2" colPageCount="1"/>
  <pivotFields count="25">
    <pivotField showAll="0"/>
    <pivotField showAll="0"/>
    <pivotField numFmtId="14" showAll="0"/>
    <pivotField showAll="0">
      <items count="7">
        <item x="4"/>
        <item x="0"/>
        <item x="2"/>
        <item x="3"/>
        <item x="5"/>
        <item x="1"/>
        <item t="default"/>
      </items>
    </pivotField>
    <pivotField axis="axisPage" multipleItemSelectionAllowed="1" showAll="0">
      <items count="12">
        <item x="5"/>
        <item h="1" x="4"/>
        <item x="7"/>
        <item h="1" x="0"/>
        <item x="9"/>
        <item h="1" x="3"/>
        <item h="1" x="2"/>
        <item x="1"/>
        <item h="1" x="10"/>
        <item h="1" x="6"/>
        <item h="1" x="8"/>
        <item t="default"/>
      </items>
    </pivotField>
    <pivotField showAll="0"/>
    <pivotField axis="axisCol" showAll="0">
      <items count="4">
        <item x="1"/>
        <item x="0"/>
        <item x="2"/>
        <item t="default"/>
      </items>
    </pivotField>
    <pivotField dataField="1" showAll="0"/>
    <pivotField axis="axisPage" multipleItemSelectionAllowed="1" showAll="0">
      <items count="24">
        <item h="1" x="8"/>
        <item h="1" x="14"/>
        <item h="1" x="7"/>
        <item h="1" x="16"/>
        <item h="1" x="19"/>
        <item h="1" x="20"/>
        <item h="1" x="21"/>
        <item h="1" x="3"/>
        <item h="1" x="1"/>
        <item h="1" x="11"/>
        <item h="1" x="2"/>
        <item h="1" x="12"/>
        <item h="1" x="5"/>
        <item h="1" x="15"/>
        <item h="1" x="22"/>
        <item h="1" x="13"/>
        <item h="1" x="17"/>
        <item x="4"/>
        <item h="1" x="10"/>
        <item h="1" x="6"/>
        <item h="1" x="18"/>
        <item h="1" x="0"/>
        <item h="1" x="9"/>
        <item t="default"/>
      </items>
    </pivotField>
    <pivotField axis="axisRow" showAll="0">
      <items count="63">
        <item x="50"/>
        <item x="33"/>
        <item x="42"/>
        <item x="53"/>
        <item x="1"/>
        <item x="14"/>
        <item x="36"/>
        <item x="16"/>
        <item x="59"/>
        <item x="27"/>
        <item x="61"/>
        <item x="22"/>
        <item x="43"/>
        <item x="23"/>
        <item x="8"/>
        <item x="0"/>
        <item x="34"/>
        <item x="17"/>
        <item x="52"/>
        <item x="31"/>
        <item x="20"/>
        <item x="7"/>
        <item x="41"/>
        <item x="37"/>
        <item x="39"/>
        <item x="56"/>
        <item x="26"/>
        <item x="51"/>
        <item x="12"/>
        <item x="46"/>
        <item x="15"/>
        <item x="11"/>
        <item x="55"/>
        <item x="24"/>
        <item x="47"/>
        <item x="32"/>
        <item x="5"/>
        <item x="49"/>
        <item x="58"/>
        <item x="60"/>
        <item x="19"/>
        <item x="2"/>
        <item x="18"/>
        <item x="48"/>
        <item x="40"/>
        <item x="4"/>
        <item x="13"/>
        <item x="3"/>
        <item x="21"/>
        <item x="28"/>
        <item x="6"/>
        <item x="29"/>
        <item x="38"/>
        <item x="57"/>
        <item x="10"/>
        <item x="35"/>
        <item x="44"/>
        <item x="25"/>
        <item x="54"/>
        <item x="9"/>
        <item x="30"/>
        <item x="45"/>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9"/>
  </rowFields>
  <rowItems count="14">
    <i>
      <x/>
    </i>
    <i>
      <x v="3"/>
    </i>
    <i>
      <x v="11"/>
    </i>
    <i>
      <x v="19"/>
    </i>
    <i>
      <x v="23"/>
    </i>
    <i>
      <x v="32"/>
    </i>
    <i>
      <x v="34"/>
    </i>
    <i>
      <x v="38"/>
    </i>
    <i>
      <x v="44"/>
    </i>
    <i>
      <x v="46"/>
    </i>
    <i>
      <x v="50"/>
    </i>
    <i>
      <x v="52"/>
    </i>
    <i>
      <x v="57"/>
    </i>
    <i t="grand">
      <x/>
    </i>
  </rowItems>
  <colFields count="1">
    <field x="6"/>
  </colFields>
  <colItems count="2">
    <i>
      <x/>
    </i>
    <i t="grand">
      <x/>
    </i>
  </colItems>
  <pageFields count="2">
    <pageField fld="4" hier="-1"/>
    <pageField fld="8" hier="-1"/>
  </pageFields>
  <dataFields count="1">
    <dataField name="Cuenta de CODIGO DE CAUSAL" fld="7" subtotal="count" baseField="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7AD802-5010-458C-8F67-D17724CD853D}"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8" firstHeaderRow="1" firstDataRow="1" firstDataCol="1"/>
  <pivotFields count="20">
    <pivotField dataField="1" numFmtId="22" showAll="0"/>
    <pivotField showAll="0"/>
    <pivotField showAll="0"/>
    <pivotField showAll="0"/>
    <pivotField showAll="0"/>
    <pivotField showAll="0"/>
    <pivotField showAll="0">
      <items count="2">
        <item x="0"/>
        <item t="default"/>
      </items>
    </pivotField>
    <pivotField showAll="0">
      <items count="2">
        <item x="0"/>
        <item t="default"/>
      </items>
    </pivotField>
    <pivotField showAll="0">
      <items count="2">
        <item x="0"/>
        <item t="default"/>
      </items>
    </pivotField>
    <pivotField showAll="0">
      <items count="2">
        <item x="0"/>
        <item t="default"/>
      </items>
    </pivotField>
    <pivotField showAll="0">
      <items count="2">
        <item x="0"/>
        <item t="default"/>
      </items>
    </pivotField>
    <pivotField showAll="0">
      <items count="3">
        <item x="1"/>
        <item x="0"/>
        <item t="default"/>
      </items>
    </pivotField>
    <pivotField showAll="0">
      <items count="3">
        <item x="0"/>
        <item x="1"/>
        <item t="default"/>
      </items>
    </pivotField>
    <pivotField showAll="0">
      <items count="2">
        <item x="0"/>
        <item t="default"/>
      </items>
    </pivotField>
    <pivotField showAll="0">
      <items count="3">
        <item x="0"/>
        <item x="1"/>
        <item t="default"/>
      </items>
    </pivotField>
    <pivotField showAll="0">
      <items count="4">
        <item x="2"/>
        <item x="0"/>
        <item x="1"/>
        <item t="default"/>
      </items>
    </pivotField>
    <pivotField showAll="0">
      <items count="4">
        <item x="0"/>
        <item x="2"/>
        <item x="1"/>
        <item t="default"/>
      </items>
    </pivotField>
    <pivotField showAll="0">
      <items count="4">
        <item x="0"/>
        <item x="2"/>
        <item x="1"/>
        <item t="default"/>
      </items>
    </pivotField>
    <pivotField showAll="0">
      <items count="2">
        <item x="0"/>
        <item t="default"/>
      </items>
    </pivotField>
    <pivotField axis="axisRow" showAll="0">
      <items count="4">
        <item x="1"/>
        <item x="2"/>
        <item x="0"/>
        <item t="default"/>
      </items>
    </pivotField>
  </pivotFields>
  <rowFields count="1">
    <field x="19"/>
  </rowFields>
  <rowItems count="4">
    <i>
      <x/>
    </i>
    <i>
      <x v="1"/>
    </i>
    <i>
      <x v="2"/>
    </i>
    <i t="grand">
      <x/>
    </i>
  </rowItems>
  <colItems count="1">
    <i/>
  </colItems>
  <dataFields count="1">
    <dataField name="Cuenta de Marca temporal"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85061-30CE-4FF0-A0B1-6775521A74A5}" name="Tabla1" displayName="Tabla1" ref="A1:Y479" totalsRowShown="0" headerRowDxfId="0" dataDxfId="1" headerRowBorderDxfId="27" tableBorderDxfId="28">
  <autoFilter ref="A1:Y479" xr:uid="{4AF85061-30CE-4FF0-A0B1-6775521A74A5}"/>
  <tableColumns count="25">
    <tableColumn id="1" xr3:uid="{C480DD23-B5A1-498D-AA66-27EF2A1BDD16}" name="Columna1" dataDxfId="26"/>
    <tableColumn id="2" xr3:uid="{B6B21384-4DCD-44BB-A7D6-AC3CCCC11CF3}" name="RADICADO" dataDxfId="25"/>
    <tableColumn id="3" xr3:uid="{FA59D846-6585-4DB4-B144-3D63E524D261}" name="FECHA" dataDxfId="24"/>
    <tableColumn id="4" xr3:uid="{260F8B02-1D66-43A4-A565-BB4955EA9B05}" name="MEDIO DE RECEPCION" dataDxfId="23"/>
    <tableColumn id="5" xr3:uid="{F088760C-330F-4719-ADED-26564438B6D6}" name="SERVICIO" dataDxfId="22"/>
    <tableColumn id="6" xr3:uid="{1E270FDA-0D4A-42FB-B97F-A3292DD4BC03}" name="OBJETO" dataDxfId="21"/>
    <tableColumn id="7" xr3:uid="{EBA9FF2A-35E6-4AD7-8DA1-2E6A8EE85C15}" name="CAUSAL" dataDxfId="20"/>
    <tableColumn id="8" xr3:uid="{B62C74E7-C4F0-4BF6-BDB6-63BAB9D87E46}" name="CODIGO DE CAUSAL" dataDxfId="19"/>
    <tableColumn id="9" xr3:uid="{F32EE286-074A-4BEC-BD41-BBF78BCBAECE}" name="CAUSAL2" dataDxfId="18"/>
    <tableColumn id="10" xr3:uid="{7D3ECA5B-70D6-466E-AC4B-2F664D1C9C88}" name="DIVISION DE CAUSAL" dataDxfId="17"/>
    <tableColumn id="11" xr3:uid="{7073F879-C0B9-4434-9E0B-83BF7F897B4B}" name="APLICA" dataDxfId="16"/>
    <tableColumn id="12" xr3:uid="{84FACB81-BF80-4223-B09A-9106EBA90886}" name="PETICIONARIO" dataDxfId="15"/>
    <tableColumn id="13" xr3:uid="{B276F0A8-EEC1-44CF-9D23-FAC1C12F709E}" name="CODIGO" dataDxfId="14"/>
    <tableColumn id="14" xr3:uid="{88F7D905-EFEC-40C9-92CB-CAE71CDFD144}" name="TELEFONO" dataDxfId="13"/>
    <tableColumn id="15" xr3:uid="{BC15535D-1285-467F-A55F-20B772D5826D}" name="CORREO" dataDxfId="12"/>
    <tableColumn id="16" xr3:uid="{32649519-E794-419C-B7F4-0BB65E58E2C2}" name="DIAS" dataDxfId="11"/>
    <tableColumn id="17" xr3:uid="{906469A8-B639-44C3-B7E7-A1515F84E5E0}" name="FECHA LIMITE DE RESPUESTA" dataDxfId="10"/>
    <tableColumn id="18" xr3:uid="{37F7D155-BBB3-44AE-BECA-C102649FC2A1}" name="FECHA DE TRASLADO" dataDxfId="9"/>
    <tableColumn id="19" xr3:uid="{616E7772-D233-43F5-892E-178E18499F51}" name="SEGUIMIENTO" dataDxfId="8"/>
    <tableColumn id="20" xr3:uid="{404FFDF9-B41E-4354-8DCF-3FA60098F49F}" name="FECHA DE VISITA TECNICA" dataDxfId="7"/>
    <tableColumn id="21" xr3:uid="{D34A6D88-99D1-438C-AB52-2170350CAB92}" name="FECHA DE RADICADO" dataDxfId="6"/>
    <tableColumn id="22" xr3:uid="{8F05C2D7-EBDB-4AF8-90C8-8B778F228E0C}" name="RADICADO3" dataDxfId="5"/>
    <tableColumn id="23" xr3:uid="{46B6C2B0-BA69-4AA1-9B7C-EDA76566BC49}" name="RADICADO4" dataDxfId="4"/>
    <tableColumn id="24" xr3:uid="{2C84AC7D-78AE-43D3-B098-C378FEEE6B38}" name="RADICADO5" dataDxfId="3"/>
    <tableColumn id="25" xr3:uid="{C86E40D5-1C9C-416B-9C5A-8E16F4075890}" name="RADICADO6"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F2FC-2108-4F86-A3BE-DFAA052E6DD3}">
  <dimension ref="A1:Y479"/>
  <sheetViews>
    <sheetView zoomScaleNormal="100" workbookViewId="0"/>
  </sheetViews>
  <sheetFormatPr baseColWidth="10" defaultRowHeight="50.1" customHeight="1" x14ac:dyDescent="0.25"/>
  <cols>
    <col min="2" max="2" width="12.42578125" customWidth="1"/>
    <col min="3" max="3" width="12.5703125" customWidth="1"/>
    <col min="4" max="4" width="13.140625" customWidth="1"/>
    <col min="5" max="5" width="14.28515625" bestFit="1" customWidth="1"/>
    <col min="6" max="6" width="12.28515625" customWidth="1"/>
    <col min="8" max="8" width="11.5703125" bestFit="1" customWidth="1"/>
    <col min="13" max="13" width="11.5703125" bestFit="1" customWidth="1"/>
    <col min="14" max="14" width="12.5703125" bestFit="1" customWidth="1"/>
    <col min="16" max="16" width="11.5703125" bestFit="1" customWidth="1"/>
    <col min="17" max="17" width="12.28515625" bestFit="1" customWidth="1"/>
    <col min="18" max="18" width="12.7109375" customWidth="1"/>
    <col min="20" max="20" width="12.28515625" bestFit="1" customWidth="1"/>
    <col min="21" max="21" width="12.7109375" customWidth="1"/>
    <col min="22" max="22" width="12.5703125" customWidth="1"/>
  </cols>
  <sheetData>
    <row r="1" spans="1:25" ht="50.1" customHeight="1" thickBot="1" x14ac:dyDescent="0.3">
      <c r="A1" s="863"/>
      <c r="B1" s="2" t="s">
        <v>0</v>
      </c>
      <c r="C1" s="864" t="s">
        <v>1</v>
      </c>
      <c r="D1" s="864" t="s">
        <v>2</v>
      </c>
      <c r="E1" s="864" t="s">
        <v>3</v>
      </c>
      <c r="F1" s="864" t="s">
        <v>4</v>
      </c>
      <c r="G1" s="864" t="s">
        <v>6</v>
      </c>
      <c r="H1" s="864" t="s">
        <v>5</v>
      </c>
      <c r="I1" s="864" t="s">
        <v>6</v>
      </c>
      <c r="J1" s="864" t="s">
        <v>7</v>
      </c>
      <c r="K1" s="864" t="s">
        <v>8</v>
      </c>
      <c r="L1" s="865" t="s">
        <v>9</v>
      </c>
      <c r="M1" s="864" t="s">
        <v>10</v>
      </c>
      <c r="N1" s="864" t="s">
        <v>11</v>
      </c>
      <c r="O1" s="864" t="s">
        <v>12</v>
      </c>
      <c r="P1" s="866" t="s">
        <v>13</v>
      </c>
      <c r="Q1" s="866" t="s">
        <v>14</v>
      </c>
      <c r="R1" s="866" t="s">
        <v>15</v>
      </c>
      <c r="S1" s="866" t="s">
        <v>16</v>
      </c>
      <c r="T1" s="866" t="s">
        <v>17</v>
      </c>
      <c r="U1" s="866" t="s">
        <v>18</v>
      </c>
      <c r="V1" s="866" t="s">
        <v>0</v>
      </c>
      <c r="W1" s="866" t="s">
        <v>0</v>
      </c>
      <c r="X1" s="866" t="s">
        <v>0</v>
      </c>
      <c r="Y1" s="866" t="s">
        <v>0</v>
      </c>
    </row>
    <row r="2" spans="1:25" ht="50.1" customHeight="1" thickBot="1" x14ac:dyDescent="0.3">
      <c r="A2" s="867" t="s">
        <v>680</v>
      </c>
      <c r="B2" s="224" t="s">
        <v>681</v>
      </c>
      <c r="C2" s="868">
        <v>46266</v>
      </c>
      <c r="D2" s="224" t="s">
        <v>33</v>
      </c>
      <c r="E2" s="224" t="s">
        <v>29</v>
      </c>
      <c r="F2" s="869" t="s">
        <v>682</v>
      </c>
      <c r="G2" s="224" t="s">
        <v>30</v>
      </c>
      <c r="H2" s="224">
        <v>500</v>
      </c>
      <c r="I2" s="224" t="s">
        <v>49</v>
      </c>
      <c r="J2" s="224" t="s">
        <v>53</v>
      </c>
      <c r="K2" s="224" t="s">
        <v>25</v>
      </c>
      <c r="L2" s="869" t="s">
        <v>683</v>
      </c>
      <c r="M2" s="224">
        <v>1071802</v>
      </c>
      <c r="N2" s="224">
        <v>3163075656</v>
      </c>
      <c r="O2" s="870"/>
      <c r="P2" s="224">
        <v>14</v>
      </c>
      <c r="Q2" s="868">
        <v>46283</v>
      </c>
      <c r="R2" s="224" t="s">
        <v>26</v>
      </c>
      <c r="S2" s="224" t="s">
        <v>26</v>
      </c>
      <c r="T2" s="115">
        <v>46283</v>
      </c>
      <c r="U2" s="115">
        <v>46283</v>
      </c>
      <c r="V2" s="114" t="s">
        <v>684</v>
      </c>
      <c r="W2" s="145" t="s">
        <v>27</v>
      </c>
      <c r="X2" s="146" t="s">
        <v>25</v>
      </c>
      <c r="Y2" s="1"/>
    </row>
    <row r="3" spans="1:25" ht="50.1" customHeight="1" thickBot="1" x14ac:dyDescent="0.3">
      <c r="A3" s="4" t="s">
        <v>685</v>
      </c>
      <c r="B3" s="6" t="s">
        <v>686</v>
      </c>
      <c r="C3" s="5">
        <v>46266</v>
      </c>
      <c r="D3" s="6" t="s">
        <v>33</v>
      </c>
      <c r="E3" s="6" t="s">
        <v>20</v>
      </c>
      <c r="F3" s="7" t="s">
        <v>687</v>
      </c>
      <c r="G3" s="6" t="s">
        <v>34</v>
      </c>
      <c r="H3" s="6">
        <v>109</v>
      </c>
      <c r="I3" s="6" t="s">
        <v>118</v>
      </c>
      <c r="J3" s="6" t="s">
        <v>688</v>
      </c>
      <c r="K3" s="6" t="s">
        <v>47</v>
      </c>
      <c r="L3" s="7" t="s">
        <v>689</v>
      </c>
      <c r="M3" s="6">
        <v>1250874</v>
      </c>
      <c r="N3" s="6">
        <v>3226633048</v>
      </c>
      <c r="O3" s="8"/>
      <c r="P3" s="6">
        <v>14</v>
      </c>
      <c r="Q3" s="5">
        <v>46286</v>
      </c>
      <c r="R3" s="6" t="s">
        <v>236</v>
      </c>
      <c r="S3" s="6" t="s">
        <v>236</v>
      </c>
      <c r="T3" s="5">
        <v>46266</v>
      </c>
      <c r="U3" s="5">
        <v>46286</v>
      </c>
      <c r="V3" s="6" t="s">
        <v>690</v>
      </c>
      <c r="W3" s="9" t="s">
        <v>27</v>
      </c>
      <c r="X3" s="10" t="s">
        <v>25</v>
      </c>
      <c r="Y3" s="8"/>
    </row>
    <row r="4" spans="1:25" ht="50.1" customHeight="1" thickBot="1" x14ac:dyDescent="0.3">
      <c r="A4" s="4" t="s">
        <v>691</v>
      </c>
      <c r="B4" s="12" t="s">
        <v>692</v>
      </c>
      <c r="C4" s="5">
        <v>46266</v>
      </c>
      <c r="D4" s="6" t="s">
        <v>28</v>
      </c>
      <c r="E4" s="6" t="s">
        <v>84</v>
      </c>
      <c r="F4" s="7" t="s">
        <v>693</v>
      </c>
      <c r="G4" s="6" t="s">
        <v>30</v>
      </c>
      <c r="H4" s="6">
        <v>503</v>
      </c>
      <c r="I4" s="6" t="s">
        <v>31</v>
      </c>
      <c r="J4" s="6" t="s">
        <v>59</v>
      </c>
      <c r="K4" s="6" t="s">
        <v>25</v>
      </c>
      <c r="L4" s="871" t="s">
        <v>694</v>
      </c>
      <c r="M4" s="8"/>
      <c r="N4" s="8"/>
      <c r="O4" s="6" t="s">
        <v>695</v>
      </c>
      <c r="P4" s="6">
        <v>14</v>
      </c>
      <c r="Q4" s="5">
        <v>46286</v>
      </c>
      <c r="R4" s="5">
        <v>46266</v>
      </c>
      <c r="S4" s="6" t="s">
        <v>26</v>
      </c>
      <c r="T4" s="6" t="s">
        <v>26</v>
      </c>
      <c r="U4" s="5">
        <v>46280</v>
      </c>
      <c r="V4" s="6" t="s">
        <v>696</v>
      </c>
      <c r="W4" s="9" t="s">
        <v>27</v>
      </c>
      <c r="X4" s="10" t="s">
        <v>25</v>
      </c>
      <c r="Y4" s="10" t="s">
        <v>25</v>
      </c>
    </row>
    <row r="5" spans="1:25" ht="50.1" customHeight="1" thickBot="1" x14ac:dyDescent="0.3">
      <c r="A5" s="4" t="s">
        <v>697</v>
      </c>
      <c r="B5" s="6" t="s">
        <v>698</v>
      </c>
      <c r="C5" s="5">
        <v>46266</v>
      </c>
      <c r="D5" s="6" t="s">
        <v>19</v>
      </c>
      <c r="E5" s="6" t="s">
        <v>39</v>
      </c>
      <c r="F5" s="7" t="s">
        <v>58</v>
      </c>
      <c r="G5" s="6" t="s">
        <v>34</v>
      </c>
      <c r="H5" s="6">
        <v>114</v>
      </c>
      <c r="I5" s="6" t="s">
        <v>41</v>
      </c>
      <c r="J5" s="6" t="s">
        <v>42</v>
      </c>
      <c r="K5" s="6" t="s">
        <v>47</v>
      </c>
      <c r="L5" s="7" t="s">
        <v>699</v>
      </c>
      <c r="M5" s="6">
        <v>1045540</v>
      </c>
      <c r="N5" s="8"/>
      <c r="O5" s="8"/>
      <c r="P5" s="6">
        <v>14</v>
      </c>
      <c r="Q5" s="5">
        <v>46286</v>
      </c>
      <c r="R5" s="6" t="s">
        <v>26</v>
      </c>
      <c r="S5" s="6" t="s">
        <v>26</v>
      </c>
      <c r="T5" s="5">
        <v>46286</v>
      </c>
      <c r="U5" s="5">
        <v>46286</v>
      </c>
      <c r="V5" s="6" t="s">
        <v>700</v>
      </c>
      <c r="W5" s="9" t="s">
        <v>27</v>
      </c>
      <c r="X5" s="10" t="s">
        <v>25</v>
      </c>
      <c r="Y5" s="8"/>
    </row>
    <row r="6" spans="1:25" ht="50.1" customHeight="1" thickBot="1" x14ac:dyDescent="0.3">
      <c r="A6" s="4" t="s">
        <v>701</v>
      </c>
      <c r="B6" s="562" t="s">
        <v>702</v>
      </c>
      <c r="C6" s="5">
        <v>46267</v>
      </c>
      <c r="D6" s="6" t="s">
        <v>33</v>
      </c>
      <c r="E6" s="6" t="s">
        <v>460</v>
      </c>
      <c r="F6" s="7" t="s">
        <v>703</v>
      </c>
      <c r="G6" s="6" t="s">
        <v>22</v>
      </c>
      <c r="H6" s="6">
        <v>316</v>
      </c>
      <c r="I6" s="6" t="s">
        <v>23</v>
      </c>
      <c r="J6" s="6" t="s">
        <v>56</v>
      </c>
      <c r="K6" s="8"/>
      <c r="L6" s="7" t="s">
        <v>704</v>
      </c>
      <c r="M6" s="8"/>
      <c r="N6" s="8"/>
      <c r="O6" s="8"/>
      <c r="P6" s="6">
        <v>14</v>
      </c>
      <c r="Q6" s="5">
        <v>46286</v>
      </c>
      <c r="R6" s="8"/>
      <c r="S6" s="8"/>
      <c r="T6" s="8"/>
      <c r="U6" s="8"/>
      <c r="V6" s="8"/>
      <c r="W6" s="562" t="s">
        <v>461</v>
      </c>
      <c r="X6" s="6"/>
      <c r="Y6" s="8"/>
    </row>
    <row r="7" spans="1:25" ht="50.1" customHeight="1" thickBot="1" x14ac:dyDescent="0.3">
      <c r="A7" s="4" t="s">
        <v>705</v>
      </c>
      <c r="B7" s="12" t="s">
        <v>706</v>
      </c>
      <c r="C7" s="5">
        <v>46267</v>
      </c>
      <c r="D7" s="6" t="s">
        <v>33</v>
      </c>
      <c r="E7" s="6" t="s">
        <v>61</v>
      </c>
      <c r="F7" s="7" t="s">
        <v>707</v>
      </c>
      <c r="G7" s="6" t="s">
        <v>30</v>
      </c>
      <c r="H7" s="6">
        <v>503</v>
      </c>
      <c r="I7" s="6" t="s">
        <v>31</v>
      </c>
      <c r="J7" s="6" t="s">
        <v>59</v>
      </c>
      <c r="K7" s="6" t="s">
        <v>25</v>
      </c>
      <c r="L7" s="7" t="s">
        <v>708</v>
      </c>
      <c r="M7" s="8"/>
      <c r="N7" s="8"/>
      <c r="O7" s="6" t="s">
        <v>621</v>
      </c>
      <c r="P7" s="6">
        <v>14</v>
      </c>
      <c r="Q7" s="5">
        <v>46287</v>
      </c>
      <c r="R7" s="6" t="s">
        <v>709</v>
      </c>
      <c r="S7" s="6" t="s">
        <v>26</v>
      </c>
      <c r="T7" s="6" t="s">
        <v>26</v>
      </c>
      <c r="U7" s="5">
        <v>46273</v>
      </c>
      <c r="V7" s="6" t="s">
        <v>710</v>
      </c>
      <c r="W7" s="9" t="s">
        <v>27</v>
      </c>
      <c r="X7" s="10" t="s">
        <v>25</v>
      </c>
      <c r="Y7" s="10" t="s">
        <v>25</v>
      </c>
    </row>
    <row r="8" spans="1:25" ht="50.1" customHeight="1" thickBot="1" x14ac:dyDescent="0.3">
      <c r="A8" s="13"/>
      <c r="B8" s="562" t="s">
        <v>711</v>
      </c>
      <c r="C8" s="5">
        <v>46267</v>
      </c>
      <c r="D8" s="6" t="s">
        <v>33</v>
      </c>
      <c r="E8" s="6" t="s">
        <v>460</v>
      </c>
      <c r="F8" s="7" t="s">
        <v>712</v>
      </c>
      <c r="G8" s="6" t="s">
        <v>34</v>
      </c>
      <c r="H8" s="6">
        <v>127</v>
      </c>
      <c r="I8" s="6" t="s">
        <v>88</v>
      </c>
      <c r="J8" s="6" t="s">
        <v>71</v>
      </c>
      <c r="K8" s="6" t="s">
        <v>47</v>
      </c>
      <c r="L8" s="7" t="s">
        <v>713</v>
      </c>
      <c r="M8" s="8"/>
      <c r="N8" s="8"/>
      <c r="O8" s="8"/>
      <c r="P8" s="6">
        <v>14</v>
      </c>
      <c r="Q8" s="5">
        <v>46287</v>
      </c>
      <c r="R8" s="6" t="s">
        <v>26</v>
      </c>
      <c r="S8" s="6" t="s">
        <v>26</v>
      </c>
      <c r="T8" s="5">
        <v>46283</v>
      </c>
      <c r="U8" s="5">
        <v>46283</v>
      </c>
      <c r="V8" s="6" t="s">
        <v>714</v>
      </c>
      <c r="W8" s="9" t="s">
        <v>27</v>
      </c>
      <c r="X8" s="10" t="s">
        <v>25</v>
      </c>
      <c r="Y8" s="8"/>
    </row>
    <row r="9" spans="1:25" ht="50.1" customHeight="1" thickBot="1" x14ac:dyDescent="0.3">
      <c r="A9" s="13"/>
      <c r="B9" s="562" t="s">
        <v>715</v>
      </c>
      <c r="C9" s="5">
        <v>46267</v>
      </c>
      <c r="D9" s="6" t="s">
        <v>33</v>
      </c>
      <c r="E9" s="6" t="s">
        <v>460</v>
      </c>
      <c r="F9" s="7" t="s">
        <v>716</v>
      </c>
      <c r="G9" s="6" t="s">
        <v>34</v>
      </c>
      <c r="H9" s="6">
        <v>127</v>
      </c>
      <c r="I9" s="6" t="s">
        <v>88</v>
      </c>
      <c r="J9" s="6" t="s">
        <v>71</v>
      </c>
      <c r="K9" s="6" t="s">
        <v>47</v>
      </c>
      <c r="L9" s="7" t="s">
        <v>717</v>
      </c>
      <c r="M9" s="8"/>
      <c r="N9" s="8"/>
      <c r="O9" s="8"/>
      <c r="P9" s="6">
        <v>14</v>
      </c>
      <c r="Q9" s="5">
        <v>46287</v>
      </c>
      <c r="R9" s="6" t="s">
        <v>709</v>
      </c>
      <c r="S9" s="6" t="s">
        <v>26</v>
      </c>
      <c r="T9" s="6" t="s">
        <v>26</v>
      </c>
      <c r="U9" s="5">
        <v>46287</v>
      </c>
      <c r="V9" s="6" t="s">
        <v>718</v>
      </c>
      <c r="W9" s="9" t="s">
        <v>27</v>
      </c>
      <c r="X9" s="10" t="s">
        <v>25</v>
      </c>
      <c r="Y9" s="8"/>
    </row>
    <row r="10" spans="1:25" ht="50.1" customHeight="1" thickBot="1" x14ac:dyDescent="0.3">
      <c r="A10" s="13"/>
      <c r="B10" s="562" t="s">
        <v>719</v>
      </c>
      <c r="C10" s="5">
        <v>46267</v>
      </c>
      <c r="D10" s="6" t="s">
        <v>33</v>
      </c>
      <c r="E10" s="6" t="s">
        <v>20</v>
      </c>
      <c r="F10" s="7" t="s">
        <v>720</v>
      </c>
      <c r="G10" s="6" t="s">
        <v>34</v>
      </c>
      <c r="H10" s="6">
        <v>127</v>
      </c>
      <c r="I10" s="6" t="s">
        <v>88</v>
      </c>
      <c r="J10" s="6" t="s">
        <v>71</v>
      </c>
      <c r="K10" s="6" t="s">
        <v>47</v>
      </c>
      <c r="L10" s="7" t="s">
        <v>721</v>
      </c>
      <c r="M10" s="6">
        <v>1234580</v>
      </c>
      <c r="N10" s="8"/>
      <c r="O10" s="6" t="s">
        <v>722</v>
      </c>
      <c r="P10" s="6">
        <v>14</v>
      </c>
      <c r="Q10" s="5">
        <v>46287</v>
      </c>
      <c r="R10" s="6" t="s">
        <v>26</v>
      </c>
      <c r="S10" s="6" t="s">
        <v>26</v>
      </c>
      <c r="T10" s="6" t="s">
        <v>26</v>
      </c>
      <c r="U10" s="5">
        <v>46287</v>
      </c>
      <c r="V10" s="6" t="s">
        <v>723</v>
      </c>
      <c r="W10" s="9" t="s">
        <v>27</v>
      </c>
      <c r="X10" s="10" t="s">
        <v>25</v>
      </c>
      <c r="Y10" s="8"/>
    </row>
    <row r="11" spans="1:25" ht="50.1" customHeight="1" thickBot="1" x14ac:dyDescent="0.3">
      <c r="A11" s="4" t="s">
        <v>724</v>
      </c>
      <c r="B11" s="6" t="s">
        <v>725</v>
      </c>
      <c r="C11" s="5">
        <v>46267</v>
      </c>
      <c r="D11" s="6" t="s">
        <v>19</v>
      </c>
      <c r="E11" s="6" t="s">
        <v>39</v>
      </c>
      <c r="F11" s="7" t="s">
        <v>726</v>
      </c>
      <c r="G11" s="6" t="s">
        <v>30</v>
      </c>
      <c r="H11" s="6">
        <v>503</v>
      </c>
      <c r="I11" s="6" t="s">
        <v>31</v>
      </c>
      <c r="J11" s="6" t="s">
        <v>93</v>
      </c>
      <c r="K11" s="6" t="s">
        <v>25</v>
      </c>
      <c r="L11" s="7" t="s">
        <v>727</v>
      </c>
      <c r="M11" s="8"/>
      <c r="N11" s="8"/>
      <c r="O11" s="8"/>
      <c r="P11" s="6">
        <v>14</v>
      </c>
      <c r="Q11" s="5">
        <v>46287</v>
      </c>
      <c r="R11" s="5">
        <v>46267</v>
      </c>
      <c r="S11" s="6" t="s">
        <v>26</v>
      </c>
      <c r="T11" s="6" t="s">
        <v>26</v>
      </c>
      <c r="U11" s="5">
        <v>46286</v>
      </c>
      <c r="V11" s="6" t="s">
        <v>728</v>
      </c>
      <c r="W11" s="9" t="s">
        <v>27</v>
      </c>
      <c r="X11" s="10" t="s">
        <v>25</v>
      </c>
      <c r="Y11" s="8"/>
    </row>
    <row r="12" spans="1:25" ht="50.1" customHeight="1" thickBot="1" x14ac:dyDescent="0.3">
      <c r="A12" s="4" t="s">
        <v>729</v>
      </c>
      <c r="B12" s="6" t="s">
        <v>730</v>
      </c>
      <c r="C12" s="5">
        <v>46267</v>
      </c>
      <c r="D12" s="6" t="s">
        <v>19</v>
      </c>
      <c r="E12" s="6" t="s">
        <v>39</v>
      </c>
      <c r="F12" s="7" t="s">
        <v>731</v>
      </c>
      <c r="G12" s="6" t="s">
        <v>22</v>
      </c>
      <c r="H12" s="6">
        <v>316</v>
      </c>
      <c r="I12" s="6" t="s">
        <v>23</v>
      </c>
      <c r="J12" s="6" t="s">
        <v>54</v>
      </c>
      <c r="K12" s="6" t="s">
        <v>25</v>
      </c>
      <c r="L12" s="7" t="s">
        <v>732</v>
      </c>
      <c r="M12" s="6">
        <v>1151960</v>
      </c>
      <c r="N12" s="8"/>
      <c r="O12" s="8"/>
      <c r="P12" s="6">
        <v>14</v>
      </c>
      <c r="Q12" s="5">
        <v>46287</v>
      </c>
      <c r="R12" s="5">
        <v>46267</v>
      </c>
      <c r="S12" s="6" t="s">
        <v>26</v>
      </c>
      <c r="T12" s="6" t="s">
        <v>26</v>
      </c>
      <c r="U12" s="5">
        <v>46286</v>
      </c>
      <c r="V12" s="6" t="s">
        <v>733</v>
      </c>
      <c r="W12" s="9" t="s">
        <v>27</v>
      </c>
      <c r="X12" s="10" t="s">
        <v>25</v>
      </c>
      <c r="Y12" s="8"/>
    </row>
    <row r="13" spans="1:25" ht="50.1" customHeight="1" thickBot="1" x14ac:dyDescent="0.3">
      <c r="A13" s="872" t="s">
        <v>734</v>
      </c>
      <c r="B13" s="6" t="s">
        <v>735</v>
      </c>
      <c r="C13" s="5">
        <v>46267</v>
      </c>
      <c r="D13" s="6" t="s">
        <v>19</v>
      </c>
      <c r="E13" s="6" t="s">
        <v>39</v>
      </c>
      <c r="F13" s="7" t="s">
        <v>40</v>
      </c>
      <c r="G13" s="6" t="s">
        <v>34</v>
      </c>
      <c r="H13" s="6">
        <v>114</v>
      </c>
      <c r="I13" s="6" t="s">
        <v>41</v>
      </c>
      <c r="J13" s="6" t="s">
        <v>42</v>
      </c>
      <c r="K13" s="6" t="s">
        <v>25</v>
      </c>
      <c r="L13" s="7" t="s">
        <v>736</v>
      </c>
      <c r="M13" s="6">
        <v>1188100</v>
      </c>
      <c r="N13" s="8"/>
      <c r="O13" s="8"/>
      <c r="P13" s="6">
        <v>14</v>
      </c>
      <c r="Q13" s="5">
        <v>46287</v>
      </c>
      <c r="R13" s="5">
        <v>46267</v>
      </c>
      <c r="S13" s="6" t="s">
        <v>26</v>
      </c>
      <c r="T13" s="6" t="s">
        <v>26</v>
      </c>
      <c r="U13" s="5">
        <v>46287</v>
      </c>
      <c r="V13" s="6" t="s">
        <v>737</v>
      </c>
      <c r="W13" s="9" t="s">
        <v>27</v>
      </c>
      <c r="X13" s="10" t="s">
        <v>25</v>
      </c>
      <c r="Y13" s="8"/>
    </row>
    <row r="14" spans="1:25" ht="50.1" customHeight="1" thickBot="1" x14ac:dyDescent="0.3">
      <c r="A14" s="872" t="s">
        <v>734</v>
      </c>
      <c r="B14" s="6" t="s">
        <v>738</v>
      </c>
      <c r="C14" s="5">
        <v>46267</v>
      </c>
      <c r="D14" s="6" t="s">
        <v>19</v>
      </c>
      <c r="E14" s="6" t="s">
        <v>39</v>
      </c>
      <c r="F14" s="7" t="s">
        <v>739</v>
      </c>
      <c r="G14" s="6" t="s">
        <v>34</v>
      </c>
      <c r="H14" s="6">
        <v>114</v>
      </c>
      <c r="I14" s="6" t="s">
        <v>41</v>
      </c>
      <c r="J14" s="6" t="s">
        <v>365</v>
      </c>
      <c r="K14" s="6" t="s">
        <v>25</v>
      </c>
      <c r="L14" s="7" t="s">
        <v>740</v>
      </c>
      <c r="M14" s="6">
        <v>1107220</v>
      </c>
      <c r="N14" s="8"/>
      <c r="O14" s="8"/>
      <c r="P14" s="6">
        <v>14</v>
      </c>
      <c r="Q14" s="5">
        <v>46287</v>
      </c>
      <c r="R14" s="144" t="s">
        <v>26</v>
      </c>
      <c r="S14" s="114" t="s">
        <v>26</v>
      </c>
      <c r="T14" s="114" t="s">
        <v>26</v>
      </c>
      <c r="U14" s="115">
        <v>46287</v>
      </c>
      <c r="V14" s="114" t="s">
        <v>741</v>
      </c>
      <c r="W14" s="9" t="s">
        <v>27</v>
      </c>
      <c r="X14" s="10" t="s">
        <v>25</v>
      </c>
      <c r="Y14" s="8"/>
    </row>
    <row r="15" spans="1:25" ht="50.1" customHeight="1" thickBot="1" x14ac:dyDescent="0.3">
      <c r="A15" s="4" t="s">
        <v>742</v>
      </c>
      <c r="B15" s="6" t="s">
        <v>743</v>
      </c>
      <c r="C15" s="5">
        <v>46267</v>
      </c>
      <c r="D15" s="6" t="s">
        <v>19</v>
      </c>
      <c r="E15" s="6" t="s">
        <v>61</v>
      </c>
      <c r="F15" s="7" t="s">
        <v>744</v>
      </c>
      <c r="G15" s="6" t="s">
        <v>22</v>
      </c>
      <c r="H15" s="6">
        <v>316</v>
      </c>
      <c r="I15" s="6" t="s">
        <v>23</v>
      </c>
      <c r="J15" s="6" t="s">
        <v>175</v>
      </c>
      <c r="K15" s="6" t="s">
        <v>25</v>
      </c>
      <c r="L15" s="7" t="s">
        <v>590</v>
      </c>
      <c r="M15" s="6">
        <v>1082321</v>
      </c>
      <c r="N15" s="8"/>
      <c r="O15" s="8"/>
      <c r="P15" s="6">
        <v>14</v>
      </c>
      <c r="Q15" s="5">
        <v>46287</v>
      </c>
      <c r="R15" s="6" t="s">
        <v>26</v>
      </c>
      <c r="S15" s="6" t="s">
        <v>26</v>
      </c>
      <c r="T15" s="6" t="s">
        <v>26</v>
      </c>
      <c r="U15" s="5">
        <v>46287</v>
      </c>
      <c r="V15" s="6" t="s">
        <v>741</v>
      </c>
      <c r="W15" s="9" t="s">
        <v>27</v>
      </c>
      <c r="X15" s="10" t="s">
        <v>25</v>
      </c>
      <c r="Y15" s="8"/>
    </row>
    <row r="16" spans="1:25" ht="50.1" customHeight="1" thickBot="1" x14ac:dyDescent="0.3">
      <c r="A16" s="4" t="s">
        <v>745</v>
      </c>
      <c r="B16" s="6" t="s">
        <v>746</v>
      </c>
      <c r="C16" s="5">
        <v>46267</v>
      </c>
      <c r="D16" s="6" t="s">
        <v>19</v>
      </c>
      <c r="E16" s="6" t="s">
        <v>20</v>
      </c>
      <c r="F16" s="7" t="s">
        <v>747</v>
      </c>
      <c r="G16" s="6" t="s">
        <v>34</v>
      </c>
      <c r="H16" s="6">
        <v>113</v>
      </c>
      <c r="I16" s="6" t="s">
        <v>35</v>
      </c>
      <c r="J16" s="6" t="s">
        <v>36</v>
      </c>
      <c r="K16" s="6" t="s">
        <v>25</v>
      </c>
      <c r="L16" s="7" t="s">
        <v>748</v>
      </c>
      <c r="M16" s="6">
        <v>1037520</v>
      </c>
      <c r="N16" s="8"/>
      <c r="O16" s="8"/>
      <c r="P16" s="6">
        <v>14</v>
      </c>
      <c r="Q16" s="5">
        <v>46287</v>
      </c>
      <c r="R16" s="5">
        <v>46267</v>
      </c>
      <c r="S16" s="6" t="s">
        <v>26</v>
      </c>
      <c r="T16" s="6" t="s">
        <v>26</v>
      </c>
      <c r="U16" s="5">
        <v>46286</v>
      </c>
      <c r="V16" s="6" t="s">
        <v>749</v>
      </c>
      <c r="W16" s="9" t="s">
        <v>27</v>
      </c>
      <c r="X16" s="10" t="s">
        <v>25</v>
      </c>
      <c r="Y16" s="8"/>
    </row>
    <row r="17" spans="1:25" ht="50.1" customHeight="1" thickBot="1" x14ac:dyDescent="0.3">
      <c r="A17" s="872" t="s">
        <v>750</v>
      </c>
      <c r="B17" s="6" t="s">
        <v>751</v>
      </c>
      <c r="C17" s="5">
        <v>46267</v>
      </c>
      <c r="D17" s="6" t="s">
        <v>19</v>
      </c>
      <c r="E17" s="6" t="s">
        <v>20</v>
      </c>
      <c r="F17" s="7" t="s">
        <v>752</v>
      </c>
      <c r="G17" s="6" t="s">
        <v>22</v>
      </c>
      <c r="H17" s="6">
        <v>316</v>
      </c>
      <c r="I17" s="6" t="s">
        <v>23</v>
      </c>
      <c r="J17" s="6" t="s">
        <v>24</v>
      </c>
      <c r="K17" s="6" t="s">
        <v>25</v>
      </c>
      <c r="L17" s="7" t="s">
        <v>753</v>
      </c>
      <c r="M17" s="6">
        <v>1243117</v>
      </c>
      <c r="N17" s="8"/>
      <c r="O17" s="8"/>
      <c r="P17" s="6">
        <v>14</v>
      </c>
      <c r="Q17" s="5">
        <v>46287</v>
      </c>
      <c r="R17" s="5">
        <v>46267</v>
      </c>
      <c r="S17" s="6" t="s">
        <v>26</v>
      </c>
      <c r="T17" s="6" t="s">
        <v>26</v>
      </c>
      <c r="U17" s="5">
        <v>46286</v>
      </c>
      <c r="V17" s="6" t="s">
        <v>754</v>
      </c>
      <c r="W17" s="9" t="s">
        <v>27</v>
      </c>
      <c r="X17" s="10" t="s">
        <v>25</v>
      </c>
      <c r="Y17" s="8"/>
    </row>
    <row r="18" spans="1:25" ht="50.1" customHeight="1" thickBot="1" x14ac:dyDescent="0.3">
      <c r="A18" s="872" t="s">
        <v>755</v>
      </c>
      <c r="B18" s="6" t="s">
        <v>756</v>
      </c>
      <c r="C18" s="5">
        <v>46267</v>
      </c>
      <c r="D18" s="6" t="s">
        <v>19</v>
      </c>
      <c r="E18" s="6" t="s">
        <v>20</v>
      </c>
      <c r="F18" s="7" t="s">
        <v>286</v>
      </c>
      <c r="G18" s="6" t="s">
        <v>22</v>
      </c>
      <c r="H18" s="6">
        <v>316</v>
      </c>
      <c r="I18" s="6" t="s">
        <v>23</v>
      </c>
      <c r="J18" s="6" t="s">
        <v>24</v>
      </c>
      <c r="K18" s="6"/>
      <c r="L18" s="7" t="s">
        <v>753</v>
      </c>
      <c r="M18" s="6">
        <v>1243117</v>
      </c>
      <c r="N18" s="8"/>
      <c r="O18" s="8"/>
      <c r="P18" s="6">
        <v>14</v>
      </c>
      <c r="Q18" s="5">
        <v>46287</v>
      </c>
      <c r="R18" s="8"/>
      <c r="S18" s="8"/>
      <c r="T18" s="8"/>
      <c r="U18" s="8"/>
      <c r="V18" s="8"/>
      <c r="W18" s="562" t="s">
        <v>461</v>
      </c>
      <c r="X18" s="6"/>
      <c r="Y18" s="8"/>
    </row>
    <row r="19" spans="1:25" ht="50.1" customHeight="1" thickBot="1" x14ac:dyDescent="0.3">
      <c r="A19" s="4" t="s">
        <v>757</v>
      </c>
      <c r="B19" s="6" t="s">
        <v>758</v>
      </c>
      <c r="C19" s="5">
        <v>46267</v>
      </c>
      <c r="D19" s="6" t="s">
        <v>19</v>
      </c>
      <c r="E19" s="6" t="s">
        <v>39</v>
      </c>
      <c r="F19" s="7" t="s">
        <v>759</v>
      </c>
      <c r="G19" s="6" t="s">
        <v>30</v>
      </c>
      <c r="H19" s="6">
        <v>503</v>
      </c>
      <c r="I19" s="6" t="s">
        <v>31</v>
      </c>
      <c r="J19" s="6" t="s">
        <v>93</v>
      </c>
      <c r="K19" s="6" t="s">
        <v>47</v>
      </c>
      <c r="L19" s="7" t="s">
        <v>760</v>
      </c>
      <c r="M19" s="8"/>
      <c r="N19" s="8"/>
      <c r="O19" s="8"/>
      <c r="P19" s="6">
        <v>14</v>
      </c>
      <c r="Q19" s="5">
        <v>46287</v>
      </c>
      <c r="R19" s="5">
        <v>46267</v>
      </c>
      <c r="S19" s="6" t="s">
        <v>26</v>
      </c>
      <c r="T19" s="6" t="s">
        <v>26</v>
      </c>
      <c r="U19" s="5">
        <v>46286</v>
      </c>
      <c r="V19" s="6" t="s">
        <v>761</v>
      </c>
      <c r="W19" s="9" t="s">
        <v>27</v>
      </c>
      <c r="X19" s="10" t="s">
        <v>25</v>
      </c>
      <c r="Y19" s="8"/>
    </row>
    <row r="20" spans="1:25" ht="50.1" customHeight="1" thickBot="1" x14ac:dyDescent="0.3">
      <c r="A20" s="4" t="s">
        <v>762</v>
      </c>
      <c r="B20" s="12" t="s">
        <v>763</v>
      </c>
      <c r="C20" s="5">
        <v>46267</v>
      </c>
      <c r="D20" s="6" t="s">
        <v>33</v>
      </c>
      <c r="E20" s="6" t="s">
        <v>61</v>
      </c>
      <c r="F20" s="7" t="s">
        <v>764</v>
      </c>
      <c r="G20" s="6" t="s">
        <v>22</v>
      </c>
      <c r="H20" s="6">
        <v>316</v>
      </c>
      <c r="I20" s="6" t="s">
        <v>23</v>
      </c>
      <c r="J20" s="6" t="s">
        <v>175</v>
      </c>
      <c r="K20" s="6" t="s">
        <v>25</v>
      </c>
      <c r="L20" s="7" t="s">
        <v>534</v>
      </c>
      <c r="M20" s="8"/>
      <c r="N20" s="8"/>
      <c r="O20" s="8"/>
      <c r="P20" s="6">
        <v>14</v>
      </c>
      <c r="Q20" s="5">
        <v>46287</v>
      </c>
      <c r="R20" s="8"/>
      <c r="S20" s="8"/>
      <c r="T20" s="8"/>
      <c r="U20" s="8"/>
      <c r="V20" s="8"/>
      <c r="W20" s="562" t="s">
        <v>461</v>
      </c>
      <c r="X20" s="6"/>
      <c r="Y20" s="8"/>
    </row>
    <row r="21" spans="1:25" ht="50.1" customHeight="1" thickBot="1" x14ac:dyDescent="0.3">
      <c r="A21" s="872" t="s">
        <v>765</v>
      </c>
      <c r="B21" s="6" t="s">
        <v>766</v>
      </c>
      <c r="C21" s="5">
        <v>46267</v>
      </c>
      <c r="D21" s="6" t="s">
        <v>19</v>
      </c>
      <c r="E21" s="6" t="s">
        <v>20</v>
      </c>
      <c r="F21" s="7" t="s">
        <v>408</v>
      </c>
      <c r="G21" s="6" t="s">
        <v>22</v>
      </c>
      <c r="H21" s="6">
        <v>304</v>
      </c>
      <c r="I21" s="6" t="s">
        <v>43</v>
      </c>
      <c r="J21" s="6" t="s">
        <v>44</v>
      </c>
      <c r="K21" s="8"/>
      <c r="L21" s="7" t="s">
        <v>767</v>
      </c>
      <c r="M21" s="6">
        <v>1145540</v>
      </c>
      <c r="N21" s="8"/>
      <c r="O21" s="8"/>
      <c r="P21" s="6">
        <v>14</v>
      </c>
      <c r="Q21" s="5">
        <v>46287</v>
      </c>
      <c r="R21" s="8"/>
      <c r="S21" s="8"/>
      <c r="T21" s="8"/>
      <c r="U21" s="8"/>
      <c r="V21" s="8"/>
      <c r="W21" s="562" t="s">
        <v>461</v>
      </c>
      <c r="X21" s="6"/>
      <c r="Y21" s="8"/>
    </row>
    <row r="22" spans="1:25" ht="50.1" customHeight="1" thickBot="1" x14ac:dyDescent="0.3">
      <c r="A22" s="4" t="s">
        <v>768</v>
      </c>
      <c r="B22" s="12" t="s">
        <v>769</v>
      </c>
      <c r="C22" s="5">
        <v>46267</v>
      </c>
      <c r="D22" s="6" t="s">
        <v>28</v>
      </c>
      <c r="E22" s="6" t="s">
        <v>84</v>
      </c>
      <c r="F22" s="7" t="s">
        <v>770</v>
      </c>
      <c r="G22" s="6" t="s">
        <v>30</v>
      </c>
      <c r="H22" s="6">
        <v>503</v>
      </c>
      <c r="I22" s="6" t="s">
        <v>31</v>
      </c>
      <c r="J22" s="6" t="s">
        <v>59</v>
      </c>
      <c r="K22" s="6" t="s">
        <v>25</v>
      </c>
      <c r="L22" s="7" t="s">
        <v>771</v>
      </c>
      <c r="M22" s="8"/>
      <c r="N22" s="8"/>
      <c r="O22" s="6" t="s">
        <v>621</v>
      </c>
      <c r="P22" s="6">
        <v>14</v>
      </c>
      <c r="Q22" s="5">
        <v>46287</v>
      </c>
      <c r="R22" s="5">
        <v>46267</v>
      </c>
      <c r="S22" s="6" t="s">
        <v>26</v>
      </c>
      <c r="T22" s="6" t="s">
        <v>26</v>
      </c>
      <c r="U22" s="5">
        <v>46282</v>
      </c>
      <c r="V22" s="6" t="s">
        <v>772</v>
      </c>
      <c r="W22" s="9" t="s">
        <v>27</v>
      </c>
      <c r="X22" s="10" t="s">
        <v>25</v>
      </c>
      <c r="Y22" s="10" t="s">
        <v>25</v>
      </c>
    </row>
    <row r="23" spans="1:25" ht="50.1" customHeight="1" thickBot="1" x14ac:dyDescent="0.3">
      <c r="A23" s="872" t="s">
        <v>773</v>
      </c>
      <c r="B23" s="12" t="s">
        <v>774</v>
      </c>
      <c r="C23" s="5">
        <v>46267</v>
      </c>
      <c r="D23" s="6" t="s">
        <v>28</v>
      </c>
      <c r="E23" s="6" t="s">
        <v>61</v>
      </c>
      <c r="F23" s="7" t="s">
        <v>775</v>
      </c>
      <c r="G23" s="6" t="s">
        <v>22</v>
      </c>
      <c r="H23" s="6">
        <v>316</v>
      </c>
      <c r="I23" s="6" t="s">
        <v>23</v>
      </c>
      <c r="J23" s="6" t="s">
        <v>62</v>
      </c>
      <c r="K23" s="6" t="s">
        <v>25</v>
      </c>
      <c r="L23" s="7" t="s">
        <v>627</v>
      </c>
      <c r="M23" s="8"/>
      <c r="N23" s="8"/>
      <c r="O23" s="6" t="s">
        <v>776</v>
      </c>
      <c r="P23" s="6">
        <v>14</v>
      </c>
      <c r="Q23" s="5">
        <v>46287</v>
      </c>
      <c r="R23" s="8"/>
      <c r="S23" s="8"/>
      <c r="T23" s="8"/>
      <c r="U23" s="8"/>
      <c r="V23" s="8"/>
      <c r="W23" s="562" t="s">
        <v>461</v>
      </c>
      <c r="X23" s="6"/>
      <c r="Y23" s="8"/>
    </row>
    <row r="24" spans="1:25" ht="50.1" customHeight="1" thickBot="1" x14ac:dyDescent="0.3">
      <c r="A24" s="872" t="s">
        <v>777</v>
      </c>
      <c r="B24" s="12" t="s">
        <v>778</v>
      </c>
      <c r="C24" s="5">
        <v>46267</v>
      </c>
      <c r="D24" s="6" t="s">
        <v>28</v>
      </c>
      <c r="E24" s="6" t="s">
        <v>61</v>
      </c>
      <c r="F24" s="7" t="s">
        <v>779</v>
      </c>
      <c r="G24" s="6" t="s">
        <v>22</v>
      </c>
      <c r="H24" s="6">
        <v>316</v>
      </c>
      <c r="I24" s="6" t="s">
        <v>23</v>
      </c>
      <c r="J24" s="6" t="s">
        <v>175</v>
      </c>
      <c r="K24" s="8"/>
      <c r="L24" s="7" t="s">
        <v>636</v>
      </c>
      <c r="M24" s="8"/>
      <c r="N24" s="8"/>
      <c r="O24" s="6" t="s">
        <v>546</v>
      </c>
      <c r="P24" s="6">
        <v>14</v>
      </c>
      <c r="Q24" s="5">
        <v>46287</v>
      </c>
      <c r="R24" s="8"/>
      <c r="S24" s="8"/>
      <c r="T24" s="8"/>
      <c r="U24" s="8"/>
      <c r="V24" s="8"/>
      <c r="W24" s="562" t="s">
        <v>461</v>
      </c>
      <c r="X24" s="6"/>
      <c r="Y24" s="8"/>
    </row>
    <row r="25" spans="1:25" ht="50.1" customHeight="1" thickBot="1" x14ac:dyDescent="0.3">
      <c r="A25" s="4" t="s">
        <v>780</v>
      </c>
      <c r="B25" s="6" t="s">
        <v>781</v>
      </c>
      <c r="C25" s="5">
        <v>46267</v>
      </c>
      <c r="D25" s="6" t="s">
        <v>19</v>
      </c>
      <c r="E25" s="6" t="s">
        <v>39</v>
      </c>
      <c r="F25" s="7" t="s">
        <v>782</v>
      </c>
      <c r="G25" s="6" t="s">
        <v>30</v>
      </c>
      <c r="H25" s="6">
        <v>503</v>
      </c>
      <c r="I25" s="6" t="s">
        <v>31</v>
      </c>
      <c r="J25" s="6" t="s">
        <v>93</v>
      </c>
      <c r="K25" s="6" t="s">
        <v>25</v>
      </c>
      <c r="L25" s="7" t="s">
        <v>783</v>
      </c>
      <c r="M25" s="8"/>
      <c r="N25" s="8"/>
      <c r="O25" s="8"/>
      <c r="P25" s="6">
        <v>14</v>
      </c>
      <c r="Q25" s="5">
        <v>46287</v>
      </c>
      <c r="R25" s="6" t="s">
        <v>26</v>
      </c>
      <c r="S25" s="6" t="s">
        <v>26</v>
      </c>
      <c r="T25" s="5">
        <v>46286</v>
      </c>
      <c r="U25" s="5">
        <v>46287</v>
      </c>
      <c r="V25" s="6" t="s">
        <v>784</v>
      </c>
      <c r="W25" s="9" t="s">
        <v>27</v>
      </c>
      <c r="X25" s="10" t="s">
        <v>25</v>
      </c>
      <c r="Y25" s="8"/>
    </row>
    <row r="26" spans="1:25" ht="50.1" customHeight="1" thickBot="1" x14ac:dyDescent="0.3">
      <c r="A26" s="872" t="s">
        <v>785</v>
      </c>
      <c r="B26" s="6" t="s">
        <v>786</v>
      </c>
      <c r="C26" s="5">
        <v>46267</v>
      </c>
      <c r="D26" s="6" t="s">
        <v>19</v>
      </c>
      <c r="E26" s="6" t="s">
        <v>20</v>
      </c>
      <c r="F26" s="7" t="s">
        <v>787</v>
      </c>
      <c r="G26" s="6" t="s">
        <v>22</v>
      </c>
      <c r="H26" s="6">
        <v>304</v>
      </c>
      <c r="I26" s="6" t="s">
        <v>43</v>
      </c>
      <c r="J26" s="6" t="s">
        <v>44</v>
      </c>
      <c r="K26" s="6" t="s">
        <v>47</v>
      </c>
      <c r="L26" s="7" t="s">
        <v>788</v>
      </c>
      <c r="M26" s="6">
        <v>1215940</v>
      </c>
      <c r="N26" s="8"/>
      <c r="O26" s="8"/>
      <c r="P26" s="6">
        <v>14</v>
      </c>
      <c r="Q26" s="5">
        <v>46287</v>
      </c>
      <c r="R26" s="6" t="s">
        <v>26</v>
      </c>
      <c r="S26" s="6" t="s">
        <v>26</v>
      </c>
      <c r="T26" s="5">
        <v>46286</v>
      </c>
      <c r="U26" s="5">
        <v>46287</v>
      </c>
      <c r="V26" s="6" t="s">
        <v>789</v>
      </c>
      <c r="W26" s="9" t="s">
        <v>27</v>
      </c>
      <c r="X26" s="10" t="s">
        <v>25</v>
      </c>
      <c r="Y26" s="8"/>
    </row>
    <row r="27" spans="1:25" ht="50.1" customHeight="1" thickBot="1" x14ac:dyDescent="0.3">
      <c r="A27" s="872" t="s">
        <v>790</v>
      </c>
      <c r="B27" s="6" t="s">
        <v>791</v>
      </c>
      <c r="C27" s="5">
        <v>46267</v>
      </c>
      <c r="D27" s="6" t="s">
        <v>19</v>
      </c>
      <c r="E27" s="6" t="s">
        <v>20</v>
      </c>
      <c r="F27" s="7" t="s">
        <v>21</v>
      </c>
      <c r="G27" s="6" t="s">
        <v>22</v>
      </c>
      <c r="H27" s="6">
        <v>316</v>
      </c>
      <c r="I27" s="6" t="s">
        <v>23</v>
      </c>
      <c r="J27" s="6" t="s">
        <v>24</v>
      </c>
      <c r="K27" s="6" t="s">
        <v>25</v>
      </c>
      <c r="L27" s="7" t="s">
        <v>792</v>
      </c>
      <c r="M27" s="8"/>
      <c r="N27" s="8"/>
      <c r="O27" s="8"/>
      <c r="P27" s="6">
        <v>14</v>
      </c>
      <c r="Q27" s="5">
        <v>46287</v>
      </c>
      <c r="R27" s="6" t="s">
        <v>26</v>
      </c>
      <c r="S27" s="6" t="s">
        <v>26</v>
      </c>
      <c r="T27" s="5">
        <v>46286</v>
      </c>
      <c r="U27" s="5">
        <v>46287</v>
      </c>
      <c r="V27" s="6" t="s">
        <v>793</v>
      </c>
      <c r="W27" s="9" t="s">
        <v>27</v>
      </c>
      <c r="X27" s="10" t="s">
        <v>25</v>
      </c>
      <c r="Y27" s="8"/>
    </row>
    <row r="28" spans="1:25" ht="50.1" customHeight="1" thickBot="1" x14ac:dyDescent="0.3">
      <c r="A28" s="872" t="s">
        <v>794</v>
      </c>
      <c r="B28" s="6" t="s">
        <v>795</v>
      </c>
      <c r="C28" s="5">
        <v>46267</v>
      </c>
      <c r="D28" s="6" t="s">
        <v>19</v>
      </c>
      <c r="E28" s="6" t="s">
        <v>460</v>
      </c>
      <c r="F28" s="7" t="s">
        <v>796</v>
      </c>
      <c r="G28" s="6" t="s">
        <v>34</v>
      </c>
      <c r="H28" s="6">
        <v>127</v>
      </c>
      <c r="I28" s="6" t="s">
        <v>88</v>
      </c>
      <c r="J28" s="6" t="s">
        <v>71</v>
      </c>
      <c r="K28" s="6" t="s">
        <v>47</v>
      </c>
      <c r="L28" s="7" t="s">
        <v>797</v>
      </c>
      <c r="M28" s="6">
        <v>1000100</v>
      </c>
      <c r="N28" s="8"/>
      <c r="O28" s="8"/>
      <c r="P28" s="6">
        <v>14</v>
      </c>
      <c r="Q28" s="5">
        <v>46287</v>
      </c>
      <c r="R28" s="6" t="s">
        <v>26</v>
      </c>
      <c r="S28" s="6" t="s">
        <v>26</v>
      </c>
      <c r="T28" s="5">
        <v>46286</v>
      </c>
      <c r="U28" s="5">
        <v>46287</v>
      </c>
      <c r="V28" s="6" t="s">
        <v>798</v>
      </c>
      <c r="W28" s="9" t="s">
        <v>27</v>
      </c>
      <c r="X28" s="10" t="s">
        <v>25</v>
      </c>
      <c r="Y28" s="8"/>
    </row>
    <row r="29" spans="1:25" ht="50.1" customHeight="1" thickBot="1" x14ac:dyDescent="0.3">
      <c r="A29" s="872" t="s">
        <v>799</v>
      </c>
      <c r="B29" s="6" t="s">
        <v>800</v>
      </c>
      <c r="C29" s="5">
        <v>46267</v>
      </c>
      <c r="D29" s="6" t="s">
        <v>19</v>
      </c>
      <c r="E29" s="6" t="s">
        <v>39</v>
      </c>
      <c r="F29" s="7" t="s">
        <v>58</v>
      </c>
      <c r="G29" s="6" t="s">
        <v>34</v>
      </c>
      <c r="H29" s="6">
        <v>114</v>
      </c>
      <c r="I29" s="6" t="s">
        <v>41</v>
      </c>
      <c r="J29" s="6" t="s">
        <v>42</v>
      </c>
      <c r="K29" s="8"/>
      <c r="L29" s="7" t="s">
        <v>610</v>
      </c>
      <c r="M29" s="6">
        <v>1214960</v>
      </c>
      <c r="N29" s="8"/>
      <c r="O29" s="6" t="s">
        <v>801</v>
      </c>
      <c r="P29" s="6">
        <v>14</v>
      </c>
      <c r="Q29" s="5">
        <v>46287</v>
      </c>
      <c r="R29" s="6" t="s">
        <v>26</v>
      </c>
      <c r="S29" s="6" t="s">
        <v>26</v>
      </c>
      <c r="T29" s="5">
        <v>46286</v>
      </c>
      <c r="U29" s="5">
        <v>46287</v>
      </c>
      <c r="V29" s="6" t="s">
        <v>802</v>
      </c>
      <c r="W29" s="9" t="s">
        <v>27</v>
      </c>
      <c r="X29" s="10" t="s">
        <v>25</v>
      </c>
      <c r="Y29" s="8"/>
    </row>
    <row r="30" spans="1:25" ht="50.1" customHeight="1" thickBot="1" x14ac:dyDescent="0.3">
      <c r="A30" s="872" t="s">
        <v>803</v>
      </c>
      <c r="B30" s="6" t="s">
        <v>804</v>
      </c>
      <c r="C30" s="5">
        <v>46267</v>
      </c>
      <c r="D30" s="6" t="s">
        <v>19</v>
      </c>
      <c r="E30" s="6" t="s">
        <v>39</v>
      </c>
      <c r="F30" s="7" t="s">
        <v>58</v>
      </c>
      <c r="G30" s="6" t="s">
        <v>34</v>
      </c>
      <c r="H30" s="6">
        <v>114</v>
      </c>
      <c r="I30" s="6" t="s">
        <v>41</v>
      </c>
      <c r="J30" s="6" t="s">
        <v>42</v>
      </c>
      <c r="K30" s="8"/>
      <c r="L30" s="7" t="s">
        <v>805</v>
      </c>
      <c r="M30" s="8"/>
      <c r="N30" s="8"/>
      <c r="O30" s="8"/>
      <c r="P30" s="6">
        <v>14</v>
      </c>
      <c r="Q30" s="5">
        <v>46287</v>
      </c>
      <c r="R30" s="6" t="s">
        <v>26</v>
      </c>
      <c r="S30" s="6" t="s">
        <v>26</v>
      </c>
      <c r="T30" s="5">
        <v>46286</v>
      </c>
      <c r="U30" s="5">
        <v>46287</v>
      </c>
      <c r="V30" s="6" t="s">
        <v>806</v>
      </c>
      <c r="W30" s="9" t="s">
        <v>27</v>
      </c>
      <c r="X30" s="10" t="s">
        <v>25</v>
      </c>
      <c r="Y30" s="8"/>
    </row>
    <row r="31" spans="1:25" ht="50.1" customHeight="1" thickBot="1" x14ac:dyDescent="0.3">
      <c r="A31" s="4" t="s">
        <v>807</v>
      </c>
      <c r="B31" s="6" t="s">
        <v>808</v>
      </c>
      <c r="C31" s="5">
        <v>46267</v>
      </c>
      <c r="D31" s="6" t="s">
        <v>19</v>
      </c>
      <c r="E31" s="6" t="s">
        <v>63</v>
      </c>
      <c r="F31" s="7" t="s">
        <v>809</v>
      </c>
      <c r="G31" s="6" t="s">
        <v>22</v>
      </c>
      <c r="H31" s="6">
        <v>316</v>
      </c>
      <c r="I31" s="6" t="s">
        <v>23</v>
      </c>
      <c r="J31" s="6" t="s">
        <v>75</v>
      </c>
      <c r="K31" s="8"/>
      <c r="L31" s="7" t="s">
        <v>810</v>
      </c>
      <c r="M31" s="6">
        <v>1116300</v>
      </c>
      <c r="N31" s="8"/>
      <c r="O31" s="8"/>
      <c r="P31" s="6">
        <v>14</v>
      </c>
      <c r="Q31" s="5">
        <v>46287</v>
      </c>
      <c r="R31" s="8"/>
      <c r="S31" s="8"/>
      <c r="T31" s="8"/>
      <c r="U31" s="8"/>
      <c r="V31" s="8"/>
      <c r="W31" s="562" t="s">
        <v>461</v>
      </c>
      <c r="X31" s="6"/>
      <c r="Y31" s="8"/>
    </row>
    <row r="32" spans="1:25" ht="50.1" customHeight="1" thickBot="1" x14ac:dyDescent="0.3">
      <c r="A32" s="872" t="s">
        <v>811</v>
      </c>
      <c r="B32" s="6" t="s">
        <v>812</v>
      </c>
      <c r="C32" s="5">
        <v>46267</v>
      </c>
      <c r="D32" s="6" t="s">
        <v>19</v>
      </c>
      <c r="E32" s="6" t="s">
        <v>20</v>
      </c>
      <c r="F32" s="7" t="s">
        <v>587</v>
      </c>
      <c r="G32" s="6" t="s">
        <v>22</v>
      </c>
      <c r="H32" s="6">
        <v>304</v>
      </c>
      <c r="I32" s="6" t="s">
        <v>43</v>
      </c>
      <c r="J32" s="6" t="s">
        <v>44</v>
      </c>
      <c r="K32" s="8"/>
      <c r="L32" s="7" t="s">
        <v>813</v>
      </c>
      <c r="M32" s="8"/>
      <c r="N32" s="8"/>
      <c r="O32" s="8"/>
      <c r="P32" s="6">
        <v>14</v>
      </c>
      <c r="Q32" s="5">
        <v>46287</v>
      </c>
      <c r="R32" s="8"/>
      <c r="S32" s="8"/>
      <c r="T32" s="8"/>
      <c r="U32" s="8"/>
      <c r="V32" s="8"/>
      <c r="W32" s="562" t="s">
        <v>461</v>
      </c>
      <c r="X32" s="6"/>
      <c r="Y32" s="8"/>
    </row>
    <row r="33" spans="1:25" ht="50.1" customHeight="1" thickBot="1" x14ac:dyDescent="0.3">
      <c r="A33" s="872" t="s">
        <v>814</v>
      </c>
      <c r="B33" s="6" t="s">
        <v>815</v>
      </c>
      <c r="C33" s="5">
        <v>46267</v>
      </c>
      <c r="D33" s="6" t="s">
        <v>19</v>
      </c>
      <c r="E33" s="6" t="s">
        <v>39</v>
      </c>
      <c r="F33" s="7" t="s">
        <v>58</v>
      </c>
      <c r="G33" s="6" t="s">
        <v>34</v>
      </c>
      <c r="H33" s="6">
        <v>114</v>
      </c>
      <c r="I33" s="6" t="s">
        <v>41</v>
      </c>
      <c r="J33" s="6" t="s">
        <v>42</v>
      </c>
      <c r="K33" s="8"/>
      <c r="L33" s="7" t="s">
        <v>816</v>
      </c>
      <c r="M33" s="6"/>
      <c r="N33" s="8"/>
      <c r="O33" s="8"/>
      <c r="P33" s="6">
        <v>14</v>
      </c>
      <c r="Q33" s="5">
        <v>46287</v>
      </c>
      <c r="R33" s="6" t="s">
        <v>26</v>
      </c>
      <c r="S33" s="6" t="s">
        <v>26</v>
      </c>
      <c r="T33" s="5">
        <v>46286</v>
      </c>
      <c r="U33" s="5">
        <v>46287</v>
      </c>
      <c r="V33" s="6" t="s">
        <v>817</v>
      </c>
      <c r="W33" s="9" t="s">
        <v>27</v>
      </c>
      <c r="X33" s="10" t="s">
        <v>25</v>
      </c>
      <c r="Y33" s="8"/>
    </row>
    <row r="34" spans="1:25" ht="50.1" customHeight="1" thickBot="1" x14ac:dyDescent="0.3">
      <c r="A34" s="872" t="s">
        <v>750</v>
      </c>
      <c r="B34" s="12" t="s">
        <v>818</v>
      </c>
      <c r="C34" s="5">
        <v>46268</v>
      </c>
      <c r="D34" s="6" t="s">
        <v>33</v>
      </c>
      <c r="E34" s="6" t="s">
        <v>20</v>
      </c>
      <c r="F34" s="7" t="s">
        <v>819</v>
      </c>
      <c r="G34" s="6" t="s">
        <v>22</v>
      </c>
      <c r="H34" s="6">
        <v>306</v>
      </c>
      <c r="I34" s="6" t="s">
        <v>79</v>
      </c>
      <c r="J34" s="6" t="s">
        <v>80</v>
      </c>
      <c r="K34" s="8"/>
      <c r="L34" s="7" t="s">
        <v>544</v>
      </c>
      <c r="M34" s="8"/>
      <c r="N34" s="8"/>
      <c r="O34" s="8"/>
      <c r="P34" s="6">
        <v>14</v>
      </c>
      <c r="Q34" s="5">
        <v>46287</v>
      </c>
      <c r="R34" s="6" t="s">
        <v>26</v>
      </c>
      <c r="S34" s="6" t="s">
        <v>26</v>
      </c>
      <c r="T34" s="5">
        <v>46286</v>
      </c>
      <c r="U34" s="5">
        <v>46287</v>
      </c>
      <c r="V34" s="6" t="s">
        <v>820</v>
      </c>
      <c r="W34" s="9" t="s">
        <v>27</v>
      </c>
      <c r="X34" s="10" t="s">
        <v>25</v>
      </c>
      <c r="Y34" s="8"/>
    </row>
    <row r="35" spans="1:25" ht="50.1" customHeight="1" thickBot="1" x14ac:dyDescent="0.3">
      <c r="A35" s="872" t="s">
        <v>821</v>
      </c>
      <c r="B35" s="12" t="s">
        <v>822</v>
      </c>
      <c r="C35" s="5">
        <v>46268</v>
      </c>
      <c r="D35" s="6" t="s">
        <v>33</v>
      </c>
      <c r="E35" s="6" t="s">
        <v>39</v>
      </c>
      <c r="F35" s="7" t="s">
        <v>823</v>
      </c>
      <c r="G35" s="6" t="s">
        <v>34</v>
      </c>
      <c r="H35" s="6">
        <v>114</v>
      </c>
      <c r="I35" s="6" t="s">
        <v>41</v>
      </c>
      <c r="J35" s="6" t="s">
        <v>42</v>
      </c>
      <c r="K35" s="6" t="s">
        <v>25</v>
      </c>
      <c r="L35" s="7" t="s">
        <v>824</v>
      </c>
      <c r="M35" s="8"/>
      <c r="N35" s="8"/>
      <c r="O35" s="8"/>
      <c r="P35" s="6">
        <v>14</v>
      </c>
      <c r="Q35" s="5">
        <v>46288</v>
      </c>
      <c r="R35" s="5">
        <v>46269</v>
      </c>
      <c r="S35" s="6" t="s">
        <v>26</v>
      </c>
      <c r="T35" s="6" t="s">
        <v>26</v>
      </c>
      <c r="U35" s="5">
        <v>46287</v>
      </c>
      <c r="V35" s="6" t="s">
        <v>825</v>
      </c>
      <c r="W35" s="9" t="s">
        <v>27</v>
      </c>
      <c r="X35" s="10" t="s">
        <v>25</v>
      </c>
      <c r="Y35" s="8"/>
    </row>
    <row r="36" spans="1:25" ht="50.1" customHeight="1" thickBot="1" x14ac:dyDescent="0.3">
      <c r="A36" s="872" t="s">
        <v>826</v>
      </c>
      <c r="B36" s="12" t="s">
        <v>827</v>
      </c>
      <c r="C36" s="5">
        <v>46268</v>
      </c>
      <c r="D36" s="6" t="s">
        <v>33</v>
      </c>
      <c r="E36" s="6" t="s">
        <v>61</v>
      </c>
      <c r="F36" s="7" t="s">
        <v>828</v>
      </c>
      <c r="G36" s="6" t="s">
        <v>22</v>
      </c>
      <c r="H36" s="6">
        <v>316</v>
      </c>
      <c r="I36" s="6" t="s">
        <v>23</v>
      </c>
      <c r="J36" s="6" t="s">
        <v>78</v>
      </c>
      <c r="K36" s="6" t="s">
        <v>25</v>
      </c>
      <c r="L36" s="7" t="s">
        <v>829</v>
      </c>
      <c r="M36" s="8"/>
      <c r="N36" s="8"/>
      <c r="O36" s="8"/>
      <c r="P36" s="6">
        <v>14</v>
      </c>
      <c r="Q36" s="5">
        <v>46288</v>
      </c>
      <c r="R36" s="5">
        <v>46269</v>
      </c>
      <c r="S36" s="6" t="s">
        <v>26</v>
      </c>
      <c r="T36" s="6" t="s">
        <v>26</v>
      </c>
      <c r="U36" s="5">
        <v>46288</v>
      </c>
      <c r="V36" s="6" t="s">
        <v>830</v>
      </c>
      <c r="W36" s="9" t="s">
        <v>27</v>
      </c>
      <c r="X36" s="10" t="s">
        <v>25</v>
      </c>
      <c r="Y36" s="8"/>
    </row>
    <row r="37" spans="1:25" ht="50.1" customHeight="1" thickBot="1" x14ac:dyDescent="0.3">
      <c r="A37" s="872" t="s">
        <v>831</v>
      </c>
      <c r="B37" s="12" t="s">
        <v>832</v>
      </c>
      <c r="C37" s="5">
        <v>46268</v>
      </c>
      <c r="D37" s="6" t="s">
        <v>33</v>
      </c>
      <c r="E37" s="6" t="s">
        <v>61</v>
      </c>
      <c r="F37" s="7" t="s">
        <v>833</v>
      </c>
      <c r="G37" s="6" t="s">
        <v>22</v>
      </c>
      <c r="H37" s="6">
        <v>316</v>
      </c>
      <c r="I37" s="6" t="s">
        <v>23</v>
      </c>
      <c r="J37" s="6" t="s">
        <v>175</v>
      </c>
      <c r="K37" s="8"/>
      <c r="L37" s="7" t="s">
        <v>834</v>
      </c>
      <c r="M37" s="8"/>
      <c r="N37" s="8"/>
      <c r="O37" s="8"/>
      <c r="P37" s="6">
        <v>14</v>
      </c>
      <c r="Q37" s="5">
        <v>46288</v>
      </c>
      <c r="R37" s="8"/>
      <c r="S37" s="8"/>
      <c r="T37" s="8"/>
      <c r="U37" s="8"/>
      <c r="V37" s="8"/>
      <c r="W37" s="562" t="s">
        <v>461</v>
      </c>
      <c r="X37" s="6"/>
      <c r="Y37" s="8"/>
    </row>
    <row r="38" spans="1:25" ht="50.1" customHeight="1" thickBot="1" x14ac:dyDescent="0.3">
      <c r="A38" s="4" t="s">
        <v>835</v>
      </c>
      <c r="B38" s="12" t="s">
        <v>836</v>
      </c>
      <c r="C38" s="5">
        <v>46268</v>
      </c>
      <c r="D38" s="6" t="s">
        <v>33</v>
      </c>
      <c r="E38" s="6" t="s">
        <v>67</v>
      </c>
      <c r="F38" s="7" t="s">
        <v>837</v>
      </c>
      <c r="G38" s="6" t="s">
        <v>30</v>
      </c>
      <c r="H38" s="6">
        <v>502</v>
      </c>
      <c r="I38" s="6" t="s">
        <v>37</v>
      </c>
      <c r="J38" s="6" t="s">
        <v>287</v>
      </c>
      <c r="K38" s="8"/>
      <c r="L38" s="7" t="s">
        <v>838</v>
      </c>
      <c r="M38" s="8"/>
      <c r="N38" s="8"/>
      <c r="O38" s="8"/>
      <c r="P38" s="6">
        <v>14</v>
      </c>
      <c r="Q38" s="5">
        <v>46288</v>
      </c>
      <c r="R38" s="6" t="s">
        <v>26</v>
      </c>
      <c r="S38" s="6" t="s">
        <v>26</v>
      </c>
      <c r="T38" s="6" t="s">
        <v>26</v>
      </c>
      <c r="U38" s="5">
        <v>46288</v>
      </c>
      <c r="V38" s="6" t="s">
        <v>839</v>
      </c>
      <c r="W38" s="9" t="s">
        <v>27</v>
      </c>
      <c r="X38" s="10" t="s">
        <v>25</v>
      </c>
      <c r="Y38" s="8"/>
    </row>
    <row r="39" spans="1:25" ht="50.1" customHeight="1" thickBot="1" x14ac:dyDescent="0.3">
      <c r="A39" s="872" t="s">
        <v>840</v>
      </c>
      <c r="B39" s="6" t="s">
        <v>841</v>
      </c>
      <c r="C39" s="5">
        <v>46268</v>
      </c>
      <c r="D39" s="6" t="s">
        <v>19</v>
      </c>
      <c r="E39" s="6" t="s">
        <v>39</v>
      </c>
      <c r="F39" s="7" t="s">
        <v>40</v>
      </c>
      <c r="G39" s="6" t="s">
        <v>34</v>
      </c>
      <c r="H39" s="6">
        <v>114</v>
      </c>
      <c r="I39" s="6" t="s">
        <v>41</v>
      </c>
      <c r="J39" s="6" t="s">
        <v>42</v>
      </c>
      <c r="K39" s="6" t="s">
        <v>25</v>
      </c>
      <c r="L39" s="7" t="s">
        <v>842</v>
      </c>
      <c r="M39" s="8"/>
      <c r="N39" s="8"/>
      <c r="O39" s="8"/>
      <c r="P39" s="6">
        <v>14</v>
      </c>
      <c r="Q39" s="5">
        <v>46288</v>
      </c>
      <c r="R39" s="6" t="s">
        <v>26</v>
      </c>
      <c r="S39" s="6" t="s">
        <v>26</v>
      </c>
      <c r="T39" s="5">
        <v>46288</v>
      </c>
      <c r="U39" s="5">
        <v>46288</v>
      </c>
      <c r="V39" s="6" t="s">
        <v>843</v>
      </c>
      <c r="W39" s="9" t="s">
        <v>27</v>
      </c>
      <c r="X39" s="10" t="s">
        <v>25</v>
      </c>
      <c r="Y39" s="8"/>
    </row>
    <row r="40" spans="1:25" ht="50.1" customHeight="1" thickBot="1" x14ac:dyDescent="0.3">
      <c r="A40" s="872" t="s">
        <v>844</v>
      </c>
      <c r="B40" s="6" t="s">
        <v>845</v>
      </c>
      <c r="C40" s="5">
        <v>46268</v>
      </c>
      <c r="D40" s="6" t="s">
        <v>19</v>
      </c>
      <c r="E40" s="6" t="s">
        <v>39</v>
      </c>
      <c r="F40" s="7" t="s">
        <v>846</v>
      </c>
      <c r="G40" s="6" t="s">
        <v>34</v>
      </c>
      <c r="H40" s="6">
        <v>114</v>
      </c>
      <c r="I40" s="6" t="s">
        <v>41</v>
      </c>
      <c r="J40" s="6" t="s">
        <v>42</v>
      </c>
      <c r="K40" s="6" t="s">
        <v>25</v>
      </c>
      <c r="L40" s="7" t="s">
        <v>847</v>
      </c>
      <c r="M40" s="8"/>
      <c r="N40" s="8"/>
      <c r="O40" s="8"/>
      <c r="P40" s="6">
        <v>14</v>
      </c>
      <c r="Q40" s="5">
        <v>46288</v>
      </c>
      <c r="R40" s="6" t="s">
        <v>26</v>
      </c>
      <c r="S40" s="6" t="s">
        <v>26</v>
      </c>
      <c r="T40" s="5">
        <v>46288</v>
      </c>
      <c r="U40" s="5">
        <v>46288</v>
      </c>
      <c r="V40" s="6" t="s">
        <v>848</v>
      </c>
      <c r="W40" s="9" t="s">
        <v>27</v>
      </c>
      <c r="X40" s="10" t="s">
        <v>25</v>
      </c>
      <c r="Y40" s="8"/>
    </row>
    <row r="41" spans="1:25" ht="50.1" customHeight="1" thickBot="1" x14ac:dyDescent="0.3">
      <c r="A41" s="872" t="s">
        <v>849</v>
      </c>
      <c r="B41" s="873" t="s">
        <v>850</v>
      </c>
      <c r="C41" s="5">
        <v>46268</v>
      </c>
      <c r="D41" s="6" t="s">
        <v>33</v>
      </c>
      <c r="E41" s="6" t="s">
        <v>63</v>
      </c>
      <c r="F41" s="7" t="s">
        <v>851</v>
      </c>
      <c r="G41" s="6" t="s">
        <v>22</v>
      </c>
      <c r="H41" s="6">
        <v>316</v>
      </c>
      <c r="I41" s="6" t="s">
        <v>23</v>
      </c>
      <c r="J41" s="6" t="s">
        <v>173</v>
      </c>
      <c r="K41" s="8"/>
      <c r="L41" s="7" t="s">
        <v>852</v>
      </c>
      <c r="M41" s="8"/>
      <c r="N41" s="8"/>
      <c r="O41" s="8"/>
      <c r="P41" s="6">
        <v>14</v>
      </c>
      <c r="Q41" s="5">
        <v>46288</v>
      </c>
      <c r="R41" s="8"/>
      <c r="S41" s="8"/>
      <c r="T41" s="8"/>
      <c r="U41" s="8"/>
      <c r="V41" s="8"/>
      <c r="W41" s="562" t="s">
        <v>461</v>
      </c>
      <c r="X41" s="6"/>
      <c r="Y41" s="8"/>
    </row>
    <row r="42" spans="1:25" ht="50.1" customHeight="1" thickBot="1" x14ac:dyDescent="0.3">
      <c r="A42" s="4" t="s">
        <v>853</v>
      </c>
      <c r="B42" s="873" t="s">
        <v>854</v>
      </c>
      <c r="C42" s="5">
        <v>46268</v>
      </c>
      <c r="D42" s="6" t="s">
        <v>33</v>
      </c>
      <c r="E42" s="6" t="s">
        <v>84</v>
      </c>
      <c r="F42" s="7" t="s">
        <v>855</v>
      </c>
      <c r="G42" s="6" t="s">
        <v>30</v>
      </c>
      <c r="H42" s="6">
        <v>503</v>
      </c>
      <c r="I42" s="6" t="s">
        <v>31</v>
      </c>
      <c r="J42" s="6" t="s">
        <v>59</v>
      </c>
      <c r="K42" s="6" t="s">
        <v>25</v>
      </c>
      <c r="L42" s="7" t="s">
        <v>856</v>
      </c>
      <c r="M42" s="8"/>
      <c r="N42" s="6">
        <v>3113209682</v>
      </c>
      <c r="O42" s="6" t="s">
        <v>857</v>
      </c>
      <c r="P42" s="6">
        <v>14</v>
      </c>
      <c r="Q42" s="5">
        <v>46288</v>
      </c>
      <c r="R42" s="5">
        <v>46268</v>
      </c>
      <c r="S42" s="6" t="s">
        <v>26</v>
      </c>
      <c r="T42" s="6" t="s">
        <v>26</v>
      </c>
      <c r="U42" s="5">
        <v>46280</v>
      </c>
      <c r="V42" s="6" t="s">
        <v>858</v>
      </c>
      <c r="W42" s="9" t="s">
        <v>27</v>
      </c>
      <c r="X42" s="10" t="s">
        <v>25</v>
      </c>
      <c r="Y42" s="10" t="s">
        <v>25</v>
      </c>
    </row>
    <row r="43" spans="1:25" ht="50.1" customHeight="1" thickBot="1" x14ac:dyDescent="0.3">
      <c r="A43" s="872" t="s">
        <v>859</v>
      </c>
      <c r="B43" s="873" t="s">
        <v>860</v>
      </c>
      <c r="C43" s="5">
        <v>46268</v>
      </c>
      <c r="D43" s="6" t="s">
        <v>19</v>
      </c>
      <c r="E43" s="6" t="s">
        <v>39</v>
      </c>
      <c r="F43" s="7" t="s">
        <v>861</v>
      </c>
      <c r="G43" s="6" t="s">
        <v>34</v>
      </c>
      <c r="H43" s="6">
        <v>114</v>
      </c>
      <c r="I43" s="6" t="s">
        <v>41</v>
      </c>
      <c r="J43" s="6" t="s">
        <v>42</v>
      </c>
      <c r="K43" s="6" t="s">
        <v>25</v>
      </c>
      <c r="L43" s="7" t="s">
        <v>862</v>
      </c>
      <c r="M43" s="8"/>
      <c r="N43" s="8"/>
      <c r="O43" s="8"/>
      <c r="P43" s="6">
        <v>14</v>
      </c>
      <c r="Q43" s="5">
        <v>46288</v>
      </c>
      <c r="R43" s="6" t="s">
        <v>26</v>
      </c>
      <c r="S43" s="6" t="s">
        <v>26</v>
      </c>
      <c r="T43" s="5">
        <v>46288</v>
      </c>
      <c r="U43" s="5">
        <v>46288</v>
      </c>
      <c r="V43" s="6" t="s">
        <v>863</v>
      </c>
      <c r="W43" s="9" t="s">
        <v>27</v>
      </c>
      <c r="X43" s="10" t="s">
        <v>25</v>
      </c>
      <c r="Y43" s="8"/>
    </row>
    <row r="44" spans="1:25" ht="50.1" customHeight="1" thickBot="1" x14ac:dyDescent="0.3">
      <c r="A44" s="872" t="s">
        <v>864</v>
      </c>
      <c r="B44" s="6" t="s">
        <v>865</v>
      </c>
      <c r="C44" s="5">
        <v>46268</v>
      </c>
      <c r="D44" s="6" t="s">
        <v>19</v>
      </c>
      <c r="E44" s="6" t="s">
        <v>20</v>
      </c>
      <c r="F44" s="7" t="s">
        <v>866</v>
      </c>
      <c r="G44" s="6" t="s">
        <v>22</v>
      </c>
      <c r="H44" s="6">
        <v>316</v>
      </c>
      <c r="I44" s="6" t="s">
        <v>23</v>
      </c>
      <c r="J44" s="6" t="s">
        <v>173</v>
      </c>
      <c r="K44" s="6" t="s">
        <v>25</v>
      </c>
      <c r="L44" s="7" t="s">
        <v>867</v>
      </c>
      <c r="M44" s="8"/>
      <c r="N44" s="8"/>
      <c r="O44" s="8"/>
      <c r="P44" s="6">
        <v>14</v>
      </c>
      <c r="Q44" s="5">
        <v>46288</v>
      </c>
      <c r="R44" s="5">
        <v>46268</v>
      </c>
      <c r="S44" s="6" t="s">
        <v>26</v>
      </c>
      <c r="T44" s="6" t="s">
        <v>26</v>
      </c>
      <c r="U44" s="5">
        <v>46288</v>
      </c>
      <c r="V44" s="6" t="s">
        <v>868</v>
      </c>
      <c r="W44" s="9" t="s">
        <v>27</v>
      </c>
      <c r="X44" s="10" t="s">
        <v>25</v>
      </c>
      <c r="Y44" s="8"/>
    </row>
    <row r="45" spans="1:25" ht="50.1" customHeight="1" thickBot="1" x14ac:dyDescent="0.3">
      <c r="A45" s="872" t="s">
        <v>869</v>
      </c>
      <c r="B45" s="6" t="s">
        <v>870</v>
      </c>
      <c r="C45" s="5">
        <v>46268</v>
      </c>
      <c r="D45" s="6" t="s">
        <v>19</v>
      </c>
      <c r="E45" s="6" t="s">
        <v>39</v>
      </c>
      <c r="F45" s="7" t="s">
        <v>871</v>
      </c>
      <c r="G45" s="6" t="s">
        <v>34</v>
      </c>
      <c r="H45" s="6">
        <v>114</v>
      </c>
      <c r="I45" s="6" t="s">
        <v>41</v>
      </c>
      <c r="J45" s="6" t="s">
        <v>42</v>
      </c>
      <c r="K45" s="6" t="s">
        <v>25</v>
      </c>
      <c r="L45" s="7" t="s">
        <v>872</v>
      </c>
      <c r="M45" s="6">
        <v>1048520</v>
      </c>
      <c r="N45" s="8"/>
      <c r="O45" s="8"/>
      <c r="P45" s="6">
        <v>14</v>
      </c>
      <c r="Q45" s="5">
        <v>46288</v>
      </c>
      <c r="R45" s="6" t="s">
        <v>26</v>
      </c>
      <c r="S45" s="6" t="s">
        <v>26</v>
      </c>
      <c r="T45" s="5">
        <v>46287</v>
      </c>
      <c r="U45" s="5">
        <v>46288</v>
      </c>
      <c r="V45" s="6" t="s">
        <v>873</v>
      </c>
      <c r="W45" s="9" t="s">
        <v>27</v>
      </c>
      <c r="X45" s="10" t="s">
        <v>25</v>
      </c>
      <c r="Y45" s="8"/>
    </row>
    <row r="46" spans="1:25" ht="50.1" customHeight="1" thickBot="1" x14ac:dyDescent="0.3">
      <c r="A46" s="872" t="s">
        <v>874</v>
      </c>
      <c r="B46" s="562" t="s">
        <v>875</v>
      </c>
      <c r="C46" s="5">
        <v>46268</v>
      </c>
      <c r="D46" s="6" t="s">
        <v>19</v>
      </c>
      <c r="E46" s="6" t="s">
        <v>39</v>
      </c>
      <c r="F46" s="7" t="s">
        <v>876</v>
      </c>
      <c r="G46" s="6" t="s">
        <v>34</v>
      </c>
      <c r="H46" s="6">
        <v>114</v>
      </c>
      <c r="I46" s="6" t="s">
        <v>41</v>
      </c>
      <c r="J46" s="6" t="s">
        <v>42</v>
      </c>
      <c r="K46" s="8"/>
      <c r="L46" s="7" t="s">
        <v>877</v>
      </c>
      <c r="M46" s="6">
        <v>1216940</v>
      </c>
      <c r="N46" s="8"/>
      <c r="O46" s="8"/>
      <c r="P46" s="6">
        <v>14</v>
      </c>
      <c r="Q46" s="5">
        <v>46288</v>
      </c>
      <c r="R46" s="8"/>
      <c r="S46" s="8"/>
      <c r="T46" s="8"/>
      <c r="U46" s="8"/>
      <c r="V46" s="8"/>
      <c r="W46" s="562" t="s">
        <v>461</v>
      </c>
      <c r="X46" s="6"/>
      <c r="Y46" s="8"/>
    </row>
    <row r="47" spans="1:25" ht="50.1" customHeight="1" thickBot="1" x14ac:dyDescent="0.3">
      <c r="A47" s="872" t="s">
        <v>878</v>
      </c>
      <c r="B47" s="6" t="s">
        <v>879</v>
      </c>
      <c r="C47" s="5">
        <v>46269</v>
      </c>
      <c r="D47" s="6" t="s">
        <v>19</v>
      </c>
      <c r="E47" s="6" t="s">
        <v>39</v>
      </c>
      <c r="F47" s="7" t="s">
        <v>58</v>
      </c>
      <c r="G47" s="6" t="s">
        <v>34</v>
      </c>
      <c r="H47" s="6">
        <v>114</v>
      </c>
      <c r="I47" s="6" t="s">
        <v>41</v>
      </c>
      <c r="J47" s="6" t="s">
        <v>42</v>
      </c>
      <c r="K47" s="6" t="s">
        <v>25</v>
      </c>
      <c r="L47" s="7" t="s">
        <v>880</v>
      </c>
      <c r="M47" s="6">
        <v>1251278</v>
      </c>
      <c r="N47" s="8"/>
      <c r="O47" s="8"/>
      <c r="P47" s="6">
        <v>14</v>
      </c>
      <c r="Q47" s="5">
        <v>46288</v>
      </c>
      <c r="R47" s="6" t="s">
        <v>26</v>
      </c>
      <c r="S47" s="6" t="s">
        <v>26</v>
      </c>
      <c r="T47" s="5">
        <v>46287</v>
      </c>
      <c r="U47" s="5">
        <v>46288</v>
      </c>
      <c r="V47" s="6" t="s">
        <v>881</v>
      </c>
      <c r="W47" s="9" t="s">
        <v>27</v>
      </c>
      <c r="X47" s="10" t="s">
        <v>25</v>
      </c>
      <c r="Y47" s="8"/>
    </row>
    <row r="48" spans="1:25" ht="50.1" customHeight="1" thickBot="1" x14ac:dyDescent="0.3">
      <c r="A48" s="4" t="s">
        <v>882</v>
      </c>
      <c r="B48" s="6" t="s">
        <v>883</v>
      </c>
      <c r="C48" s="5">
        <v>46269</v>
      </c>
      <c r="D48" s="6" t="s">
        <v>33</v>
      </c>
      <c r="E48" s="6" t="s">
        <v>39</v>
      </c>
      <c r="F48" s="7" t="s">
        <v>884</v>
      </c>
      <c r="G48" s="6" t="s">
        <v>30</v>
      </c>
      <c r="H48" s="6">
        <v>503</v>
      </c>
      <c r="I48" s="6" t="s">
        <v>31</v>
      </c>
      <c r="J48" s="6" t="s">
        <v>93</v>
      </c>
      <c r="K48" s="6" t="s">
        <v>47</v>
      </c>
      <c r="L48" s="7" t="s">
        <v>885</v>
      </c>
      <c r="M48" s="8"/>
      <c r="N48" s="8"/>
      <c r="O48" s="8"/>
      <c r="P48" s="6">
        <v>14</v>
      </c>
      <c r="Q48" s="5">
        <v>46289</v>
      </c>
      <c r="R48" s="5">
        <v>46269</v>
      </c>
      <c r="S48" s="6" t="s">
        <v>26</v>
      </c>
      <c r="T48" s="6" t="s">
        <v>26</v>
      </c>
      <c r="U48" s="5">
        <v>46288</v>
      </c>
      <c r="V48" s="6" t="s">
        <v>886</v>
      </c>
      <c r="W48" s="9" t="s">
        <v>27</v>
      </c>
      <c r="X48" s="10" t="s">
        <v>25</v>
      </c>
      <c r="Y48" s="8"/>
    </row>
    <row r="49" spans="1:25" ht="50.1" customHeight="1" thickBot="1" x14ac:dyDescent="0.3">
      <c r="A49" s="677" t="s">
        <v>887</v>
      </c>
      <c r="B49" s="12" t="s">
        <v>888</v>
      </c>
      <c r="C49" s="874">
        <v>46269</v>
      </c>
      <c r="D49" s="12" t="s">
        <v>19</v>
      </c>
      <c r="E49" s="12" t="s">
        <v>39</v>
      </c>
      <c r="F49" s="875" t="s">
        <v>889</v>
      </c>
      <c r="G49" s="12" t="s">
        <v>34</v>
      </c>
      <c r="H49" s="12">
        <v>114</v>
      </c>
      <c r="I49" s="12" t="s">
        <v>41</v>
      </c>
      <c r="J49" s="12" t="s">
        <v>42</v>
      </c>
      <c r="K49" s="863"/>
      <c r="L49" s="875" t="s">
        <v>890</v>
      </c>
      <c r="M49" s="863"/>
      <c r="N49" s="863"/>
      <c r="O49" s="863"/>
      <c r="P49" s="12">
        <v>14</v>
      </c>
      <c r="Q49" s="874">
        <v>46289</v>
      </c>
      <c r="R49" s="863"/>
      <c r="S49" s="863"/>
      <c r="T49" s="863"/>
      <c r="U49" s="863"/>
      <c r="V49" s="863"/>
      <c r="W49" s="562" t="s">
        <v>461</v>
      </c>
      <c r="X49" s="12"/>
      <c r="Y49" s="863"/>
    </row>
    <row r="50" spans="1:25" ht="50.1" customHeight="1" thickBot="1" x14ac:dyDescent="0.3">
      <c r="A50" s="677" t="s">
        <v>891</v>
      </c>
      <c r="B50" s="12" t="s">
        <v>892</v>
      </c>
      <c r="C50" s="874">
        <v>46269</v>
      </c>
      <c r="D50" s="12" t="s">
        <v>19</v>
      </c>
      <c r="E50" s="12" t="s">
        <v>460</v>
      </c>
      <c r="F50" s="875" t="s">
        <v>893</v>
      </c>
      <c r="G50" s="12" t="s">
        <v>34</v>
      </c>
      <c r="H50" s="12">
        <v>127</v>
      </c>
      <c r="I50" s="12" t="s">
        <v>88</v>
      </c>
      <c r="J50" s="12" t="s">
        <v>71</v>
      </c>
      <c r="K50" s="863"/>
      <c r="L50" s="875" t="s">
        <v>598</v>
      </c>
      <c r="M50" s="863"/>
      <c r="N50" s="863"/>
      <c r="O50" s="863"/>
      <c r="P50" s="12">
        <v>14</v>
      </c>
      <c r="Q50" s="874">
        <v>46289</v>
      </c>
      <c r="R50" s="863"/>
      <c r="S50" s="863"/>
      <c r="T50" s="863"/>
      <c r="U50" s="863"/>
      <c r="V50" s="863"/>
      <c r="W50" s="562" t="s">
        <v>461</v>
      </c>
      <c r="X50" s="12"/>
      <c r="Y50" s="863"/>
    </row>
    <row r="51" spans="1:25" ht="50.1" customHeight="1" thickBot="1" x14ac:dyDescent="0.3">
      <c r="A51" s="4" t="s">
        <v>894</v>
      </c>
      <c r="B51" s="6" t="s">
        <v>895</v>
      </c>
      <c r="C51" s="5">
        <v>46269</v>
      </c>
      <c r="D51" s="6" t="s">
        <v>33</v>
      </c>
      <c r="E51" s="6" t="s">
        <v>39</v>
      </c>
      <c r="F51" s="7" t="s">
        <v>896</v>
      </c>
      <c r="G51" s="6" t="s">
        <v>30</v>
      </c>
      <c r="H51" s="6">
        <v>503</v>
      </c>
      <c r="I51" s="6" t="s">
        <v>31</v>
      </c>
      <c r="J51" s="6" t="s">
        <v>93</v>
      </c>
      <c r="K51" s="6" t="s">
        <v>25</v>
      </c>
      <c r="L51" s="7" t="s">
        <v>897</v>
      </c>
      <c r="M51" s="8"/>
      <c r="N51" s="8"/>
      <c r="O51" s="8"/>
      <c r="P51" s="6">
        <v>14</v>
      </c>
      <c r="Q51" s="5">
        <v>46289</v>
      </c>
      <c r="R51" s="5">
        <v>46269</v>
      </c>
      <c r="S51" s="6" t="s">
        <v>26</v>
      </c>
      <c r="T51" s="6" t="s">
        <v>26</v>
      </c>
      <c r="U51" s="5">
        <v>46288</v>
      </c>
      <c r="V51" s="6" t="s">
        <v>898</v>
      </c>
      <c r="W51" s="9" t="s">
        <v>27</v>
      </c>
      <c r="X51" s="10" t="s">
        <v>25</v>
      </c>
      <c r="Y51" s="8"/>
    </row>
    <row r="52" spans="1:25" ht="50.1" customHeight="1" thickBot="1" x14ac:dyDescent="0.3">
      <c r="A52" s="872" t="s">
        <v>899</v>
      </c>
      <c r="B52" s="6" t="s">
        <v>900</v>
      </c>
      <c r="C52" s="5">
        <v>46269</v>
      </c>
      <c r="D52" s="6" t="s">
        <v>33</v>
      </c>
      <c r="E52" s="6" t="s">
        <v>460</v>
      </c>
      <c r="F52" s="7" t="s">
        <v>901</v>
      </c>
      <c r="G52" s="6" t="s">
        <v>34</v>
      </c>
      <c r="H52" s="6">
        <v>127</v>
      </c>
      <c r="I52" s="6" t="s">
        <v>88</v>
      </c>
      <c r="J52" s="6" t="s">
        <v>71</v>
      </c>
      <c r="K52" s="6" t="s">
        <v>47</v>
      </c>
      <c r="L52" s="7" t="s">
        <v>902</v>
      </c>
      <c r="M52" s="6">
        <v>1254016</v>
      </c>
      <c r="N52" s="8"/>
      <c r="O52" s="8"/>
      <c r="P52" s="6">
        <v>14</v>
      </c>
      <c r="Q52" s="5">
        <v>46289</v>
      </c>
      <c r="R52" s="6" t="s">
        <v>26</v>
      </c>
      <c r="S52" s="6" t="s">
        <v>26</v>
      </c>
      <c r="T52" s="5">
        <v>46287</v>
      </c>
      <c r="U52" s="5">
        <v>46289</v>
      </c>
      <c r="V52" s="6" t="s">
        <v>903</v>
      </c>
      <c r="W52" s="9" t="s">
        <v>27</v>
      </c>
      <c r="X52" s="10" t="s">
        <v>25</v>
      </c>
      <c r="Y52" s="8"/>
    </row>
    <row r="53" spans="1:25" ht="50.1" customHeight="1" thickBot="1" x14ac:dyDescent="0.3">
      <c r="A53" s="872" t="s">
        <v>904</v>
      </c>
      <c r="B53" s="6" t="s">
        <v>905</v>
      </c>
      <c r="C53" s="5">
        <v>46272</v>
      </c>
      <c r="D53" s="6" t="s">
        <v>19</v>
      </c>
      <c r="E53" s="6" t="s">
        <v>39</v>
      </c>
      <c r="F53" s="7" t="s">
        <v>871</v>
      </c>
      <c r="G53" s="6" t="s">
        <v>34</v>
      </c>
      <c r="H53" s="6">
        <v>114</v>
      </c>
      <c r="I53" s="6" t="s">
        <v>41</v>
      </c>
      <c r="J53" s="6" t="s">
        <v>42</v>
      </c>
      <c r="K53" s="6" t="s">
        <v>25</v>
      </c>
      <c r="L53" s="7" t="s">
        <v>877</v>
      </c>
      <c r="M53" s="6">
        <v>1016340</v>
      </c>
      <c r="N53" s="8"/>
      <c r="O53" s="8"/>
      <c r="P53" s="6">
        <v>14</v>
      </c>
      <c r="Q53" s="5">
        <v>46289</v>
      </c>
      <c r="R53" s="6" t="s">
        <v>26</v>
      </c>
      <c r="S53" s="6" t="s">
        <v>26</v>
      </c>
      <c r="T53" s="5">
        <v>46287</v>
      </c>
      <c r="U53" s="5">
        <v>46288</v>
      </c>
      <c r="V53" s="6" t="s">
        <v>906</v>
      </c>
      <c r="W53" s="9" t="s">
        <v>27</v>
      </c>
      <c r="X53" s="10" t="s">
        <v>25</v>
      </c>
      <c r="Y53" s="8"/>
    </row>
    <row r="54" spans="1:25" ht="50.1" customHeight="1" thickBot="1" x14ac:dyDescent="0.3">
      <c r="A54" s="872" t="s">
        <v>907</v>
      </c>
      <c r="B54" s="6" t="s">
        <v>908</v>
      </c>
      <c r="C54" s="5">
        <v>46272</v>
      </c>
      <c r="D54" s="6" t="s">
        <v>19</v>
      </c>
      <c r="E54" s="6" t="s">
        <v>20</v>
      </c>
      <c r="F54" s="7" t="s">
        <v>45</v>
      </c>
      <c r="G54" s="6" t="s">
        <v>22</v>
      </c>
      <c r="H54" s="6">
        <v>316</v>
      </c>
      <c r="I54" s="6" t="s">
        <v>23</v>
      </c>
      <c r="J54" s="6" t="s">
        <v>46</v>
      </c>
      <c r="K54" s="6" t="s">
        <v>25</v>
      </c>
      <c r="L54" s="7" t="s">
        <v>909</v>
      </c>
      <c r="M54" s="6">
        <v>1202460</v>
      </c>
      <c r="N54" s="8"/>
      <c r="O54" s="8"/>
      <c r="P54" s="6">
        <v>14</v>
      </c>
      <c r="Q54" s="5">
        <v>46290</v>
      </c>
      <c r="R54" s="5">
        <v>46272</v>
      </c>
      <c r="S54" s="6" t="s">
        <v>26</v>
      </c>
      <c r="T54" s="5">
        <v>46272</v>
      </c>
      <c r="U54" s="5">
        <v>46289</v>
      </c>
      <c r="V54" s="6" t="s">
        <v>910</v>
      </c>
      <c r="W54" s="9" t="s">
        <v>27</v>
      </c>
      <c r="X54" s="10" t="s">
        <v>25</v>
      </c>
      <c r="Y54" s="8"/>
    </row>
    <row r="55" spans="1:25" ht="50.1" customHeight="1" thickBot="1" x14ac:dyDescent="0.3">
      <c r="A55" s="4" t="s">
        <v>911</v>
      </c>
      <c r="B55" s="6" t="s">
        <v>912</v>
      </c>
      <c r="C55" s="5">
        <v>46272</v>
      </c>
      <c r="D55" s="6" t="s">
        <v>33</v>
      </c>
      <c r="E55" s="6" t="s">
        <v>39</v>
      </c>
      <c r="F55" s="7" t="s">
        <v>913</v>
      </c>
      <c r="G55" s="6" t="s">
        <v>30</v>
      </c>
      <c r="H55" s="6">
        <v>503</v>
      </c>
      <c r="I55" s="6" t="s">
        <v>31</v>
      </c>
      <c r="J55" s="6" t="s">
        <v>93</v>
      </c>
      <c r="K55" s="6" t="s">
        <v>25</v>
      </c>
      <c r="L55" s="7" t="s">
        <v>914</v>
      </c>
      <c r="M55" s="8"/>
      <c r="N55" s="8"/>
      <c r="O55" s="8"/>
      <c r="P55" s="6">
        <v>14</v>
      </c>
      <c r="Q55" s="5">
        <v>46290</v>
      </c>
      <c r="R55" s="5">
        <v>46272</v>
      </c>
      <c r="S55" s="6" t="s">
        <v>26</v>
      </c>
      <c r="T55" s="5">
        <v>46272</v>
      </c>
      <c r="U55" s="5">
        <v>46290</v>
      </c>
      <c r="V55" s="6" t="s">
        <v>915</v>
      </c>
      <c r="W55" s="9" t="s">
        <v>27</v>
      </c>
      <c r="X55" s="10" t="s">
        <v>25</v>
      </c>
      <c r="Y55" s="8"/>
    </row>
    <row r="56" spans="1:25" ht="50.1" customHeight="1" thickBot="1" x14ac:dyDescent="0.3">
      <c r="A56" s="872" t="s">
        <v>916</v>
      </c>
      <c r="B56" s="6" t="s">
        <v>917</v>
      </c>
      <c r="C56" s="5">
        <v>46272</v>
      </c>
      <c r="D56" s="6" t="s">
        <v>19</v>
      </c>
      <c r="E56" s="6" t="s">
        <v>460</v>
      </c>
      <c r="F56" s="7" t="s">
        <v>918</v>
      </c>
      <c r="G56" s="6" t="s">
        <v>22</v>
      </c>
      <c r="H56" s="6">
        <v>316</v>
      </c>
      <c r="I56" s="6" t="s">
        <v>23</v>
      </c>
      <c r="J56" s="6" t="s">
        <v>57</v>
      </c>
      <c r="K56" s="6" t="s">
        <v>25</v>
      </c>
      <c r="L56" s="7" t="s">
        <v>919</v>
      </c>
      <c r="M56" s="8"/>
      <c r="N56" s="8"/>
      <c r="O56" s="8"/>
      <c r="P56" s="6">
        <v>14</v>
      </c>
      <c r="Q56" s="5">
        <v>46290</v>
      </c>
      <c r="R56" s="5">
        <v>46272</v>
      </c>
      <c r="S56" s="6" t="s">
        <v>26</v>
      </c>
      <c r="T56" s="5">
        <v>46275</v>
      </c>
      <c r="U56" s="5">
        <v>46289</v>
      </c>
      <c r="V56" s="6" t="s">
        <v>920</v>
      </c>
      <c r="W56" s="9" t="s">
        <v>27</v>
      </c>
      <c r="X56" s="10" t="s">
        <v>25</v>
      </c>
      <c r="Y56" s="8"/>
    </row>
    <row r="57" spans="1:25" ht="50.1" customHeight="1" thickBot="1" x14ac:dyDescent="0.3">
      <c r="A57" s="872" t="s">
        <v>921</v>
      </c>
      <c r="B57" s="6" t="s">
        <v>922</v>
      </c>
      <c r="C57" s="5">
        <v>46272</v>
      </c>
      <c r="D57" s="6" t="s">
        <v>19</v>
      </c>
      <c r="E57" s="6" t="s">
        <v>20</v>
      </c>
      <c r="F57" s="7" t="s">
        <v>923</v>
      </c>
      <c r="G57" s="6" t="s">
        <v>22</v>
      </c>
      <c r="H57" s="6">
        <v>316</v>
      </c>
      <c r="I57" s="6" t="s">
        <v>23</v>
      </c>
      <c r="J57" s="6" t="s">
        <v>169</v>
      </c>
      <c r="K57" s="6" t="s">
        <v>25</v>
      </c>
      <c r="L57" s="7" t="s">
        <v>638</v>
      </c>
      <c r="M57" s="6">
        <v>1167160</v>
      </c>
      <c r="N57" s="8"/>
      <c r="O57" s="8"/>
      <c r="P57" s="6">
        <v>14</v>
      </c>
      <c r="Q57" s="5">
        <v>46290</v>
      </c>
      <c r="R57" s="6" t="s">
        <v>26</v>
      </c>
      <c r="S57" s="6" t="s">
        <v>26</v>
      </c>
      <c r="T57" s="5">
        <v>46287</v>
      </c>
      <c r="U57" s="5">
        <v>46289</v>
      </c>
      <c r="V57" s="6" t="s">
        <v>924</v>
      </c>
      <c r="W57" s="9" t="s">
        <v>27</v>
      </c>
      <c r="X57" s="10" t="s">
        <v>25</v>
      </c>
      <c r="Y57" s="8"/>
    </row>
    <row r="58" spans="1:25" ht="50.1" customHeight="1" thickBot="1" x14ac:dyDescent="0.3">
      <c r="A58" s="872" t="s">
        <v>925</v>
      </c>
      <c r="B58" s="6" t="s">
        <v>926</v>
      </c>
      <c r="C58" s="5">
        <v>46272</v>
      </c>
      <c r="D58" s="6" t="s">
        <v>19</v>
      </c>
      <c r="E58" s="6" t="s">
        <v>39</v>
      </c>
      <c r="F58" s="7" t="s">
        <v>40</v>
      </c>
      <c r="G58" s="6" t="s">
        <v>34</v>
      </c>
      <c r="H58" s="6">
        <v>114</v>
      </c>
      <c r="I58" s="6" t="s">
        <v>41</v>
      </c>
      <c r="J58" s="6" t="s">
        <v>42</v>
      </c>
      <c r="K58" s="6" t="s">
        <v>25</v>
      </c>
      <c r="L58" s="7" t="s">
        <v>927</v>
      </c>
      <c r="M58" s="8"/>
      <c r="N58" s="8"/>
      <c r="O58" s="8"/>
      <c r="P58" s="6">
        <v>14</v>
      </c>
      <c r="Q58" s="5">
        <v>46290</v>
      </c>
      <c r="R58" s="6" t="s">
        <v>26</v>
      </c>
      <c r="S58" s="6" t="s">
        <v>26</v>
      </c>
      <c r="T58" s="5">
        <v>46287</v>
      </c>
      <c r="U58" s="5">
        <v>46289</v>
      </c>
      <c r="V58" s="6" t="s">
        <v>928</v>
      </c>
      <c r="W58" s="9" t="s">
        <v>27</v>
      </c>
      <c r="X58" s="10" t="s">
        <v>25</v>
      </c>
      <c r="Y58" s="8"/>
    </row>
    <row r="59" spans="1:25" ht="50.1" customHeight="1" thickBot="1" x14ac:dyDescent="0.3">
      <c r="A59" s="872" t="s">
        <v>929</v>
      </c>
      <c r="B59" s="6" t="s">
        <v>930</v>
      </c>
      <c r="C59" s="5">
        <v>46272</v>
      </c>
      <c r="D59" s="6" t="s">
        <v>33</v>
      </c>
      <c r="E59" s="6" t="s">
        <v>29</v>
      </c>
      <c r="F59" s="7" t="s">
        <v>931</v>
      </c>
      <c r="G59" s="6" t="s">
        <v>30</v>
      </c>
      <c r="H59" s="6">
        <v>502</v>
      </c>
      <c r="I59" s="6" t="s">
        <v>37</v>
      </c>
      <c r="J59" s="6" t="s">
        <v>38</v>
      </c>
      <c r="K59" s="6" t="s">
        <v>25</v>
      </c>
      <c r="L59" s="7" t="s">
        <v>582</v>
      </c>
      <c r="M59" s="8"/>
      <c r="N59" s="6">
        <v>3044089981</v>
      </c>
      <c r="O59" s="6" t="s">
        <v>932</v>
      </c>
      <c r="P59" s="6">
        <v>14</v>
      </c>
      <c r="Q59" s="5">
        <v>46290</v>
      </c>
      <c r="R59" s="5">
        <v>46272</v>
      </c>
      <c r="S59" s="6" t="s">
        <v>26</v>
      </c>
      <c r="T59" s="6" t="s">
        <v>26</v>
      </c>
      <c r="U59" s="5">
        <v>46280</v>
      </c>
      <c r="V59" s="6" t="s">
        <v>933</v>
      </c>
      <c r="W59" s="9" t="s">
        <v>27</v>
      </c>
      <c r="X59" s="10" t="s">
        <v>25</v>
      </c>
      <c r="Y59" s="10" t="s">
        <v>25</v>
      </c>
    </row>
    <row r="60" spans="1:25" ht="50.1" customHeight="1" thickBot="1" x14ac:dyDescent="0.3">
      <c r="A60" s="872" t="s">
        <v>934</v>
      </c>
      <c r="B60" s="6" t="s">
        <v>935</v>
      </c>
      <c r="C60" s="5">
        <v>46272</v>
      </c>
      <c r="D60" s="6" t="s">
        <v>19</v>
      </c>
      <c r="E60" s="6" t="s">
        <v>39</v>
      </c>
      <c r="F60" s="7" t="s">
        <v>380</v>
      </c>
      <c r="G60" s="6" t="s">
        <v>22</v>
      </c>
      <c r="H60" s="6">
        <v>316</v>
      </c>
      <c r="I60" s="6" t="s">
        <v>23</v>
      </c>
      <c r="J60" s="6" t="s">
        <v>288</v>
      </c>
      <c r="K60" s="8"/>
      <c r="L60" s="7" t="s">
        <v>936</v>
      </c>
      <c r="M60" s="6">
        <v>1092380</v>
      </c>
      <c r="N60" s="8"/>
      <c r="O60" s="8"/>
      <c r="P60" s="6">
        <v>14</v>
      </c>
      <c r="Q60" s="5">
        <v>46290</v>
      </c>
      <c r="R60" s="8"/>
      <c r="S60" s="8"/>
      <c r="T60" s="8"/>
      <c r="U60" s="8"/>
      <c r="V60" s="8"/>
      <c r="W60" s="562" t="s">
        <v>461</v>
      </c>
      <c r="X60" s="6"/>
      <c r="Y60" s="8"/>
    </row>
    <row r="61" spans="1:25" ht="50.1" customHeight="1" thickBot="1" x14ac:dyDescent="0.3">
      <c r="A61" s="4" t="s">
        <v>937</v>
      </c>
      <c r="B61" s="6" t="s">
        <v>938</v>
      </c>
      <c r="C61" s="5">
        <v>46272</v>
      </c>
      <c r="D61" s="6" t="s">
        <v>33</v>
      </c>
      <c r="E61" s="6" t="s">
        <v>29</v>
      </c>
      <c r="F61" s="7" t="s">
        <v>939</v>
      </c>
      <c r="G61" s="6" t="s">
        <v>30</v>
      </c>
      <c r="H61" s="6">
        <v>502</v>
      </c>
      <c r="I61" s="6" t="s">
        <v>37</v>
      </c>
      <c r="J61" s="6" t="s">
        <v>38</v>
      </c>
      <c r="K61" s="6" t="s">
        <v>25</v>
      </c>
      <c r="L61" s="7" t="s">
        <v>940</v>
      </c>
      <c r="M61" s="8"/>
      <c r="N61" s="8"/>
      <c r="O61" s="8"/>
      <c r="P61" s="6">
        <v>14</v>
      </c>
      <c r="Q61" s="5">
        <v>46290</v>
      </c>
      <c r="R61" s="5">
        <v>46272</v>
      </c>
      <c r="S61" s="6" t="s">
        <v>26</v>
      </c>
      <c r="T61" s="6" t="s">
        <v>26</v>
      </c>
      <c r="U61" s="5">
        <v>46290</v>
      </c>
      <c r="V61" s="6" t="s">
        <v>941</v>
      </c>
      <c r="W61" s="9" t="s">
        <v>27</v>
      </c>
      <c r="X61" s="10" t="s">
        <v>25</v>
      </c>
      <c r="Y61" s="8"/>
    </row>
    <row r="62" spans="1:25" ht="50.1" customHeight="1" thickBot="1" x14ac:dyDescent="0.3">
      <c r="A62" s="872" t="s">
        <v>942</v>
      </c>
      <c r="B62" s="6" t="s">
        <v>943</v>
      </c>
      <c r="C62" s="5">
        <v>46272</v>
      </c>
      <c r="D62" s="6" t="s">
        <v>33</v>
      </c>
      <c r="E62" s="6" t="s">
        <v>29</v>
      </c>
      <c r="F62" s="7" t="s">
        <v>944</v>
      </c>
      <c r="G62" s="6" t="s">
        <v>34</v>
      </c>
      <c r="H62" s="6">
        <v>127</v>
      </c>
      <c r="I62" s="6" t="s">
        <v>88</v>
      </c>
      <c r="J62" s="6" t="s">
        <v>71</v>
      </c>
      <c r="K62" s="6" t="s">
        <v>47</v>
      </c>
      <c r="L62" s="7" t="s">
        <v>945</v>
      </c>
      <c r="M62" s="8"/>
      <c r="N62" s="8"/>
      <c r="O62" s="6" t="s">
        <v>946</v>
      </c>
      <c r="P62" s="6">
        <v>14</v>
      </c>
      <c r="Q62" s="5">
        <v>46290</v>
      </c>
      <c r="R62" s="6" t="s">
        <v>26</v>
      </c>
      <c r="S62" s="6" t="s">
        <v>26</v>
      </c>
      <c r="T62" s="6" t="s">
        <v>26</v>
      </c>
      <c r="U62" s="5">
        <v>46290</v>
      </c>
      <c r="V62" s="6" t="s">
        <v>947</v>
      </c>
      <c r="W62" s="9" t="s">
        <v>27</v>
      </c>
      <c r="X62" s="10" t="s">
        <v>25</v>
      </c>
      <c r="Y62" s="8"/>
    </row>
    <row r="63" spans="1:25" ht="50.1" customHeight="1" thickBot="1" x14ac:dyDescent="0.3">
      <c r="A63" s="872" t="s">
        <v>948</v>
      </c>
      <c r="B63" s="6" t="s">
        <v>949</v>
      </c>
      <c r="C63" s="5">
        <v>46272</v>
      </c>
      <c r="D63" s="6" t="s">
        <v>19</v>
      </c>
      <c r="E63" s="6" t="s">
        <v>39</v>
      </c>
      <c r="F63" s="7" t="s">
        <v>58</v>
      </c>
      <c r="G63" s="6" t="s">
        <v>34</v>
      </c>
      <c r="H63" s="6">
        <v>114</v>
      </c>
      <c r="I63" s="6" t="s">
        <v>41</v>
      </c>
      <c r="J63" s="6" t="s">
        <v>42</v>
      </c>
      <c r="K63" s="6" t="s">
        <v>25</v>
      </c>
      <c r="L63" s="7" t="s">
        <v>597</v>
      </c>
      <c r="M63" s="6">
        <v>1215780</v>
      </c>
      <c r="N63" s="8"/>
      <c r="O63" s="8"/>
      <c r="P63" s="6">
        <v>14</v>
      </c>
      <c r="Q63" s="5">
        <v>46290</v>
      </c>
      <c r="R63" s="6" t="s">
        <v>26</v>
      </c>
      <c r="S63" s="6" t="s">
        <v>26</v>
      </c>
      <c r="T63" s="6" t="s">
        <v>26</v>
      </c>
      <c r="U63" s="5">
        <v>46290</v>
      </c>
      <c r="V63" s="6" t="s">
        <v>950</v>
      </c>
      <c r="W63" s="9" t="s">
        <v>27</v>
      </c>
      <c r="X63" s="10" t="s">
        <v>25</v>
      </c>
      <c r="Y63" s="8"/>
    </row>
    <row r="64" spans="1:25" ht="50.1" customHeight="1" thickBot="1" x14ac:dyDescent="0.3">
      <c r="A64" s="4" t="s">
        <v>951</v>
      </c>
      <c r="B64" s="6" t="s">
        <v>952</v>
      </c>
      <c r="C64" s="5">
        <v>46272</v>
      </c>
      <c r="D64" s="6" t="s">
        <v>19</v>
      </c>
      <c r="E64" s="6" t="s">
        <v>39</v>
      </c>
      <c r="F64" s="7" t="s">
        <v>953</v>
      </c>
      <c r="G64" s="6" t="s">
        <v>30</v>
      </c>
      <c r="H64" s="6">
        <v>503</v>
      </c>
      <c r="I64" s="6" t="s">
        <v>31</v>
      </c>
      <c r="J64" s="6" t="s">
        <v>93</v>
      </c>
      <c r="K64" s="6" t="s">
        <v>25</v>
      </c>
      <c r="L64" s="7" t="s">
        <v>954</v>
      </c>
      <c r="M64" s="6">
        <v>1173100</v>
      </c>
      <c r="N64" s="8"/>
      <c r="O64" s="8"/>
      <c r="P64" s="6">
        <v>14</v>
      </c>
      <c r="Q64" s="5">
        <v>46290</v>
      </c>
      <c r="R64" s="5">
        <v>46272</v>
      </c>
      <c r="S64" s="6" t="s">
        <v>26</v>
      </c>
      <c r="T64" s="6" t="s">
        <v>26</v>
      </c>
      <c r="U64" s="5">
        <v>46289</v>
      </c>
      <c r="V64" s="6" t="s">
        <v>955</v>
      </c>
      <c r="W64" s="9" t="s">
        <v>27</v>
      </c>
      <c r="X64" s="10" t="s">
        <v>25</v>
      </c>
      <c r="Y64" s="8"/>
    </row>
    <row r="65" spans="1:25" ht="50.1" customHeight="1" thickBot="1" x14ac:dyDescent="0.3">
      <c r="A65" s="872" t="s">
        <v>956</v>
      </c>
      <c r="B65" s="6" t="s">
        <v>957</v>
      </c>
      <c r="C65" s="5">
        <v>46272</v>
      </c>
      <c r="D65" s="6" t="s">
        <v>33</v>
      </c>
      <c r="E65" s="6" t="s">
        <v>460</v>
      </c>
      <c r="F65" s="7" t="s">
        <v>958</v>
      </c>
      <c r="G65" s="6" t="s">
        <v>30</v>
      </c>
      <c r="H65" s="6">
        <v>506</v>
      </c>
      <c r="I65" s="6" t="s">
        <v>94</v>
      </c>
      <c r="J65" s="6" t="s">
        <v>95</v>
      </c>
      <c r="K65" s="8"/>
      <c r="L65" s="7" t="s">
        <v>959</v>
      </c>
      <c r="M65" s="8"/>
      <c r="N65" s="8"/>
      <c r="O65" s="8"/>
      <c r="P65" s="6">
        <v>14</v>
      </c>
      <c r="Q65" s="5">
        <v>46290</v>
      </c>
      <c r="R65" s="6" t="s">
        <v>26</v>
      </c>
      <c r="S65" s="6" t="s">
        <v>26</v>
      </c>
      <c r="T65" s="6" t="s">
        <v>26</v>
      </c>
      <c r="U65" s="5">
        <v>46290</v>
      </c>
      <c r="V65" s="6" t="s">
        <v>960</v>
      </c>
      <c r="W65" s="9" t="s">
        <v>27</v>
      </c>
      <c r="X65" s="10" t="s">
        <v>25</v>
      </c>
      <c r="Y65" s="8"/>
    </row>
    <row r="66" spans="1:25" ht="50.1" customHeight="1" thickBot="1" x14ac:dyDescent="0.3">
      <c r="A66" s="872" t="s">
        <v>961</v>
      </c>
      <c r="B66" s="6" t="s">
        <v>962</v>
      </c>
      <c r="C66" s="5">
        <v>46272</v>
      </c>
      <c r="D66" s="6" t="s">
        <v>28</v>
      </c>
      <c r="E66" s="6" t="s">
        <v>460</v>
      </c>
      <c r="F66" s="7" t="s">
        <v>963</v>
      </c>
      <c r="G66" s="6" t="s">
        <v>34</v>
      </c>
      <c r="H66" s="6">
        <v>127</v>
      </c>
      <c r="I66" s="6" t="s">
        <v>88</v>
      </c>
      <c r="J66" s="6" t="s">
        <v>71</v>
      </c>
      <c r="K66" s="6" t="s">
        <v>47</v>
      </c>
      <c r="L66" s="7" t="s">
        <v>964</v>
      </c>
      <c r="M66" s="8"/>
      <c r="N66" s="8"/>
      <c r="O66" s="8"/>
      <c r="P66" s="6">
        <v>14</v>
      </c>
      <c r="Q66" s="5">
        <v>46290</v>
      </c>
      <c r="R66" s="6" t="s">
        <v>26</v>
      </c>
      <c r="S66" s="6" t="s">
        <v>26</v>
      </c>
      <c r="T66" s="6" t="s">
        <v>26</v>
      </c>
      <c r="U66" s="5">
        <v>46290</v>
      </c>
      <c r="V66" s="6" t="s">
        <v>965</v>
      </c>
      <c r="W66" s="9" t="s">
        <v>27</v>
      </c>
      <c r="X66" s="10" t="s">
        <v>25</v>
      </c>
      <c r="Y66" s="8"/>
    </row>
    <row r="67" spans="1:25" ht="50.1" customHeight="1" thickBot="1" x14ac:dyDescent="0.3">
      <c r="A67" s="872" t="s">
        <v>966</v>
      </c>
      <c r="B67" s="6" t="s">
        <v>967</v>
      </c>
      <c r="C67" s="5">
        <v>46272</v>
      </c>
      <c r="D67" s="6" t="s">
        <v>19</v>
      </c>
      <c r="E67" s="6" t="s">
        <v>39</v>
      </c>
      <c r="F67" s="7" t="s">
        <v>515</v>
      </c>
      <c r="G67" s="6" t="s">
        <v>34</v>
      </c>
      <c r="H67" s="6">
        <v>127</v>
      </c>
      <c r="I67" s="6" t="s">
        <v>88</v>
      </c>
      <c r="J67" s="6" t="s">
        <v>71</v>
      </c>
      <c r="K67" s="6" t="s">
        <v>25</v>
      </c>
      <c r="L67" s="7" t="s">
        <v>968</v>
      </c>
      <c r="M67" s="8"/>
      <c r="N67" s="8"/>
      <c r="O67" s="8"/>
      <c r="P67" s="6">
        <v>14</v>
      </c>
      <c r="Q67" s="5">
        <v>46290</v>
      </c>
      <c r="R67" s="5">
        <v>46272</v>
      </c>
      <c r="S67" s="6" t="s">
        <v>26</v>
      </c>
      <c r="T67" s="6" t="s">
        <v>26</v>
      </c>
      <c r="U67" s="5">
        <v>46290</v>
      </c>
      <c r="V67" s="6" t="s">
        <v>969</v>
      </c>
      <c r="W67" s="9" t="s">
        <v>27</v>
      </c>
      <c r="X67" s="10" t="s">
        <v>25</v>
      </c>
      <c r="Y67" s="8"/>
    </row>
    <row r="68" spans="1:25" ht="50.1" customHeight="1" thickBot="1" x14ac:dyDescent="0.3">
      <c r="A68" s="13"/>
      <c r="B68" s="6" t="s">
        <v>970</v>
      </c>
      <c r="C68" s="5">
        <v>46272</v>
      </c>
      <c r="D68" s="6" t="s">
        <v>33</v>
      </c>
      <c r="E68" s="6" t="s">
        <v>29</v>
      </c>
      <c r="F68" s="7" t="s">
        <v>620</v>
      </c>
      <c r="G68" s="6" t="s">
        <v>34</v>
      </c>
      <c r="H68" s="6">
        <v>106</v>
      </c>
      <c r="I68" s="6" t="s">
        <v>112</v>
      </c>
      <c r="J68" s="6" t="s">
        <v>53</v>
      </c>
      <c r="K68" s="6" t="s">
        <v>25</v>
      </c>
      <c r="L68" s="7" t="s">
        <v>683</v>
      </c>
      <c r="M68" s="8"/>
      <c r="N68" s="8"/>
      <c r="O68" s="8"/>
      <c r="P68" s="6">
        <v>14</v>
      </c>
      <c r="Q68" s="5">
        <v>46290</v>
      </c>
      <c r="R68" s="6" t="s">
        <v>26</v>
      </c>
      <c r="S68" s="6" t="s">
        <v>26</v>
      </c>
      <c r="T68" s="6" t="s">
        <v>26</v>
      </c>
      <c r="U68" s="5">
        <v>46290</v>
      </c>
      <c r="V68" s="8"/>
      <c r="W68" s="9" t="s">
        <v>27</v>
      </c>
      <c r="X68" s="10" t="s">
        <v>25</v>
      </c>
      <c r="Y68" s="8"/>
    </row>
    <row r="69" spans="1:25" ht="50.1" customHeight="1" thickBot="1" x14ac:dyDescent="0.3">
      <c r="A69" s="872" t="s">
        <v>971</v>
      </c>
      <c r="B69" s="6" t="s">
        <v>972</v>
      </c>
      <c r="C69" s="5">
        <v>46272</v>
      </c>
      <c r="D69" s="6" t="s">
        <v>19</v>
      </c>
      <c r="E69" s="6" t="s">
        <v>39</v>
      </c>
      <c r="F69" s="7" t="s">
        <v>40</v>
      </c>
      <c r="G69" s="6" t="s">
        <v>34</v>
      </c>
      <c r="H69" s="6">
        <v>114</v>
      </c>
      <c r="I69" s="6" t="s">
        <v>41</v>
      </c>
      <c r="J69" s="6" t="s">
        <v>42</v>
      </c>
      <c r="K69" s="6" t="s">
        <v>25</v>
      </c>
      <c r="L69" s="7" t="s">
        <v>470</v>
      </c>
      <c r="M69" s="6">
        <v>1239372</v>
      </c>
      <c r="N69" s="8"/>
      <c r="O69" s="8"/>
      <c r="P69" s="6">
        <v>14</v>
      </c>
      <c r="Q69" s="5">
        <v>46290</v>
      </c>
      <c r="R69" s="6" t="s">
        <v>26</v>
      </c>
      <c r="S69" s="6" t="s">
        <v>26</v>
      </c>
      <c r="T69" s="6" t="s">
        <v>26</v>
      </c>
      <c r="U69" s="5">
        <v>46290</v>
      </c>
      <c r="V69" s="6" t="s">
        <v>973</v>
      </c>
      <c r="W69" s="9" t="s">
        <v>27</v>
      </c>
      <c r="X69" s="10" t="s">
        <v>25</v>
      </c>
      <c r="Y69" s="8"/>
    </row>
    <row r="70" spans="1:25" ht="50.1" customHeight="1" thickBot="1" x14ac:dyDescent="0.3">
      <c r="A70" s="872" t="s">
        <v>974</v>
      </c>
      <c r="B70" s="6" t="s">
        <v>975</v>
      </c>
      <c r="C70" s="5">
        <v>46272</v>
      </c>
      <c r="D70" s="6" t="s">
        <v>33</v>
      </c>
      <c r="E70" s="6" t="s">
        <v>61</v>
      </c>
      <c r="F70" s="7" t="s">
        <v>976</v>
      </c>
      <c r="G70" s="6" t="s">
        <v>22</v>
      </c>
      <c r="H70" s="6">
        <v>316</v>
      </c>
      <c r="I70" s="6" t="s">
        <v>23</v>
      </c>
      <c r="J70" s="12" t="s">
        <v>175</v>
      </c>
      <c r="K70" s="6" t="s">
        <v>25</v>
      </c>
      <c r="L70" s="7" t="s">
        <v>977</v>
      </c>
      <c r="M70" s="8"/>
      <c r="N70" s="8"/>
      <c r="O70" s="8"/>
      <c r="P70" s="6">
        <v>14</v>
      </c>
      <c r="Q70" s="5">
        <v>46290</v>
      </c>
      <c r="R70" s="5">
        <v>46272</v>
      </c>
      <c r="S70" s="6" t="s">
        <v>26</v>
      </c>
      <c r="T70" s="5">
        <v>46282</v>
      </c>
      <c r="U70" s="5">
        <v>46289</v>
      </c>
      <c r="V70" s="6" t="s">
        <v>978</v>
      </c>
      <c r="W70" s="9" t="s">
        <v>27</v>
      </c>
      <c r="X70" s="10" t="s">
        <v>25</v>
      </c>
      <c r="Y70" s="8"/>
    </row>
    <row r="71" spans="1:25" ht="50.1" customHeight="1" thickBot="1" x14ac:dyDescent="0.3">
      <c r="A71" s="872" t="s">
        <v>979</v>
      </c>
      <c r="B71" s="6" t="s">
        <v>980</v>
      </c>
      <c r="C71" s="5">
        <v>46272</v>
      </c>
      <c r="D71" s="6" t="s">
        <v>33</v>
      </c>
      <c r="E71" s="6" t="s">
        <v>460</v>
      </c>
      <c r="F71" s="7" t="s">
        <v>981</v>
      </c>
      <c r="G71" s="6" t="s">
        <v>34</v>
      </c>
      <c r="H71" s="6">
        <v>127</v>
      </c>
      <c r="I71" s="6" t="s">
        <v>88</v>
      </c>
      <c r="J71" s="6" t="s">
        <v>71</v>
      </c>
      <c r="K71" s="6" t="s">
        <v>47</v>
      </c>
      <c r="L71" s="7" t="s">
        <v>982</v>
      </c>
      <c r="M71" s="8"/>
      <c r="N71" s="8"/>
      <c r="O71" s="8"/>
      <c r="P71" s="6">
        <v>14</v>
      </c>
      <c r="Q71" s="5">
        <v>46290</v>
      </c>
      <c r="R71" s="6" t="s">
        <v>26</v>
      </c>
      <c r="S71" s="6" t="s">
        <v>26</v>
      </c>
      <c r="T71" s="6" t="s">
        <v>26</v>
      </c>
      <c r="U71" s="5">
        <v>46290</v>
      </c>
      <c r="V71" s="6" t="s">
        <v>983</v>
      </c>
      <c r="W71" s="9" t="s">
        <v>27</v>
      </c>
      <c r="X71" s="10" t="s">
        <v>25</v>
      </c>
      <c r="Y71" s="8"/>
    </row>
    <row r="72" spans="1:25" ht="50.1" customHeight="1" thickBot="1" x14ac:dyDescent="0.3">
      <c r="A72" s="872" t="s">
        <v>984</v>
      </c>
      <c r="B72" s="6" t="s">
        <v>985</v>
      </c>
      <c r="C72" s="5">
        <v>46272</v>
      </c>
      <c r="D72" s="6" t="s">
        <v>19</v>
      </c>
      <c r="E72" s="6" t="s">
        <v>39</v>
      </c>
      <c r="F72" s="7" t="s">
        <v>40</v>
      </c>
      <c r="G72" s="6" t="s">
        <v>34</v>
      </c>
      <c r="H72" s="6">
        <v>114</v>
      </c>
      <c r="I72" s="6" t="s">
        <v>41</v>
      </c>
      <c r="J72" s="6" t="s">
        <v>42</v>
      </c>
      <c r="K72" s="6" t="s">
        <v>25</v>
      </c>
      <c r="L72" s="7" t="s">
        <v>986</v>
      </c>
      <c r="M72" s="8"/>
      <c r="N72" s="8"/>
      <c r="O72" s="8"/>
      <c r="P72" s="6">
        <v>14</v>
      </c>
      <c r="Q72" s="5">
        <v>46290</v>
      </c>
      <c r="R72" s="6" t="s">
        <v>26</v>
      </c>
      <c r="S72" s="6" t="s">
        <v>26</v>
      </c>
      <c r="T72" s="6" t="s">
        <v>26</v>
      </c>
      <c r="U72" s="5">
        <v>46290</v>
      </c>
      <c r="V72" s="6" t="s">
        <v>987</v>
      </c>
      <c r="W72" s="9" t="s">
        <v>27</v>
      </c>
      <c r="X72" s="10" t="s">
        <v>25</v>
      </c>
      <c r="Y72" s="8"/>
    </row>
    <row r="73" spans="1:25" ht="50.1" customHeight="1" thickBot="1" x14ac:dyDescent="0.3">
      <c r="A73" s="4" t="s">
        <v>988</v>
      </c>
      <c r="B73" s="6" t="s">
        <v>989</v>
      </c>
      <c r="C73" s="5">
        <v>46272</v>
      </c>
      <c r="D73" s="6" t="s">
        <v>33</v>
      </c>
      <c r="E73" s="6" t="s">
        <v>63</v>
      </c>
      <c r="F73" s="7" t="s">
        <v>990</v>
      </c>
      <c r="G73" s="6" t="s">
        <v>22</v>
      </c>
      <c r="H73" s="6">
        <v>316</v>
      </c>
      <c r="I73" s="6" t="s">
        <v>23</v>
      </c>
      <c r="J73" s="6" t="s">
        <v>518</v>
      </c>
      <c r="K73" s="6" t="s">
        <v>25</v>
      </c>
      <c r="L73" s="7" t="s">
        <v>991</v>
      </c>
      <c r="M73" s="8"/>
      <c r="N73" s="8"/>
      <c r="O73" s="8"/>
      <c r="P73" s="6">
        <v>14</v>
      </c>
      <c r="Q73" s="5">
        <v>46290</v>
      </c>
      <c r="R73" s="5">
        <v>46272</v>
      </c>
      <c r="S73" s="6" t="s">
        <v>26</v>
      </c>
      <c r="T73" s="5">
        <v>46282</v>
      </c>
      <c r="U73" s="5">
        <v>46289</v>
      </c>
      <c r="V73" s="6" t="s">
        <v>992</v>
      </c>
      <c r="W73" s="9" t="s">
        <v>27</v>
      </c>
      <c r="X73" s="10" t="s">
        <v>25</v>
      </c>
      <c r="Y73" s="8"/>
    </row>
    <row r="74" spans="1:25" ht="50.1" customHeight="1" thickBot="1" x14ac:dyDescent="0.3">
      <c r="A74" s="4" t="s">
        <v>993</v>
      </c>
      <c r="B74" s="6" t="s">
        <v>994</v>
      </c>
      <c r="C74" s="5">
        <v>46272</v>
      </c>
      <c r="D74" s="6" t="s">
        <v>28</v>
      </c>
      <c r="E74" s="6" t="s">
        <v>584</v>
      </c>
      <c r="F74" s="7" t="s">
        <v>995</v>
      </c>
      <c r="G74" s="6" t="s">
        <v>30</v>
      </c>
      <c r="H74" s="6">
        <v>503</v>
      </c>
      <c r="I74" s="6" t="s">
        <v>31</v>
      </c>
      <c r="J74" s="6" t="s">
        <v>580</v>
      </c>
      <c r="K74" s="6" t="s">
        <v>25</v>
      </c>
      <c r="L74" s="7" t="s">
        <v>996</v>
      </c>
      <c r="M74" s="8"/>
      <c r="N74" s="8"/>
      <c r="O74" s="8"/>
      <c r="P74" s="6">
        <v>14</v>
      </c>
      <c r="Q74" s="5">
        <v>46290</v>
      </c>
      <c r="R74" s="5">
        <v>46272</v>
      </c>
      <c r="S74" s="6" t="s">
        <v>26</v>
      </c>
      <c r="T74" s="5">
        <v>46275</v>
      </c>
      <c r="U74" s="5">
        <v>46289</v>
      </c>
      <c r="V74" s="6" t="s">
        <v>997</v>
      </c>
      <c r="W74" s="9" t="s">
        <v>27</v>
      </c>
      <c r="X74" s="10" t="s">
        <v>25</v>
      </c>
      <c r="Y74" s="8"/>
    </row>
    <row r="75" spans="1:25" ht="50.1" customHeight="1" thickBot="1" x14ac:dyDescent="0.3">
      <c r="A75" s="4" t="s">
        <v>998</v>
      </c>
      <c r="B75" s="6" t="s">
        <v>999</v>
      </c>
      <c r="C75" s="5">
        <v>46272</v>
      </c>
      <c r="D75" s="6" t="s">
        <v>19</v>
      </c>
      <c r="E75" s="6" t="s">
        <v>39</v>
      </c>
      <c r="F75" s="7" t="s">
        <v>1000</v>
      </c>
      <c r="G75" s="6" t="s">
        <v>30</v>
      </c>
      <c r="H75" s="6">
        <v>503</v>
      </c>
      <c r="I75" s="6" t="s">
        <v>31</v>
      </c>
      <c r="J75" s="6" t="s">
        <v>93</v>
      </c>
      <c r="K75" s="6" t="s">
        <v>25</v>
      </c>
      <c r="L75" s="7" t="s">
        <v>1001</v>
      </c>
      <c r="M75" s="6">
        <v>1242114</v>
      </c>
      <c r="N75" s="8"/>
      <c r="O75" s="8"/>
      <c r="P75" s="6">
        <v>14</v>
      </c>
      <c r="Q75" s="5">
        <v>46290</v>
      </c>
      <c r="R75" s="5">
        <v>46272</v>
      </c>
      <c r="S75" s="6" t="s">
        <v>26</v>
      </c>
      <c r="T75" s="5">
        <v>46274</v>
      </c>
      <c r="U75" s="5">
        <v>46289</v>
      </c>
      <c r="V75" s="6" t="s">
        <v>1002</v>
      </c>
      <c r="W75" s="9" t="s">
        <v>27</v>
      </c>
      <c r="X75" s="10" t="s">
        <v>25</v>
      </c>
      <c r="Y75" s="8"/>
    </row>
    <row r="76" spans="1:25" ht="50.1" customHeight="1" thickBot="1" x14ac:dyDescent="0.3">
      <c r="A76" s="4" t="s">
        <v>1003</v>
      </c>
      <c r="B76" s="6" t="s">
        <v>1004</v>
      </c>
      <c r="C76" s="5">
        <v>46272</v>
      </c>
      <c r="D76" s="6" t="s">
        <v>28</v>
      </c>
      <c r="E76" s="6" t="s">
        <v>39</v>
      </c>
      <c r="F76" s="7" t="s">
        <v>1005</v>
      </c>
      <c r="G76" s="6" t="s">
        <v>30</v>
      </c>
      <c r="H76" s="6">
        <v>503</v>
      </c>
      <c r="I76" s="6" t="s">
        <v>31</v>
      </c>
      <c r="J76" s="6" t="s">
        <v>93</v>
      </c>
      <c r="K76" s="6" t="s">
        <v>25</v>
      </c>
      <c r="L76" s="7" t="s">
        <v>1006</v>
      </c>
      <c r="M76" s="8"/>
      <c r="N76" s="8"/>
      <c r="O76" s="8"/>
      <c r="P76" s="6">
        <v>14</v>
      </c>
      <c r="Q76" s="5">
        <v>46290</v>
      </c>
      <c r="R76" s="5">
        <v>46272</v>
      </c>
      <c r="S76" s="6" t="s">
        <v>26</v>
      </c>
      <c r="T76" s="5">
        <v>46275</v>
      </c>
      <c r="U76" s="5">
        <v>46289</v>
      </c>
      <c r="V76" s="6" t="s">
        <v>1007</v>
      </c>
      <c r="W76" s="9" t="s">
        <v>27</v>
      </c>
      <c r="X76" s="10" t="s">
        <v>25</v>
      </c>
      <c r="Y76" s="8"/>
    </row>
    <row r="77" spans="1:25" ht="50.1" customHeight="1" thickBot="1" x14ac:dyDescent="0.3">
      <c r="A77" s="872" t="s">
        <v>1008</v>
      </c>
      <c r="B77" s="6" t="s">
        <v>1009</v>
      </c>
      <c r="C77" s="5">
        <v>46272</v>
      </c>
      <c r="D77" s="6" t="s">
        <v>19</v>
      </c>
      <c r="E77" s="6" t="s">
        <v>29</v>
      </c>
      <c r="F77" s="7" t="s">
        <v>1010</v>
      </c>
      <c r="G77" s="6" t="s">
        <v>34</v>
      </c>
      <c r="H77" s="6">
        <v>122</v>
      </c>
      <c r="I77" s="6" t="s">
        <v>50</v>
      </c>
      <c r="J77" s="6" t="s">
        <v>285</v>
      </c>
      <c r="K77" s="6" t="s">
        <v>25</v>
      </c>
      <c r="L77" s="7" t="s">
        <v>1011</v>
      </c>
      <c r="M77" s="8"/>
      <c r="N77" s="8"/>
      <c r="O77" s="8"/>
      <c r="P77" s="6">
        <v>14</v>
      </c>
      <c r="Q77" s="5">
        <v>46290</v>
      </c>
      <c r="R77" s="6" t="s">
        <v>26</v>
      </c>
      <c r="S77" s="6" t="s">
        <v>26</v>
      </c>
      <c r="T77" s="6" t="s">
        <v>26</v>
      </c>
      <c r="U77" s="5">
        <v>46290</v>
      </c>
      <c r="V77" s="6" t="s">
        <v>1012</v>
      </c>
      <c r="W77" s="9" t="s">
        <v>27</v>
      </c>
      <c r="X77" s="10" t="s">
        <v>25</v>
      </c>
      <c r="Y77" s="8"/>
    </row>
    <row r="78" spans="1:25" ht="50.1" customHeight="1" thickBot="1" x14ac:dyDescent="0.3">
      <c r="A78" s="872" t="s">
        <v>1013</v>
      </c>
      <c r="B78" s="6" t="s">
        <v>1014</v>
      </c>
      <c r="C78" s="5">
        <v>46272</v>
      </c>
      <c r="D78" s="6" t="s">
        <v>28</v>
      </c>
      <c r="E78" s="6" t="s">
        <v>460</v>
      </c>
      <c r="F78" s="7" t="s">
        <v>1015</v>
      </c>
      <c r="G78" s="6" t="s">
        <v>22</v>
      </c>
      <c r="H78" s="6">
        <v>316</v>
      </c>
      <c r="I78" s="6" t="s">
        <v>23</v>
      </c>
      <c r="J78" s="6" t="s">
        <v>496</v>
      </c>
      <c r="K78" s="8"/>
      <c r="L78" s="7" t="s">
        <v>1016</v>
      </c>
      <c r="M78" s="8"/>
      <c r="N78" s="8"/>
      <c r="O78" s="8"/>
      <c r="P78" s="6">
        <v>14</v>
      </c>
      <c r="Q78" s="5">
        <v>46290</v>
      </c>
      <c r="R78" s="8"/>
      <c r="S78" s="8"/>
      <c r="T78" s="8"/>
      <c r="U78" s="8"/>
      <c r="V78" s="8"/>
      <c r="W78" s="562" t="s">
        <v>461</v>
      </c>
      <c r="X78" s="6"/>
      <c r="Y78" s="8"/>
    </row>
    <row r="79" spans="1:25" ht="50.1" customHeight="1" thickBot="1" x14ac:dyDescent="0.3">
      <c r="A79" s="4" t="s">
        <v>1017</v>
      </c>
      <c r="B79" s="6" t="s">
        <v>1018</v>
      </c>
      <c r="C79" s="5">
        <v>46272</v>
      </c>
      <c r="D79" s="6" t="s">
        <v>19</v>
      </c>
      <c r="E79" s="6" t="s">
        <v>39</v>
      </c>
      <c r="F79" s="7" t="s">
        <v>1019</v>
      </c>
      <c r="G79" s="6" t="s">
        <v>30</v>
      </c>
      <c r="H79" s="6">
        <v>503</v>
      </c>
      <c r="I79" s="6" t="s">
        <v>31</v>
      </c>
      <c r="J79" s="6" t="s">
        <v>93</v>
      </c>
      <c r="K79" s="6" t="s">
        <v>25</v>
      </c>
      <c r="L79" s="7" t="s">
        <v>1020</v>
      </c>
      <c r="M79" s="6">
        <v>1147440</v>
      </c>
      <c r="N79" s="8"/>
      <c r="O79" s="8"/>
      <c r="P79" s="6">
        <v>14</v>
      </c>
      <c r="Q79" s="5">
        <v>46290</v>
      </c>
      <c r="R79" s="5">
        <v>46272</v>
      </c>
      <c r="S79" s="6" t="s">
        <v>26</v>
      </c>
      <c r="T79" s="5">
        <v>46274</v>
      </c>
      <c r="U79" s="5">
        <v>46289</v>
      </c>
      <c r="V79" s="6" t="s">
        <v>1021</v>
      </c>
      <c r="W79" s="9" t="s">
        <v>27</v>
      </c>
      <c r="X79" s="10" t="s">
        <v>25</v>
      </c>
      <c r="Y79" s="8"/>
    </row>
    <row r="80" spans="1:25" ht="50.1" customHeight="1" thickBot="1" x14ac:dyDescent="0.3">
      <c r="A80" s="4" t="s">
        <v>1022</v>
      </c>
      <c r="B80" s="562" t="s">
        <v>1023</v>
      </c>
      <c r="C80" s="5">
        <v>46272</v>
      </c>
      <c r="D80" s="6" t="s">
        <v>33</v>
      </c>
      <c r="E80" s="6" t="s">
        <v>39</v>
      </c>
      <c r="F80" s="7" t="s">
        <v>1024</v>
      </c>
      <c r="G80" s="6" t="s">
        <v>30</v>
      </c>
      <c r="H80" s="6">
        <v>503</v>
      </c>
      <c r="I80" s="6" t="s">
        <v>31</v>
      </c>
      <c r="J80" s="6" t="s">
        <v>1025</v>
      </c>
      <c r="K80" s="8"/>
      <c r="L80" s="7" t="s">
        <v>536</v>
      </c>
      <c r="M80" s="8"/>
      <c r="N80" s="8"/>
      <c r="O80" s="8"/>
      <c r="P80" s="6">
        <v>14</v>
      </c>
      <c r="Q80" s="5">
        <v>46290</v>
      </c>
      <c r="R80" s="5">
        <v>46272</v>
      </c>
      <c r="S80" s="6" t="s">
        <v>26</v>
      </c>
      <c r="T80" s="5">
        <v>46272</v>
      </c>
      <c r="U80" s="5">
        <v>46290</v>
      </c>
      <c r="V80" s="6" t="s">
        <v>1026</v>
      </c>
      <c r="W80" s="9" t="s">
        <v>27</v>
      </c>
      <c r="X80" s="10" t="s">
        <v>25</v>
      </c>
      <c r="Y80" s="8"/>
    </row>
    <row r="81" spans="1:25" ht="50.1" customHeight="1" thickBot="1" x14ac:dyDescent="0.3">
      <c r="A81" s="4" t="s">
        <v>1027</v>
      </c>
      <c r="B81" s="6" t="s">
        <v>1028</v>
      </c>
      <c r="C81" s="5">
        <v>46272</v>
      </c>
      <c r="D81" s="6" t="s">
        <v>33</v>
      </c>
      <c r="E81" s="6" t="s">
        <v>20</v>
      </c>
      <c r="F81" s="7" t="s">
        <v>1029</v>
      </c>
      <c r="G81" s="6" t="s">
        <v>22</v>
      </c>
      <c r="H81" s="6">
        <v>306</v>
      </c>
      <c r="I81" s="6" t="s">
        <v>79</v>
      </c>
      <c r="J81" s="12" t="s">
        <v>1030</v>
      </c>
      <c r="K81" s="6" t="s">
        <v>25</v>
      </c>
      <c r="L81" s="7" t="s">
        <v>636</v>
      </c>
      <c r="M81" s="8"/>
      <c r="N81" s="8"/>
      <c r="O81" s="6" t="s">
        <v>546</v>
      </c>
      <c r="P81" s="6">
        <v>14</v>
      </c>
      <c r="Q81" s="5">
        <v>46290</v>
      </c>
      <c r="R81" s="5">
        <v>46272</v>
      </c>
      <c r="S81" s="6" t="s">
        <v>26</v>
      </c>
      <c r="T81" s="5">
        <v>46272</v>
      </c>
      <c r="U81" s="5">
        <v>46289</v>
      </c>
      <c r="V81" s="6" t="s">
        <v>1031</v>
      </c>
      <c r="W81" s="9" t="s">
        <v>27</v>
      </c>
      <c r="X81" s="10" t="s">
        <v>25</v>
      </c>
      <c r="Y81" s="8"/>
    </row>
    <row r="82" spans="1:25" ht="50.1" customHeight="1" thickBot="1" x14ac:dyDescent="0.3">
      <c r="A82" s="872" t="s">
        <v>1032</v>
      </c>
      <c r="B82" s="6" t="s">
        <v>1033</v>
      </c>
      <c r="C82" s="5">
        <v>46272</v>
      </c>
      <c r="D82" s="6" t="s">
        <v>19</v>
      </c>
      <c r="E82" s="6" t="s">
        <v>460</v>
      </c>
      <c r="F82" s="7" t="s">
        <v>1034</v>
      </c>
      <c r="G82" s="6" t="s">
        <v>34</v>
      </c>
      <c r="H82" s="6">
        <v>127</v>
      </c>
      <c r="I82" s="6" t="s">
        <v>88</v>
      </c>
      <c r="J82" s="6" t="s">
        <v>71</v>
      </c>
      <c r="K82" s="8"/>
      <c r="L82" s="7" t="s">
        <v>1035</v>
      </c>
      <c r="M82" s="8"/>
      <c r="N82" s="8"/>
      <c r="O82" s="8"/>
      <c r="P82" s="6">
        <v>14</v>
      </c>
      <c r="Q82" s="5">
        <v>46290</v>
      </c>
      <c r="R82" s="8"/>
      <c r="S82" s="8"/>
      <c r="T82" s="8"/>
      <c r="U82" s="8"/>
      <c r="V82" s="8"/>
      <c r="W82" s="562" t="s">
        <v>461</v>
      </c>
      <c r="X82" s="6"/>
      <c r="Y82" s="8"/>
    </row>
    <row r="83" spans="1:25" ht="50.1" customHeight="1" thickBot="1" x14ac:dyDescent="0.3">
      <c r="A83" s="4" t="s">
        <v>1036</v>
      </c>
      <c r="B83" s="6" t="s">
        <v>1037</v>
      </c>
      <c r="C83" s="5">
        <v>46272</v>
      </c>
      <c r="D83" s="6" t="s">
        <v>33</v>
      </c>
      <c r="E83" s="6" t="s">
        <v>460</v>
      </c>
      <c r="F83" s="7" t="s">
        <v>1038</v>
      </c>
      <c r="G83" s="6" t="s">
        <v>30</v>
      </c>
      <c r="H83" s="6">
        <v>503</v>
      </c>
      <c r="I83" s="6" t="s">
        <v>31</v>
      </c>
      <c r="J83" s="6" t="s">
        <v>93</v>
      </c>
      <c r="K83" s="8"/>
      <c r="L83" s="7" t="s">
        <v>1039</v>
      </c>
      <c r="M83" s="8"/>
      <c r="N83" s="8"/>
      <c r="O83" s="8"/>
      <c r="P83" s="6">
        <v>14</v>
      </c>
      <c r="Q83" s="5">
        <v>46290</v>
      </c>
      <c r="R83" s="5">
        <v>46272</v>
      </c>
      <c r="S83" s="6" t="s">
        <v>26</v>
      </c>
      <c r="T83" s="5">
        <v>46272</v>
      </c>
      <c r="U83" s="5">
        <v>46290</v>
      </c>
      <c r="V83" s="6" t="s">
        <v>1040</v>
      </c>
      <c r="W83" s="9" t="s">
        <v>27</v>
      </c>
      <c r="X83" s="10" t="s">
        <v>25</v>
      </c>
      <c r="Y83" s="8"/>
    </row>
    <row r="84" spans="1:25" ht="50.1" customHeight="1" thickBot="1" x14ac:dyDescent="0.3">
      <c r="A84" s="4" t="s">
        <v>1041</v>
      </c>
      <c r="B84" s="6" t="s">
        <v>1042</v>
      </c>
      <c r="C84" s="5">
        <v>46272</v>
      </c>
      <c r="D84" s="6" t="s">
        <v>28</v>
      </c>
      <c r="E84" s="6" t="s">
        <v>39</v>
      </c>
      <c r="F84" s="7" t="s">
        <v>1043</v>
      </c>
      <c r="G84" s="6" t="s">
        <v>30</v>
      </c>
      <c r="H84" s="6">
        <v>503</v>
      </c>
      <c r="I84" s="6" t="s">
        <v>31</v>
      </c>
      <c r="J84" s="6" t="s">
        <v>93</v>
      </c>
      <c r="K84" s="6" t="s">
        <v>25</v>
      </c>
      <c r="L84" s="7" t="s">
        <v>1044</v>
      </c>
      <c r="M84" s="8"/>
      <c r="N84" s="8"/>
      <c r="O84" s="8"/>
      <c r="P84" s="6">
        <v>14</v>
      </c>
      <c r="Q84" s="5">
        <v>46290</v>
      </c>
      <c r="R84" s="5">
        <v>46272</v>
      </c>
      <c r="S84" s="6" t="s">
        <v>26</v>
      </c>
      <c r="T84" s="6" t="s">
        <v>26</v>
      </c>
      <c r="U84" s="5">
        <v>46290</v>
      </c>
      <c r="V84" s="6" t="s">
        <v>1045</v>
      </c>
      <c r="W84" s="9" t="s">
        <v>27</v>
      </c>
      <c r="X84" s="10" t="s">
        <v>25</v>
      </c>
      <c r="Y84" s="8"/>
    </row>
    <row r="85" spans="1:25" ht="50.1" customHeight="1" thickBot="1" x14ac:dyDescent="0.3">
      <c r="A85" s="4" t="s">
        <v>1046</v>
      </c>
      <c r="B85" s="6" t="s">
        <v>1047</v>
      </c>
      <c r="C85" s="5">
        <v>46272</v>
      </c>
      <c r="D85" s="6" t="s">
        <v>33</v>
      </c>
      <c r="E85" s="6" t="s">
        <v>29</v>
      </c>
      <c r="F85" s="7" t="s">
        <v>1048</v>
      </c>
      <c r="G85" s="6" t="s">
        <v>30</v>
      </c>
      <c r="H85" s="6">
        <v>502</v>
      </c>
      <c r="I85" s="6" t="s">
        <v>37</v>
      </c>
      <c r="J85" s="6" t="s">
        <v>38</v>
      </c>
      <c r="K85" s="6" t="s">
        <v>25</v>
      </c>
      <c r="L85" s="7" t="s">
        <v>550</v>
      </c>
      <c r="M85" s="8"/>
      <c r="N85" s="6">
        <v>3053006237</v>
      </c>
      <c r="O85" s="6" t="s">
        <v>1049</v>
      </c>
      <c r="P85" s="6">
        <v>14</v>
      </c>
      <c r="Q85" s="5">
        <v>46290</v>
      </c>
      <c r="R85" s="5">
        <v>46272</v>
      </c>
      <c r="S85" s="6" t="s">
        <v>26</v>
      </c>
      <c r="T85" s="6" t="s">
        <v>26</v>
      </c>
      <c r="U85" s="5">
        <v>46280</v>
      </c>
      <c r="V85" s="6" t="s">
        <v>1050</v>
      </c>
      <c r="W85" s="9" t="s">
        <v>27</v>
      </c>
      <c r="X85" s="10" t="s">
        <v>25</v>
      </c>
      <c r="Y85" s="10" t="s">
        <v>25</v>
      </c>
    </row>
    <row r="86" spans="1:25" ht="50.1" customHeight="1" thickBot="1" x14ac:dyDescent="0.3">
      <c r="A86" s="872" t="s">
        <v>1051</v>
      </c>
      <c r="B86" s="6" t="s">
        <v>1052</v>
      </c>
      <c r="C86" s="5">
        <v>46272</v>
      </c>
      <c r="D86" s="6" t="s">
        <v>19</v>
      </c>
      <c r="E86" s="6" t="s">
        <v>39</v>
      </c>
      <c r="F86" s="7" t="s">
        <v>1053</v>
      </c>
      <c r="G86" s="6" t="s">
        <v>34</v>
      </c>
      <c r="H86" s="6">
        <v>114</v>
      </c>
      <c r="I86" s="6" t="s">
        <v>41</v>
      </c>
      <c r="J86" s="6" t="s">
        <v>42</v>
      </c>
      <c r="K86" s="6" t="s">
        <v>25</v>
      </c>
      <c r="L86" s="7" t="s">
        <v>1054</v>
      </c>
      <c r="M86" s="6">
        <v>1177900</v>
      </c>
      <c r="N86" s="8"/>
      <c r="O86" s="8"/>
      <c r="P86" s="6">
        <v>14</v>
      </c>
      <c r="Q86" s="5">
        <v>46290</v>
      </c>
      <c r="R86" s="6" t="s">
        <v>26</v>
      </c>
      <c r="S86" s="6" t="s">
        <v>26</v>
      </c>
      <c r="T86" s="6" t="s">
        <v>26</v>
      </c>
      <c r="U86" s="5">
        <v>46290</v>
      </c>
      <c r="V86" s="6" t="s">
        <v>1055</v>
      </c>
      <c r="W86" s="9" t="s">
        <v>27</v>
      </c>
      <c r="X86" s="10" t="s">
        <v>25</v>
      </c>
      <c r="Y86" s="8"/>
    </row>
    <row r="87" spans="1:25" ht="50.1" customHeight="1" thickBot="1" x14ac:dyDescent="0.3">
      <c r="A87" s="4" t="s">
        <v>1056</v>
      </c>
      <c r="B87" s="6" t="s">
        <v>1057</v>
      </c>
      <c r="C87" s="5">
        <v>46272</v>
      </c>
      <c r="D87" s="6" t="s">
        <v>28</v>
      </c>
      <c r="E87" s="6" t="s">
        <v>61</v>
      </c>
      <c r="F87" s="7" t="s">
        <v>1058</v>
      </c>
      <c r="G87" s="6" t="s">
        <v>30</v>
      </c>
      <c r="H87" s="6">
        <v>503</v>
      </c>
      <c r="I87" s="6" t="s">
        <v>31</v>
      </c>
      <c r="J87" s="6" t="s">
        <v>81</v>
      </c>
      <c r="K87" s="8"/>
      <c r="L87" s="7" t="s">
        <v>1059</v>
      </c>
      <c r="M87" s="8"/>
      <c r="N87" s="8"/>
      <c r="O87" s="8"/>
      <c r="P87" s="6">
        <v>14</v>
      </c>
      <c r="Q87" s="5">
        <v>46290</v>
      </c>
      <c r="R87" s="8"/>
      <c r="S87" s="8"/>
      <c r="T87" s="8"/>
      <c r="U87" s="8"/>
      <c r="V87" s="8"/>
      <c r="W87" s="562" t="s">
        <v>461</v>
      </c>
      <c r="X87" s="6"/>
      <c r="Y87" s="8"/>
    </row>
    <row r="88" spans="1:25" ht="50.1" customHeight="1" thickBot="1" x14ac:dyDescent="0.3">
      <c r="A88" s="4" t="s">
        <v>1060</v>
      </c>
      <c r="B88" s="562" t="s">
        <v>1061</v>
      </c>
      <c r="C88" s="5">
        <v>46272</v>
      </c>
      <c r="D88" s="6" t="s">
        <v>28</v>
      </c>
      <c r="E88" s="6" t="s">
        <v>67</v>
      </c>
      <c r="F88" s="7" t="s">
        <v>1062</v>
      </c>
      <c r="G88" s="6" t="s">
        <v>22</v>
      </c>
      <c r="H88" s="6">
        <v>308</v>
      </c>
      <c r="I88" s="6" t="s">
        <v>77</v>
      </c>
      <c r="J88" s="6" t="s">
        <v>1063</v>
      </c>
      <c r="K88" s="8"/>
      <c r="L88" s="7" t="s">
        <v>416</v>
      </c>
      <c r="M88" s="8"/>
      <c r="N88" s="8"/>
      <c r="O88" s="6" t="s">
        <v>1064</v>
      </c>
      <c r="P88" s="6">
        <v>14</v>
      </c>
      <c r="Q88" s="5">
        <v>46290</v>
      </c>
      <c r="R88" s="5">
        <v>46272</v>
      </c>
      <c r="S88" s="6" t="s">
        <v>26</v>
      </c>
      <c r="T88" s="6" t="s">
        <v>26</v>
      </c>
      <c r="U88" s="5">
        <v>46289</v>
      </c>
      <c r="V88" s="6" t="s">
        <v>1065</v>
      </c>
      <c r="W88" s="9" t="s">
        <v>27</v>
      </c>
      <c r="X88" s="10" t="s">
        <v>25</v>
      </c>
      <c r="Y88" s="8"/>
    </row>
    <row r="89" spans="1:25" ht="50.1" customHeight="1" thickBot="1" x14ac:dyDescent="0.3">
      <c r="A89" s="13"/>
      <c r="B89" s="562" t="s">
        <v>1066</v>
      </c>
      <c r="C89" s="5">
        <v>46272</v>
      </c>
      <c r="D89" s="6" t="s">
        <v>28</v>
      </c>
      <c r="E89" s="6" t="s">
        <v>61</v>
      </c>
      <c r="F89" s="7" t="s">
        <v>1067</v>
      </c>
      <c r="G89" s="8"/>
      <c r="H89" s="8"/>
      <c r="I89" s="8"/>
      <c r="J89" s="8"/>
      <c r="K89" s="8"/>
      <c r="L89" s="7" t="s">
        <v>1068</v>
      </c>
      <c r="M89" s="8"/>
      <c r="N89" s="8"/>
      <c r="O89" s="6" t="s">
        <v>1069</v>
      </c>
      <c r="P89" s="6">
        <v>14</v>
      </c>
      <c r="Q89" s="5">
        <v>46290</v>
      </c>
      <c r="R89" s="8"/>
      <c r="S89" s="8"/>
      <c r="T89" s="8"/>
      <c r="U89" s="8"/>
      <c r="V89" s="8"/>
      <c r="W89" s="562" t="s">
        <v>461</v>
      </c>
      <c r="X89" s="6"/>
      <c r="Y89" s="8"/>
    </row>
    <row r="90" spans="1:25" ht="50.1" customHeight="1" thickBot="1" x14ac:dyDescent="0.3">
      <c r="A90" s="872" t="s">
        <v>1070</v>
      </c>
      <c r="B90" s="6" t="s">
        <v>1071</v>
      </c>
      <c r="C90" s="5">
        <v>46273</v>
      </c>
      <c r="D90" s="6" t="s">
        <v>19</v>
      </c>
      <c r="E90" s="6" t="s">
        <v>20</v>
      </c>
      <c r="F90" s="7" t="s">
        <v>21</v>
      </c>
      <c r="G90" s="6" t="s">
        <v>22</v>
      </c>
      <c r="H90" s="6">
        <v>316</v>
      </c>
      <c r="I90" s="6" t="s">
        <v>23</v>
      </c>
      <c r="J90" s="6" t="s">
        <v>288</v>
      </c>
      <c r="K90" s="8"/>
      <c r="L90" s="7" t="s">
        <v>1072</v>
      </c>
      <c r="M90" s="6">
        <v>1194660</v>
      </c>
      <c r="N90" s="8"/>
      <c r="O90" s="8"/>
      <c r="P90" s="6">
        <v>14</v>
      </c>
      <c r="Q90" s="5">
        <v>46290</v>
      </c>
      <c r="R90" s="8"/>
      <c r="S90" s="8"/>
      <c r="T90" s="8"/>
      <c r="U90" s="8"/>
      <c r="V90" s="8"/>
      <c r="W90" s="562" t="s">
        <v>461</v>
      </c>
      <c r="X90" s="6"/>
      <c r="Y90" s="8"/>
    </row>
    <row r="91" spans="1:25" ht="50.1" customHeight="1" thickBot="1" x14ac:dyDescent="0.3">
      <c r="A91" s="872" t="s">
        <v>1073</v>
      </c>
      <c r="B91" s="6" t="s">
        <v>1074</v>
      </c>
      <c r="C91" s="5">
        <v>46273</v>
      </c>
      <c r="D91" s="6" t="s">
        <v>19</v>
      </c>
      <c r="E91" s="6" t="s">
        <v>20</v>
      </c>
      <c r="F91" s="7" t="s">
        <v>1075</v>
      </c>
      <c r="G91" s="6" t="s">
        <v>22</v>
      </c>
      <c r="H91" s="6">
        <v>316</v>
      </c>
      <c r="I91" s="6" t="s">
        <v>23</v>
      </c>
      <c r="J91" s="6" t="s">
        <v>46</v>
      </c>
      <c r="K91" s="8"/>
      <c r="L91" s="7" t="s">
        <v>1076</v>
      </c>
      <c r="M91" s="6">
        <v>1061740</v>
      </c>
      <c r="N91" s="8"/>
      <c r="O91" s="6" t="s">
        <v>415</v>
      </c>
      <c r="P91" s="6">
        <v>14</v>
      </c>
      <c r="Q91" s="5">
        <v>46293</v>
      </c>
      <c r="R91" s="8"/>
      <c r="S91" s="8"/>
      <c r="T91" s="8"/>
      <c r="U91" s="8"/>
      <c r="V91" s="8"/>
      <c r="W91" s="562" t="s">
        <v>461</v>
      </c>
      <c r="X91" s="6"/>
      <c r="Y91" s="8"/>
    </row>
    <row r="92" spans="1:25" ht="50.1" customHeight="1" thickBot="1" x14ac:dyDescent="0.3">
      <c r="A92" s="872" t="s">
        <v>1077</v>
      </c>
      <c r="B92" s="6" t="s">
        <v>1078</v>
      </c>
      <c r="C92" s="5">
        <v>46273</v>
      </c>
      <c r="D92" s="6" t="s">
        <v>19</v>
      </c>
      <c r="E92" s="6" t="s">
        <v>460</v>
      </c>
      <c r="F92" s="7" t="s">
        <v>1079</v>
      </c>
      <c r="G92" s="6" t="s">
        <v>22</v>
      </c>
      <c r="H92" s="6">
        <v>316</v>
      </c>
      <c r="I92" s="6" t="s">
        <v>23</v>
      </c>
      <c r="J92" s="6" t="s">
        <v>167</v>
      </c>
      <c r="K92" s="8"/>
      <c r="L92" s="7" t="s">
        <v>1080</v>
      </c>
      <c r="M92" s="6">
        <v>1109299</v>
      </c>
      <c r="N92" s="8"/>
      <c r="O92" s="8"/>
      <c r="P92" s="6">
        <v>14</v>
      </c>
      <c r="Q92" s="5">
        <v>46293</v>
      </c>
      <c r="R92" s="8"/>
      <c r="S92" s="8"/>
      <c r="T92" s="8"/>
      <c r="U92" s="8"/>
      <c r="V92" s="8"/>
      <c r="W92" s="562" t="s">
        <v>461</v>
      </c>
      <c r="X92" s="6"/>
      <c r="Y92" s="8"/>
    </row>
    <row r="93" spans="1:25" ht="50.1" customHeight="1" thickBot="1" x14ac:dyDescent="0.3">
      <c r="A93" s="4" t="s">
        <v>1081</v>
      </c>
      <c r="B93" s="6" t="s">
        <v>1082</v>
      </c>
      <c r="C93" s="5">
        <v>46273</v>
      </c>
      <c r="D93" s="6" t="s">
        <v>19</v>
      </c>
      <c r="E93" s="6" t="s">
        <v>39</v>
      </c>
      <c r="F93" s="7" t="s">
        <v>1083</v>
      </c>
      <c r="G93" s="6" t="s">
        <v>30</v>
      </c>
      <c r="H93" s="6">
        <v>503</v>
      </c>
      <c r="I93" s="6" t="s">
        <v>31</v>
      </c>
      <c r="J93" s="6" t="s">
        <v>93</v>
      </c>
      <c r="K93" s="8"/>
      <c r="L93" s="7" t="s">
        <v>502</v>
      </c>
      <c r="M93" s="6">
        <v>1250645</v>
      </c>
      <c r="N93" s="8"/>
      <c r="O93" s="8"/>
      <c r="P93" s="6">
        <v>14</v>
      </c>
      <c r="Q93" s="5">
        <v>46293</v>
      </c>
      <c r="R93" s="5">
        <v>46273</v>
      </c>
      <c r="S93" s="6" t="s">
        <v>26</v>
      </c>
      <c r="T93" s="6" t="s">
        <v>26</v>
      </c>
      <c r="U93" s="5">
        <v>46293</v>
      </c>
      <c r="V93" s="6" t="s">
        <v>1084</v>
      </c>
      <c r="W93" s="9" t="s">
        <v>27</v>
      </c>
      <c r="X93" s="10" t="s">
        <v>25</v>
      </c>
      <c r="Y93" s="8"/>
    </row>
    <row r="94" spans="1:25" ht="50.1" customHeight="1" thickBot="1" x14ac:dyDescent="0.3">
      <c r="A94" s="872" t="s">
        <v>1085</v>
      </c>
      <c r="B94" s="6" t="s">
        <v>1086</v>
      </c>
      <c r="C94" s="5">
        <v>46273</v>
      </c>
      <c r="D94" s="6" t="s">
        <v>28</v>
      </c>
      <c r="E94" s="6" t="s">
        <v>20</v>
      </c>
      <c r="F94" s="7" t="s">
        <v>1087</v>
      </c>
      <c r="G94" s="6" t="s">
        <v>34</v>
      </c>
      <c r="H94" s="6">
        <v>109</v>
      </c>
      <c r="I94" s="6" t="s">
        <v>118</v>
      </c>
      <c r="J94" s="6" t="s">
        <v>513</v>
      </c>
      <c r="K94" s="6" t="s">
        <v>47</v>
      </c>
      <c r="L94" s="7" t="s">
        <v>1088</v>
      </c>
      <c r="M94" s="6">
        <v>1253498</v>
      </c>
      <c r="N94" s="8"/>
      <c r="O94" s="6" t="s">
        <v>1089</v>
      </c>
      <c r="P94" s="6">
        <v>14</v>
      </c>
      <c r="Q94" s="5">
        <v>46293</v>
      </c>
      <c r="R94" s="6" t="s">
        <v>26</v>
      </c>
      <c r="S94" s="6" t="s">
        <v>26</v>
      </c>
      <c r="T94" s="6" t="s">
        <v>26</v>
      </c>
      <c r="U94" s="5">
        <v>46293</v>
      </c>
      <c r="V94" s="6" t="s">
        <v>1090</v>
      </c>
      <c r="W94" s="9" t="s">
        <v>27</v>
      </c>
      <c r="X94" s="10" t="s">
        <v>25</v>
      </c>
      <c r="Y94" s="8"/>
    </row>
    <row r="95" spans="1:25" ht="50.1" customHeight="1" thickBot="1" x14ac:dyDescent="0.3">
      <c r="A95" s="872" t="s">
        <v>1091</v>
      </c>
      <c r="B95" s="6" t="s">
        <v>1092</v>
      </c>
      <c r="C95" s="5">
        <v>46273</v>
      </c>
      <c r="D95" s="6" t="s">
        <v>19</v>
      </c>
      <c r="E95" s="6" t="s">
        <v>20</v>
      </c>
      <c r="F95" s="7" t="s">
        <v>1093</v>
      </c>
      <c r="G95" s="6" t="s">
        <v>22</v>
      </c>
      <c r="H95" s="6">
        <v>316</v>
      </c>
      <c r="I95" s="6" t="s">
        <v>23</v>
      </c>
      <c r="J95" s="6" t="s">
        <v>288</v>
      </c>
      <c r="K95" s="8"/>
      <c r="L95" s="7" t="s">
        <v>1094</v>
      </c>
      <c r="M95" s="6">
        <v>1056620</v>
      </c>
      <c r="N95" s="8"/>
      <c r="O95" s="8"/>
      <c r="P95" s="6">
        <v>14</v>
      </c>
      <c r="Q95" s="5">
        <v>46293</v>
      </c>
      <c r="R95" s="11"/>
      <c r="S95" s="11"/>
      <c r="T95" s="11"/>
      <c r="U95" s="11"/>
      <c r="V95" s="11"/>
      <c r="W95" s="9" t="s">
        <v>27</v>
      </c>
      <c r="X95" s="10" t="s">
        <v>25</v>
      </c>
      <c r="Y95" s="8"/>
    </row>
    <row r="96" spans="1:25" ht="50.1" customHeight="1" thickBot="1" x14ac:dyDescent="0.3">
      <c r="A96" s="4" t="s">
        <v>1095</v>
      </c>
      <c r="B96" s="6" t="s">
        <v>1096</v>
      </c>
      <c r="C96" s="5">
        <v>46273</v>
      </c>
      <c r="D96" s="6" t="s">
        <v>28</v>
      </c>
      <c r="E96" s="6" t="s">
        <v>61</v>
      </c>
      <c r="F96" s="7" t="s">
        <v>1097</v>
      </c>
      <c r="G96" s="6" t="s">
        <v>22</v>
      </c>
      <c r="H96" s="6">
        <v>306</v>
      </c>
      <c r="I96" s="6" t="s">
        <v>79</v>
      </c>
      <c r="J96" s="12" t="s">
        <v>1098</v>
      </c>
      <c r="K96" s="8"/>
      <c r="L96" s="7" t="s">
        <v>619</v>
      </c>
      <c r="M96" s="8"/>
      <c r="N96" s="8"/>
      <c r="O96" s="8"/>
      <c r="P96" s="6">
        <v>14</v>
      </c>
      <c r="Q96" s="5">
        <v>46293</v>
      </c>
      <c r="R96" s="5">
        <v>46273</v>
      </c>
      <c r="S96" s="6" t="s">
        <v>26</v>
      </c>
      <c r="T96" s="5">
        <v>46288</v>
      </c>
      <c r="U96" s="5">
        <v>46293</v>
      </c>
      <c r="V96" s="6" t="s">
        <v>1099</v>
      </c>
      <c r="W96" s="9" t="s">
        <v>27</v>
      </c>
      <c r="X96" s="10" t="s">
        <v>25</v>
      </c>
      <c r="Y96" s="8"/>
    </row>
    <row r="97" spans="1:25" ht="50.1" customHeight="1" thickBot="1" x14ac:dyDescent="0.3">
      <c r="A97" s="872" t="s">
        <v>1100</v>
      </c>
      <c r="B97" s="6" t="s">
        <v>1101</v>
      </c>
      <c r="C97" s="5">
        <v>46273</v>
      </c>
      <c r="D97" s="6" t="s">
        <v>19</v>
      </c>
      <c r="E97" s="6" t="s">
        <v>20</v>
      </c>
      <c r="F97" s="7" t="s">
        <v>1102</v>
      </c>
      <c r="G97" s="6" t="s">
        <v>22</v>
      </c>
      <c r="H97" s="6">
        <v>316</v>
      </c>
      <c r="I97" s="6" t="s">
        <v>23</v>
      </c>
      <c r="J97" s="6" t="s">
        <v>288</v>
      </c>
      <c r="K97" s="8"/>
      <c r="L97" s="7" t="s">
        <v>1103</v>
      </c>
      <c r="M97" s="8"/>
      <c r="N97" s="8"/>
      <c r="O97" s="8"/>
      <c r="P97" s="6">
        <v>14</v>
      </c>
      <c r="Q97" s="5">
        <v>46293</v>
      </c>
      <c r="R97" s="5">
        <v>46273</v>
      </c>
      <c r="S97" s="6" t="s">
        <v>26</v>
      </c>
      <c r="T97" s="5">
        <v>46274</v>
      </c>
      <c r="U97" s="5">
        <v>46293</v>
      </c>
      <c r="V97" s="6" t="s">
        <v>1104</v>
      </c>
      <c r="W97" s="9" t="s">
        <v>27</v>
      </c>
      <c r="X97" s="10" t="s">
        <v>25</v>
      </c>
      <c r="Y97" s="8"/>
    </row>
    <row r="98" spans="1:25" ht="50.1" customHeight="1" thickBot="1" x14ac:dyDescent="0.3">
      <c r="A98" s="872" t="s">
        <v>1105</v>
      </c>
      <c r="B98" s="6" t="s">
        <v>1106</v>
      </c>
      <c r="C98" s="5">
        <v>46273</v>
      </c>
      <c r="D98" s="6" t="s">
        <v>28</v>
      </c>
      <c r="E98" s="6" t="s">
        <v>460</v>
      </c>
      <c r="F98" s="7" t="s">
        <v>1107</v>
      </c>
      <c r="G98" s="6" t="s">
        <v>30</v>
      </c>
      <c r="H98" s="6">
        <v>503</v>
      </c>
      <c r="I98" s="6" t="s">
        <v>31</v>
      </c>
      <c r="J98" s="6" t="s">
        <v>81</v>
      </c>
      <c r="K98" s="6" t="s">
        <v>25</v>
      </c>
      <c r="L98" s="147" t="s">
        <v>490</v>
      </c>
      <c r="M98" s="8"/>
      <c r="N98" s="8"/>
      <c r="O98" s="6" t="s">
        <v>1108</v>
      </c>
      <c r="P98" s="6">
        <v>14</v>
      </c>
      <c r="Q98" s="5">
        <v>46293</v>
      </c>
      <c r="R98" s="6" t="s">
        <v>26</v>
      </c>
      <c r="S98" s="6" t="s">
        <v>26</v>
      </c>
      <c r="T98" s="6" t="s">
        <v>26</v>
      </c>
      <c r="U98" s="5">
        <v>46280</v>
      </c>
      <c r="V98" s="6" t="s">
        <v>1109</v>
      </c>
      <c r="W98" s="9" t="s">
        <v>27</v>
      </c>
      <c r="X98" s="10" t="s">
        <v>25</v>
      </c>
      <c r="Y98" s="10" t="s">
        <v>25</v>
      </c>
    </row>
    <row r="99" spans="1:25" ht="50.1" customHeight="1" thickBot="1" x14ac:dyDescent="0.3">
      <c r="A99" s="4" t="s">
        <v>1110</v>
      </c>
      <c r="B99" s="6" t="s">
        <v>1111</v>
      </c>
      <c r="C99" s="5">
        <v>46273</v>
      </c>
      <c r="D99" s="6" t="s">
        <v>28</v>
      </c>
      <c r="E99" s="6" t="s">
        <v>29</v>
      </c>
      <c r="F99" s="7" t="s">
        <v>1112</v>
      </c>
      <c r="G99" s="6" t="s">
        <v>30</v>
      </c>
      <c r="H99" s="6">
        <v>503</v>
      </c>
      <c r="I99" s="6" t="s">
        <v>31</v>
      </c>
      <c r="J99" s="6" t="s">
        <v>32</v>
      </c>
      <c r="K99" s="8"/>
      <c r="L99" s="7" t="s">
        <v>591</v>
      </c>
      <c r="M99" s="8"/>
      <c r="N99" s="8"/>
      <c r="O99" s="6" t="s">
        <v>583</v>
      </c>
      <c r="P99" s="6">
        <v>14</v>
      </c>
      <c r="Q99" s="5">
        <v>46293</v>
      </c>
      <c r="R99" s="8"/>
      <c r="S99" s="8"/>
      <c r="T99" s="8"/>
      <c r="U99" s="8"/>
      <c r="V99" s="8"/>
      <c r="W99" s="562" t="s">
        <v>461</v>
      </c>
      <c r="X99" s="6"/>
      <c r="Y99" s="8"/>
    </row>
    <row r="100" spans="1:25" ht="50.1" customHeight="1" thickBot="1" x14ac:dyDescent="0.3">
      <c r="A100" s="4" t="s">
        <v>1113</v>
      </c>
      <c r="B100" s="6" t="s">
        <v>1114</v>
      </c>
      <c r="C100" s="5">
        <v>46273</v>
      </c>
      <c r="D100" s="6" t="s">
        <v>33</v>
      </c>
      <c r="E100" s="6" t="s">
        <v>67</v>
      </c>
      <c r="F100" s="7" t="s">
        <v>1115</v>
      </c>
      <c r="G100" s="6" t="s">
        <v>30</v>
      </c>
      <c r="H100" s="6">
        <v>503</v>
      </c>
      <c r="I100" s="6" t="s">
        <v>31</v>
      </c>
      <c r="J100" s="6" t="s">
        <v>607</v>
      </c>
      <c r="K100" s="6" t="s">
        <v>25</v>
      </c>
      <c r="L100" s="7" t="s">
        <v>1116</v>
      </c>
      <c r="M100" s="8"/>
      <c r="N100" s="8"/>
      <c r="O100" s="8"/>
      <c r="P100" s="6">
        <v>14</v>
      </c>
      <c r="Q100" s="5">
        <v>46293</v>
      </c>
      <c r="R100" s="5">
        <v>46273</v>
      </c>
      <c r="S100" s="6" t="s">
        <v>26</v>
      </c>
      <c r="T100" s="6" t="s">
        <v>26</v>
      </c>
      <c r="U100" s="5">
        <v>46290</v>
      </c>
      <c r="V100" s="6" t="s">
        <v>1117</v>
      </c>
      <c r="W100" s="9" t="s">
        <v>27</v>
      </c>
      <c r="X100" s="10" t="s">
        <v>25</v>
      </c>
      <c r="Y100" s="8"/>
    </row>
    <row r="101" spans="1:25" ht="50.1" customHeight="1" thickBot="1" x14ac:dyDescent="0.3">
      <c r="A101" s="872" t="s">
        <v>1118</v>
      </c>
      <c r="B101" s="6" t="s">
        <v>1119</v>
      </c>
      <c r="C101" s="5">
        <v>46273</v>
      </c>
      <c r="D101" s="6" t="s">
        <v>19</v>
      </c>
      <c r="E101" s="6" t="s">
        <v>39</v>
      </c>
      <c r="F101" s="7" t="s">
        <v>40</v>
      </c>
      <c r="G101" s="6" t="s">
        <v>34</v>
      </c>
      <c r="H101" s="6">
        <v>114</v>
      </c>
      <c r="I101" s="6" t="s">
        <v>41</v>
      </c>
      <c r="J101" s="6" t="s">
        <v>42</v>
      </c>
      <c r="K101" s="6" t="s">
        <v>25</v>
      </c>
      <c r="L101" s="7" t="s">
        <v>1120</v>
      </c>
      <c r="M101" s="8"/>
      <c r="N101" s="8"/>
      <c r="O101" s="8"/>
      <c r="P101" s="6">
        <v>14</v>
      </c>
      <c r="Q101" s="5">
        <v>46293</v>
      </c>
      <c r="R101" s="6" t="s">
        <v>26</v>
      </c>
      <c r="S101" s="6" t="s">
        <v>26</v>
      </c>
      <c r="T101" s="6" t="s">
        <v>26</v>
      </c>
      <c r="U101" s="5">
        <v>46293</v>
      </c>
      <c r="V101" s="6" t="s">
        <v>1121</v>
      </c>
      <c r="W101" s="9" t="s">
        <v>27</v>
      </c>
      <c r="X101" s="10" t="s">
        <v>25</v>
      </c>
      <c r="Y101" s="8"/>
    </row>
    <row r="102" spans="1:25" ht="50.1" customHeight="1" thickBot="1" x14ac:dyDescent="0.3">
      <c r="A102" s="872" t="s">
        <v>1122</v>
      </c>
      <c r="B102" s="6" t="s">
        <v>1123</v>
      </c>
      <c r="C102" s="5">
        <v>46273</v>
      </c>
      <c r="D102" s="6" t="s">
        <v>19</v>
      </c>
      <c r="E102" s="6" t="s">
        <v>39</v>
      </c>
      <c r="F102" s="7" t="s">
        <v>40</v>
      </c>
      <c r="G102" s="6" t="s">
        <v>34</v>
      </c>
      <c r="H102" s="6">
        <v>114</v>
      </c>
      <c r="I102" s="6" t="s">
        <v>41</v>
      </c>
      <c r="J102" s="6" t="s">
        <v>42</v>
      </c>
      <c r="K102" s="8"/>
      <c r="L102" s="7" t="s">
        <v>1120</v>
      </c>
      <c r="M102" s="8"/>
      <c r="N102" s="8"/>
      <c r="O102" s="8"/>
      <c r="P102" s="6">
        <v>14</v>
      </c>
      <c r="Q102" s="5">
        <v>46293</v>
      </c>
      <c r="R102" s="8"/>
      <c r="S102" s="8"/>
      <c r="T102" s="8"/>
      <c r="U102" s="8"/>
      <c r="V102" s="8"/>
      <c r="W102" s="562" t="s">
        <v>461</v>
      </c>
      <c r="X102" s="6"/>
      <c r="Y102" s="8"/>
    </row>
    <row r="103" spans="1:25" ht="50.1" customHeight="1" thickBot="1" x14ac:dyDescent="0.3">
      <c r="A103" s="872" t="s">
        <v>1124</v>
      </c>
      <c r="B103" s="6" t="s">
        <v>1125</v>
      </c>
      <c r="C103" s="5">
        <v>46273</v>
      </c>
      <c r="D103" s="6" t="s">
        <v>19</v>
      </c>
      <c r="E103" s="6" t="s">
        <v>39</v>
      </c>
      <c r="F103" s="7" t="s">
        <v>58</v>
      </c>
      <c r="G103" s="6" t="s">
        <v>34</v>
      </c>
      <c r="H103" s="6">
        <v>114</v>
      </c>
      <c r="I103" s="6" t="s">
        <v>41</v>
      </c>
      <c r="J103" s="6" t="s">
        <v>42</v>
      </c>
      <c r="K103" s="6" t="s">
        <v>47</v>
      </c>
      <c r="L103" s="7" t="s">
        <v>1126</v>
      </c>
      <c r="M103" s="8"/>
      <c r="N103" s="8"/>
      <c r="O103" s="8"/>
      <c r="P103" s="6">
        <v>14</v>
      </c>
      <c r="Q103" s="5">
        <v>46293</v>
      </c>
      <c r="R103" s="6" t="s">
        <v>26</v>
      </c>
      <c r="S103" s="6" t="s">
        <v>26</v>
      </c>
      <c r="T103" s="6" t="s">
        <v>26</v>
      </c>
      <c r="U103" s="5">
        <v>46293</v>
      </c>
      <c r="V103" s="6" t="s">
        <v>1127</v>
      </c>
      <c r="W103" s="9" t="s">
        <v>27</v>
      </c>
      <c r="X103" s="10" t="s">
        <v>25</v>
      </c>
      <c r="Y103" s="8"/>
    </row>
    <row r="104" spans="1:25" ht="50.1" customHeight="1" thickBot="1" x14ac:dyDescent="0.3">
      <c r="A104" s="872" t="s">
        <v>1128</v>
      </c>
      <c r="B104" s="6" t="s">
        <v>1129</v>
      </c>
      <c r="C104" s="5">
        <v>46273</v>
      </c>
      <c r="D104" s="6" t="s">
        <v>19</v>
      </c>
      <c r="E104" s="6" t="s">
        <v>20</v>
      </c>
      <c r="F104" s="7" t="s">
        <v>1130</v>
      </c>
      <c r="G104" s="6" t="s">
        <v>22</v>
      </c>
      <c r="H104" s="6">
        <v>304</v>
      </c>
      <c r="I104" s="6" t="s">
        <v>43</v>
      </c>
      <c r="J104" s="6" t="s">
        <v>44</v>
      </c>
      <c r="K104" s="8"/>
      <c r="L104" s="7" t="s">
        <v>586</v>
      </c>
      <c r="M104" s="6">
        <v>1060820</v>
      </c>
      <c r="N104" s="8"/>
      <c r="O104" s="8"/>
      <c r="P104" s="6">
        <v>14</v>
      </c>
      <c r="Q104" s="5">
        <v>46293</v>
      </c>
      <c r="R104" s="5">
        <v>46273</v>
      </c>
      <c r="S104" s="6" t="s">
        <v>26</v>
      </c>
      <c r="T104" s="6" t="s">
        <v>26</v>
      </c>
      <c r="U104" s="5">
        <v>46293</v>
      </c>
      <c r="V104" s="6" t="s">
        <v>1131</v>
      </c>
      <c r="W104" s="9" t="s">
        <v>27</v>
      </c>
      <c r="X104" s="10" t="s">
        <v>25</v>
      </c>
      <c r="Y104" s="8"/>
    </row>
    <row r="105" spans="1:25" ht="50.1" customHeight="1" thickBot="1" x14ac:dyDescent="0.3">
      <c r="A105" s="4" t="s">
        <v>1132</v>
      </c>
      <c r="B105" s="6" t="s">
        <v>1133</v>
      </c>
      <c r="C105" s="5">
        <v>46273</v>
      </c>
      <c r="D105" s="6" t="s">
        <v>33</v>
      </c>
      <c r="E105" s="6" t="s">
        <v>29</v>
      </c>
      <c r="F105" s="7" t="s">
        <v>1134</v>
      </c>
      <c r="G105" s="6" t="s">
        <v>30</v>
      </c>
      <c r="H105" s="6">
        <v>502</v>
      </c>
      <c r="I105" s="6" t="s">
        <v>37</v>
      </c>
      <c r="J105" s="6" t="s">
        <v>38</v>
      </c>
      <c r="K105" s="6" t="s">
        <v>25</v>
      </c>
      <c r="L105" s="7" t="s">
        <v>611</v>
      </c>
      <c r="M105" s="8"/>
      <c r="N105" s="8"/>
      <c r="O105" s="8"/>
      <c r="P105" s="6">
        <v>14</v>
      </c>
      <c r="Q105" s="5">
        <v>46293</v>
      </c>
      <c r="R105" s="5">
        <v>46273</v>
      </c>
      <c r="S105" s="6" t="s">
        <v>26</v>
      </c>
      <c r="T105" s="6" t="s">
        <v>26</v>
      </c>
      <c r="U105" s="5">
        <v>46290</v>
      </c>
      <c r="V105" s="6" t="s">
        <v>1084</v>
      </c>
      <c r="W105" s="9" t="s">
        <v>27</v>
      </c>
      <c r="X105" s="10" t="s">
        <v>25</v>
      </c>
      <c r="Y105" s="8"/>
    </row>
    <row r="106" spans="1:25" ht="50.1" customHeight="1" thickBot="1" x14ac:dyDescent="0.3">
      <c r="A106" s="872" t="s">
        <v>1135</v>
      </c>
      <c r="B106" s="6" t="s">
        <v>1136</v>
      </c>
      <c r="C106" s="5">
        <v>46273</v>
      </c>
      <c r="D106" s="6" t="s">
        <v>103</v>
      </c>
      <c r="E106" s="6" t="s">
        <v>20</v>
      </c>
      <c r="F106" s="7" t="s">
        <v>286</v>
      </c>
      <c r="G106" s="6" t="s">
        <v>22</v>
      </c>
      <c r="H106" s="6">
        <v>316</v>
      </c>
      <c r="I106" s="6" t="s">
        <v>23</v>
      </c>
      <c r="J106" s="6" t="s">
        <v>288</v>
      </c>
      <c r="K106" s="6" t="s">
        <v>25</v>
      </c>
      <c r="L106" s="7" t="s">
        <v>1137</v>
      </c>
      <c r="M106" s="8"/>
      <c r="N106" s="8"/>
      <c r="O106" s="8"/>
      <c r="P106" s="6">
        <v>14</v>
      </c>
      <c r="Q106" s="5">
        <v>46293</v>
      </c>
      <c r="R106" s="5">
        <v>46273</v>
      </c>
      <c r="S106" s="6" t="s">
        <v>26</v>
      </c>
      <c r="T106" s="6" t="s">
        <v>26</v>
      </c>
      <c r="U106" s="5">
        <v>46293</v>
      </c>
      <c r="V106" s="6" t="s">
        <v>1138</v>
      </c>
      <c r="W106" s="9" t="s">
        <v>27</v>
      </c>
      <c r="X106" s="10" t="s">
        <v>25</v>
      </c>
      <c r="Y106" s="8"/>
    </row>
    <row r="107" spans="1:25" ht="50.1" customHeight="1" thickBot="1" x14ac:dyDescent="0.3">
      <c r="A107" s="4" t="s">
        <v>1139</v>
      </c>
      <c r="B107" s="6" t="s">
        <v>1140</v>
      </c>
      <c r="C107" s="5">
        <v>46273</v>
      </c>
      <c r="D107" s="6" t="s">
        <v>28</v>
      </c>
      <c r="E107" s="6" t="s">
        <v>39</v>
      </c>
      <c r="F107" s="7" t="s">
        <v>1141</v>
      </c>
      <c r="G107" s="6" t="s">
        <v>30</v>
      </c>
      <c r="H107" s="6">
        <v>503</v>
      </c>
      <c r="I107" s="6" t="s">
        <v>31</v>
      </c>
      <c r="J107" s="6" t="s">
        <v>93</v>
      </c>
      <c r="K107" s="8"/>
      <c r="L107" s="7" t="s">
        <v>1142</v>
      </c>
      <c r="M107" s="8"/>
      <c r="N107" s="3"/>
      <c r="O107" s="876" t="s">
        <v>1143</v>
      </c>
      <c r="P107" s="6">
        <v>14</v>
      </c>
      <c r="Q107" s="5">
        <v>46293</v>
      </c>
      <c r="R107" s="8"/>
      <c r="S107" s="8"/>
      <c r="T107" s="8"/>
      <c r="U107" s="8"/>
      <c r="V107" s="8"/>
      <c r="W107" s="562" t="s">
        <v>461</v>
      </c>
      <c r="X107" s="6"/>
      <c r="Y107" s="8"/>
    </row>
    <row r="108" spans="1:25" ht="50.1" customHeight="1" thickBot="1" x14ac:dyDescent="0.3">
      <c r="A108" s="4" t="s">
        <v>1144</v>
      </c>
      <c r="B108" s="6" t="s">
        <v>1145</v>
      </c>
      <c r="C108" s="5">
        <v>46273</v>
      </c>
      <c r="D108" s="6" t="s">
        <v>28</v>
      </c>
      <c r="E108" s="6" t="s">
        <v>61</v>
      </c>
      <c r="F108" s="7" t="s">
        <v>1146</v>
      </c>
      <c r="G108" s="6" t="s">
        <v>22</v>
      </c>
      <c r="H108" s="6">
        <v>306</v>
      </c>
      <c r="I108" s="6" t="s">
        <v>79</v>
      </c>
      <c r="J108" s="12" t="s">
        <v>1030</v>
      </c>
      <c r="K108" s="8"/>
      <c r="L108" s="7" t="s">
        <v>627</v>
      </c>
      <c r="M108" s="8"/>
      <c r="N108" s="8"/>
      <c r="O108" s="6" t="s">
        <v>776</v>
      </c>
      <c r="P108" s="6">
        <v>14</v>
      </c>
      <c r="Q108" s="5">
        <v>46293</v>
      </c>
      <c r="R108" s="5">
        <v>46273</v>
      </c>
      <c r="S108" s="6" t="s">
        <v>26</v>
      </c>
      <c r="T108" s="6" t="s">
        <v>26</v>
      </c>
      <c r="U108" s="5">
        <v>46294</v>
      </c>
      <c r="V108" s="6" t="s">
        <v>1147</v>
      </c>
      <c r="W108" s="9" t="s">
        <v>27</v>
      </c>
      <c r="X108" s="594" t="s">
        <v>47</v>
      </c>
      <c r="Y108" s="8"/>
    </row>
    <row r="109" spans="1:25" ht="50.1" customHeight="1" thickBot="1" x14ac:dyDescent="0.3">
      <c r="A109" s="4" t="s">
        <v>1148</v>
      </c>
      <c r="B109" s="6" t="s">
        <v>1149</v>
      </c>
      <c r="C109" s="5">
        <v>46273</v>
      </c>
      <c r="D109" s="6" t="s">
        <v>33</v>
      </c>
      <c r="E109" s="6" t="s">
        <v>584</v>
      </c>
      <c r="F109" s="7" t="s">
        <v>1150</v>
      </c>
      <c r="G109" s="6" t="s">
        <v>30</v>
      </c>
      <c r="H109" s="6">
        <v>503</v>
      </c>
      <c r="I109" s="6" t="s">
        <v>31</v>
      </c>
      <c r="J109" s="6" t="s">
        <v>580</v>
      </c>
      <c r="K109" s="6" t="s">
        <v>25</v>
      </c>
      <c r="L109" s="7" t="s">
        <v>1151</v>
      </c>
      <c r="M109" s="8"/>
      <c r="N109" s="8"/>
      <c r="O109" s="8"/>
      <c r="P109" s="6">
        <v>14</v>
      </c>
      <c r="Q109" s="5">
        <v>46293</v>
      </c>
      <c r="R109" s="5">
        <v>46273</v>
      </c>
      <c r="S109" s="6" t="s">
        <v>26</v>
      </c>
      <c r="T109" s="6" t="s">
        <v>26</v>
      </c>
      <c r="U109" s="5">
        <v>46294</v>
      </c>
      <c r="V109" s="6" t="s">
        <v>1152</v>
      </c>
      <c r="W109" s="9" t="s">
        <v>27</v>
      </c>
      <c r="X109" s="594" t="s">
        <v>47</v>
      </c>
      <c r="Y109" s="8"/>
    </row>
    <row r="110" spans="1:25" ht="50.1" customHeight="1" thickBot="1" x14ac:dyDescent="0.3">
      <c r="A110" s="872" t="s">
        <v>1153</v>
      </c>
      <c r="B110" s="6" t="s">
        <v>1154</v>
      </c>
      <c r="C110" s="5">
        <v>46273</v>
      </c>
      <c r="D110" s="6" t="s">
        <v>19</v>
      </c>
      <c r="E110" s="6" t="s">
        <v>29</v>
      </c>
      <c r="F110" s="7" t="s">
        <v>92</v>
      </c>
      <c r="G110" s="6" t="s">
        <v>34</v>
      </c>
      <c r="H110" s="6">
        <v>106</v>
      </c>
      <c r="I110" s="6" t="s">
        <v>112</v>
      </c>
      <c r="J110" s="6" t="s">
        <v>53</v>
      </c>
      <c r="K110" s="6" t="s">
        <v>25</v>
      </c>
      <c r="L110" s="7" t="s">
        <v>1155</v>
      </c>
      <c r="M110" s="8"/>
      <c r="N110" s="8"/>
      <c r="O110" s="8"/>
      <c r="P110" s="6">
        <v>14</v>
      </c>
      <c r="Q110" s="5">
        <v>46293</v>
      </c>
      <c r="R110" s="6" t="s">
        <v>26</v>
      </c>
      <c r="S110" s="6" t="s">
        <v>26</v>
      </c>
      <c r="T110" s="6" t="s">
        <v>26</v>
      </c>
      <c r="U110" s="5">
        <v>46293</v>
      </c>
      <c r="V110" s="6" t="s">
        <v>1156</v>
      </c>
      <c r="W110" s="9" t="s">
        <v>27</v>
      </c>
      <c r="X110" s="10" t="s">
        <v>25</v>
      </c>
      <c r="Y110" s="8"/>
    </row>
    <row r="111" spans="1:25" ht="50.1" customHeight="1" thickBot="1" x14ac:dyDescent="0.3">
      <c r="A111" s="872" t="s">
        <v>1157</v>
      </c>
      <c r="B111" s="6" t="s">
        <v>1158</v>
      </c>
      <c r="C111" s="5">
        <v>46273</v>
      </c>
      <c r="D111" s="6" t="s">
        <v>19</v>
      </c>
      <c r="E111" s="6" t="s">
        <v>20</v>
      </c>
      <c r="F111" s="7" t="s">
        <v>99</v>
      </c>
      <c r="G111" s="6" t="s">
        <v>22</v>
      </c>
      <c r="H111" s="6">
        <v>316</v>
      </c>
      <c r="I111" s="6" t="s">
        <v>23</v>
      </c>
      <c r="J111" s="6" t="s">
        <v>46</v>
      </c>
      <c r="K111" s="8"/>
      <c r="L111" s="7" t="s">
        <v>1155</v>
      </c>
      <c r="M111" s="8"/>
      <c r="N111" s="8"/>
      <c r="O111" s="8"/>
      <c r="P111" s="6">
        <v>14</v>
      </c>
      <c r="Q111" s="5">
        <v>46293</v>
      </c>
      <c r="R111" s="8"/>
      <c r="S111" s="8"/>
      <c r="T111" s="8"/>
      <c r="U111" s="8"/>
      <c r="V111" s="8"/>
      <c r="W111" s="562" t="s">
        <v>461</v>
      </c>
      <c r="X111" s="6"/>
      <c r="Y111" s="8"/>
    </row>
    <row r="112" spans="1:25" ht="50.1" customHeight="1" thickBot="1" x14ac:dyDescent="0.3">
      <c r="A112" s="872" t="s">
        <v>1159</v>
      </c>
      <c r="B112" s="6" t="s">
        <v>1160</v>
      </c>
      <c r="C112" s="5">
        <v>46273</v>
      </c>
      <c r="D112" s="6" t="s">
        <v>28</v>
      </c>
      <c r="E112" s="6" t="s">
        <v>460</v>
      </c>
      <c r="F112" s="7" t="s">
        <v>1161</v>
      </c>
      <c r="G112" s="6" t="s">
        <v>30</v>
      </c>
      <c r="H112" s="6">
        <v>503</v>
      </c>
      <c r="I112" s="6" t="s">
        <v>31</v>
      </c>
      <c r="J112" s="6" t="s">
        <v>520</v>
      </c>
      <c r="K112" s="8"/>
      <c r="L112" s="7" t="s">
        <v>618</v>
      </c>
      <c r="M112" s="8"/>
      <c r="N112" s="8"/>
      <c r="O112" s="8"/>
      <c r="P112" s="6">
        <v>14</v>
      </c>
      <c r="Q112" s="5">
        <v>46293</v>
      </c>
      <c r="R112" s="5">
        <v>46273</v>
      </c>
      <c r="S112" s="6" t="s">
        <v>26</v>
      </c>
      <c r="T112" s="6" t="s">
        <v>26</v>
      </c>
      <c r="U112" s="5">
        <v>46293</v>
      </c>
      <c r="V112" s="6" t="s">
        <v>1162</v>
      </c>
      <c r="W112" s="9" t="s">
        <v>27</v>
      </c>
      <c r="X112" s="10" t="s">
        <v>25</v>
      </c>
      <c r="Y112" s="8"/>
    </row>
    <row r="113" spans="1:25" ht="50.1" customHeight="1" thickBot="1" x14ac:dyDescent="0.3">
      <c r="A113" s="4" t="s">
        <v>1163</v>
      </c>
      <c r="B113" s="6" t="s">
        <v>1164</v>
      </c>
      <c r="C113" s="5">
        <v>46273</v>
      </c>
      <c r="D113" s="6" t="s">
        <v>103</v>
      </c>
      <c r="E113" s="6" t="s">
        <v>39</v>
      </c>
      <c r="F113" s="7" t="s">
        <v>479</v>
      </c>
      <c r="G113" s="6" t="s">
        <v>30</v>
      </c>
      <c r="H113" s="6">
        <v>503</v>
      </c>
      <c r="I113" s="6" t="s">
        <v>31</v>
      </c>
      <c r="J113" s="6" t="s">
        <v>93</v>
      </c>
      <c r="K113" s="6" t="s">
        <v>25</v>
      </c>
      <c r="L113" s="7" t="s">
        <v>1165</v>
      </c>
      <c r="M113" s="6">
        <v>1169300</v>
      </c>
      <c r="N113" s="8"/>
      <c r="O113" s="8"/>
      <c r="P113" s="6">
        <v>14</v>
      </c>
      <c r="Q113" s="5">
        <v>46293</v>
      </c>
      <c r="R113" s="5">
        <v>46273</v>
      </c>
      <c r="S113" s="6" t="s">
        <v>26</v>
      </c>
      <c r="T113" s="6" t="s">
        <v>26</v>
      </c>
      <c r="U113" s="5">
        <v>46293</v>
      </c>
      <c r="V113" s="6" t="s">
        <v>1166</v>
      </c>
      <c r="W113" s="9" t="s">
        <v>27</v>
      </c>
      <c r="X113" s="10" t="s">
        <v>25</v>
      </c>
      <c r="Y113" s="8"/>
    </row>
    <row r="114" spans="1:25" ht="50.1" customHeight="1" thickBot="1" x14ac:dyDescent="0.3">
      <c r="A114" s="872" t="s">
        <v>1167</v>
      </c>
      <c r="B114" s="6" t="s">
        <v>1168</v>
      </c>
      <c r="C114" s="5">
        <v>46273</v>
      </c>
      <c r="D114" s="6" t="s">
        <v>33</v>
      </c>
      <c r="E114" s="6" t="s">
        <v>460</v>
      </c>
      <c r="F114" s="7" t="s">
        <v>1169</v>
      </c>
      <c r="G114" s="6" t="s">
        <v>22</v>
      </c>
      <c r="H114" s="6">
        <v>316</v>
      </c>
      <c r="I114" s="6" t="s">
        <v>23</v>
      </c>
      <c r="J114" s="6" t="s">
        <v>78</v>
      </c>
      <c r="K114" s="8"/>
      <c r="L114" s="7" t="s">
        <v>589</v>
      </c>
      <c r="M114" s="8"/>
      <c r="N114" s="8"/>
      <c r="O114" s="6" t="s">
        <v>1170</v>
      </c>
      <c r="P114" s="6">
        <v>14</v>
      </c>
      <c r="Q114" s="5">
        <v>46293</v>
      </c>
      <c r="R114" s="8"/>
      <c r="S114" s="8"/>
      <c r="T114" s="8"/>
      <c r="U114" s="8"/>
      <c r="V114" s="8"/>
      <c r="W114" s="562" t="s">
        <v>461</v>
      </c>
      <c r="X114" s="6"/>
      <c r="Y114" s="8"/>
    </row>
    <row r="115" spans="1:25" ht="50.1" customHeight="1" thickBot="1" x14ac:dyDescent="0.3">
      <c r="A115" s="4" t="s">
        <v>1171</v>
      </c>
      <c r="B115" s="6" t="s">
        <v>1172</v>
      </c>
      <c r="C115" s="5">
        <v>46273</v>
      </c>
      <c r="D115" s="6" t="s">
        <v>103</v>
      </c>
      <c r="E115" s="6" t="s">
        <v>39</v>
      </c>
      <c r="F115" s="7" t="s">
        <v>1019</v>
      </c>
      <c r="G115" s="6" t="s">
        <v>30</v>
      </c>
      <c r="H115" s="6">
        <v>503</v>
      </c>
      <c r="I115" s="6" t="s">
        <v>31</v>
      </c>
      <c r="J115" s="6" t="s">
        <v>93</v>
      </c>
      <c r="K115" s="8"/>
      <c r="L115" s="7" t="s">
        <v>1173</v>
      </c>
      <c r="M115" s="8"/>
      <c r="N115" s="8"/>
      <c r="O115" s="8"/>
      <c r="P115" s="6">
        <v>14</v>
      </c>
      <c r="Q115" s="5">
        <v>46293</v>
      </c>
      <c r="R115" s="8"/>
      <c r="S115" s="8"/>
      <c r="T115" s="8"/>
      <c r="U115" s="8"/>
      <c r="V115" s="8"/>
      <c r="W115" s="562" t="s">
        <v>461</v>
      </c>
      <c r="X115" s="6"/>
      <c r="Y115" s="8"/>
    </row>
    <row r="116" spans="1:25" ht="50.1" customHeight="1" thickBot="1" x14ac:dyDescent="0.35">
      <c r="A116" s="872" t="s">
        <v>1174</v>
      </c>
      <c r="B116" s="6" t="s">
        <v>1175</v>
      </c>
      <c r="C116" s="5">
        <v>46273</v>
      </c>
      <c r="D116" s="6" t="s">
        <v>28</v>
      </c>
      <c r="E116" s="6" t="s">
        <v>29</v>
      </c>
      <c r="F116" s="7" t="s">
        <v>1176</v>
      </c>
      <c r="G116" s="6" t="s">
        <v>30</v>
      </c>
      <c r="H116" s="6">
        <v>503</v>
      </c>
      <c r="I116" s="6" t="s">
        <v>31</v>
      </c>
      <c r="J116" s="877" t="s">
        <v>1177</v>
      </c>
      <c r="K116" s="8"/>
      <c r="L116" s="7" t="s">
        <v>608</v>
      </c>
      <c r="M116" s="8"/>
      <c r="N116" s="8"/>
      <c r="O116" s="6" t="s">
        <v>609</v>
      </c>
      <c r="P116" s="6">
        <v>14</v>
      </c>
      <c r="Q116" s="5">
        <v>46293</v>
      </c>
      <c r="R116" s="8"/>
      <c r="S116" s="8"/>
      <c r="T116" s="8"/>
      <c r="U116" s="8"/>
      <c r="V116" s="8"/>
      <c r="W116" s="562" t="s">
        <v>461</v>
      </c>
      <c r="X116" s="6"/>
      <c r="Y116" s="8"/>
    </row>
    <row r="117" spans="1:25" ht="50.1" customHeight="1" thickBot="1" x14ac:dyDescent="0.3">
      <c r="A117" s="4" t="s">
        <v>1178</v>
      </c>
      <c r="B117" s="6" t="s">
        <v>1179</v>
      </c>
      <c r="C117" s="5">
        <v>46273</v>
      </c>
      <c r="D117" s="6" t="s">
        <v>103</v>
      </c>
      <c r="E117" s="6" t="s">
        <v>39</v>
      </c>
      <c r="F117" s="7" t="s">
        <v>462</v>
      </c>
      <c r="G117" s="6" t="s">
        <v>30</v>
      </c>
      <c r="H117" s="6">
        <v>503</v>
      </c>
      <c r="I117" s="6" t="s">
        <v>31</v>
      </c>
      <c r="J117" s="6" t="s">
        <v>93</v>
      </c>
      <c r="K117" s="8"/>
      <c r="L117" s="7" t="s">
        <v>1180</v>
      </c>
      <c r="M117" s="8"/>
      <c r="N117" s="8"/>
      <c r="O117" s="8"/>
      <c r="P117" s="6">
        <v>14</v>
      </c>
      <c r="Q117" s="5">
        <v>46293</v>
      </c>
      <c r="R117" s="8"/>
      <c r="S117" s="8"/>
      <c r="T117" s="8"/>
      <c r="U117" s="8"/>
      <c r="V117" s="8"/>
      <c r="W117" s="562" t="s">
        <v>461</v>
      </c>
      <c r="X117" s="6"/>
      <c r="Y117" s="8"/>
    </row>
    <row r="118" spans="1:25" ht="50.1" customHeight="1" thickBot="1" x14ac:dyDescent="0.3">
      <c r="A118" s="872" t="s">
        <v>1181</v>
      </c>
      <c r="B118" s="6" t="s">
        <v>1182</v>
      </c>
      <c r="C118" s="5">
        <v>46273</v>
      </c>
      <c r="D118" s="6" t="s">
        <v>19</v>
      </c>
      <c r="E118" s="6" t="s">
        <v>460</v>
      </c>
      <c r="F118" s="7" t="s">
        <v>1183</v>
      </c>
      <c r="G118" s="6" t="s">
        <v>34</v>
      </c>
      <c r="H118" s="6">
        <v>102</v>
      </c>
      <c r="I118" s="6" t="s">
        <v>70</v>
      </c>
      <c r="J118" s="6" t="s">
        <v>71</v>
      </c>
      <c r="K118" s="8"/>
      <c r="L118" s="7" t="s">
        <v>1184</v>
      </c>
      <c r="M118" s="8"/>
      <c r="N118" s="8"/>
      <c r="O118" s="8"/>
      <c r="P118" s="6">
        <v>14</v>
      </c>
      <c r="Q118" s="5">
        <v>46293</v>
      </c>
      <c r="R118" s="8"/>
      <c r="S118" s="8"/>
      <c r="T118" s="8"/>
      <c r="U118" s="8"/>
      <c r="V118" s="8"/>
      <c r="W118" s="562" t="s">
        <v>461</v>
      </c>
      <c r="X118" s="6"/>
      <c r="Y118" s="8"/>
    </row>
    <row r="119" spans="1:25" ht="50.1" customHeight="1" thickBot="1" x14ac:dyDescent="0.3">
      <c r="A119" s="872" t="s">
        <v>1185</v>
      </c>
      <c r="B119" s="6" t="s">
        <v>1186</v>
      </c>
      <c r="C119" s="5">
        <v>46274</v>
      </c>
      <c r="D119" s="6" t="s">
        <v>19</v>
      </c>
      <c r="E119" s="6" t="s">
        <v>460</v>
      </c>
      <c r="F119" s="7" t="s">
        <v>1187</v>
      </c>
      <c r="G119" s="6" t="s">
        <v>22</v>
      </c>
      <c r="H119" s="6">
        <v>316</v>
      </c>
      <c r="I119" s="6" t="s">
        <v>23</v>
      </c>
      <c r="J119" s="6" t="s">
        <v>167</v>
      </c>
      <c r="K119" s="8"/>
      <c r="L119" s="7" t="s">
        <v>1188</v>
      </c>
      <c r="M119" s="8"/>
      <c r="N119" s="8"/>
      <c r="O119" s="8"/>
      <c r="P119" s="6">
        <v>14</v>
      </c>
      <c r="Q119" s="5">
        <v>46293</v>
      </c>
      <c r="R119" s="8"/>
      <c r="S119" s="8"/>
      <c r="T119" s="8"/>
      <c r="U119" s="8"/>
      <c r="V119" s="8"/>
      <c r="W119" s="562" t="s">
        <v>461</v>
      </c>
      <c r="X119" s="6"/>
      <c r="Y119" s="8"/>
    </row>
    <row r="120" spans="1:25" ht="50.1" customHeight="1" thickBot="1" x14ac:dyDescent="0.3">
      <c r="A120" s="872" t="s">
        <v>1189</v>
      </c>
      <c r="B120" s="6" t="s">
        <v>1190</v>
      </c>
      <c r="C120" s="5">
        <v>46274</v>
      </c>
      <c r="D120" s="6" t="s">
        <v>19</v>
      </c>
      <c r="E120" s="6" t="s">
        <v>460</v>
      </c>
      <c r="F120" s="7" t="s">
        <v>1191</v>
      </c>
      <c r="G120" s="6" t="s">
        <v>22</v>
      </c>
      <c r="H120" s="6">
        <v>316</v>
      </c>
      <c r="I120" s="6" t="s">
        <v>23</v>
      </c>
      <c r="J120" s="6" t="s">
        <v>57</v>
      </c>
      <c r="K120" s="8"/>
      <c r="L120" s="7" t="s">
        <v>1192</v>
      </c>
      <c r="M120" s="6">
        <v>1190245</v>
      </c>
      <c r="N120" s="8"/>
      <c r="O120" s="8"/>
      <c r="P120" s="6">
        <v>14</v>
      </c>
      <c r="Q120" s="5">
        <v>46294</v>
      </c>
      <c r="R120" s="5">
        <v>46274</v>
      </c>
      <c r="S120" s="6" t="s">
        <v>26</v>
      </c>
      <c r="T120" s="6" t="s">
        <v>26</v>
      </c>
      <c r="U120" s="5">
        <v>46294</v>
      </c>
      <c r="V120" s="6" t="s">
        <v>1193</v>
      </c>
      <c r="W120" s="9" t="s">
        <v>27</v>
      </c>
      <c r="X120" s="10" t="s">
        <v>25</v>
      </c>
      <c r="Y120" s="8"/>
    </row>
    <row r="121" spans="1:25" ht="50.1" customHeight="1" thickBot="1" x14ac:dyDescent="0.3">
      <c r="A121" s="872" t="s">
        <v>1194</v>
      </c>
      <c r="B121" s="6" t="s">
        <v>1195</v>
      </c>
      <c r="C121" s="5">
        <v>46274</v>
      </c>
      <c r="D121" s="6" t="s">
        <v>19</v>
      </c>
      <c r="E121" s="6" t="s">
        <v>29</v>
      </c>
      <c r="F121" s="7" t="s">
        <v>1196</v>
      </c>
      <c r="G121" s="6" t="s">
        <v>30</v>
      </c>
      <c r="H121" s="6">
        <v>502</v>
      </c>
      <c r="I121" s="6" t="s">
        <v>37</v>
      </c>
      <c r="J121" s="6" t="s">
        <v>38</v>
      </c>
      <c r="K121" s="8"/>
      <c r="L121" s="7" t="s">
        <v>1197</v>
      </c>
      <c r="M121" s="8"/>
      <c r="N121" s="8"/>
      <c r="O121" s="8"/>
      <c r="P121" s="6">
        <v>14</v>
      </c>
      <c r="Q121" s="5">
        <v>46294</v>
      </c>
      <c r="R121" s="8"/>
      <c r="S121" s="8"/>
      <c r="T121" s="8"/>
      <c r="U121" s="8"/>
      <c r="V121" s="8"/>
      <c r="W121" s="562" t="s">
        <v>461</v>
      </c>
      <c r="X121" s="6"/>
      <c r="Y121" s="8"/>
    </row>
    <row r="122" spans="1:25" ht="50.1" customHeight="1" thickBot="1" x14ac:dyDescent="0.3">
      <c r="A122" s="4" t="s">
        <v>1198</v>
      </c>
      <c r="B122" s="6" t="s">
        <v>1199</v>
      </c>
      <c r="C122" s="5">
        <v>46274</v>
      </c>
      <c r="D122" s="6" t="s">
        <v>19</v>
      </c>
      <c r="E122" s="6" t="s">
        <v>39</v>
      </c>
      <c r="F122" s="7" t="s">
        <v>1200</v>
      </c>
      <c r="G122" s="6" t="s">
        <v>30</v>
      </c>
      <c r="H122" s="6">
        <v>503</v>
      </c>
      <c r="I122" s="6" t="s">
        <v>31</v>
      </c>
      <c r="J122" s="6" t="s">
        <v>93</v>
      </c>
      <c r="K122" s="8"/>
      <c r="L122" s="7" t="s">
        <v>1201</v>
      </c>
      <c r="M122" s="8"/>
      <c r="N122" s="8"/>
      <c r="O122" s="8"/>
      <c r="P122" s="6">
        <v>14</v>
      </c>
      <c r="Q122" s="5">
        <v>46294</v>
      </c>
      <c r="R122" s="5">
        <v>46274</v>
      </c>
      <c r="S122" s="6" t="s">
        <v>26</v>
      </c>
      <c r="T122" s="6" t="s">
        <v>26</v>
      </c>
      <c r="U122" s="5">
        <v>46294</v>
      </c>
      <c r="V122" s="6" t="s">
        <v>1202</v>
      </c>
      <c r="W122" s="9" t="s">
        <v>27</v>
      </c>
      <c r="X122" s="10" t="s">
        <v>25</v>
      </c>
      <c r="Y122" s="8"/>
    </row>
    <row r="123" spans="1:25" ht="50.1" customHeight="1" thickBot="1" x14ac:dyDescent="0.3">
      <c r="A123" s="4" t="s">
        <v>1203</v>
      </c>
      <c r="B123" s="6" t="s">
        <v>1204</v>
      </c>
      <c r="C123" s="5">
        <v>46274</v>
      </c>
      <c r="D123" s="6" t="s">
        <v>33</v>
      </c>
      <c r="E123" s="6" t="s">
        <v>67</v>
      </c>
      <c r="F123" s="7" t="s">
        <v>1205</v>
      </c>
      <c r="G123" s="6" t="s">
        <v>1206</v>
      </c>
      <c r="H123" s="6" t="s">
        <v>1206</v>
      </c>
      <c r="I123" s="6" t="s">
        <v>1206</v>
      </c>
      <c r="J123" s="6" t="s">
        <v>1206</v>
      </c>
      <c r="K123" s="8"/>
      <c r="L123" s="7" t="s">
        <v>1207</v>
      </c>
      <c r="M123" s="8"/>
      <c r="N123" s="8"/>
      <c r="O123" s="6" t="s">
        <v>1208</v>
      </c>
      <c r="P123" s="6">
        <v>14</v>
      </c>
      <c r="Q123" s="5">
        <v>46294</v>
      </c>
      <c r="R123" s="5">
        <v>46274</v>
      </c>
      <c r="S123" s="6" t="s">
        <v>26</v>
      </c>
      <c r="T123" s="6" t="s">
        <v>26</v>
      </c>
      <c r="U123" s="5">
        <v>46294</v>
      </c>
      <c r="V123" s="6" t="s">
        <v>1209</v>
      </c>
      <c r="W123" s="9" t="s">
        <v>27</v>
      </c>
      <c r="X123" s="10" t="s">
        <v>25</v>
      </c>
      <c r="Y123" s="8"/>
    </row>
    <row r="124" spans="1:25" ht="50.1" customHeight="1" thickBot="1" x14ac:dyDescent="0.3">
      <c r="A124" s="872" t="s">
        <v>1210</v>
      </c>
      <c r="B124" s="6" t="s">
        <v>1211</v>
      </c>
      <c r="C124" s="5">
        <v>46274</v>
      </c>
      <c r="D124" s="6" t="s">
        <v>33</v>
      </c>
      <c r="E124" s="6" t="s">
        <v>20</v>
      </c>
      <c r="F124" s="7" t="s">
        <v>1212</v>
      </c>
      <c r="G124" s="6" t="s">
        <v>34</v>
      </c>
      <c r="H124" s="6">
        <v>121</v>
      </c>
      <c r="I124" s="6" t="s">
        <v>69</v>
      </c>
      <c r="J124" s="6" t="s">
        <v>501</v>
      </c>
      <c r="K124" s="8"/>
      <c r="L124" s="7" t="s">
        <v>1213</v>
      </c>
      <c r="M124" s="8"/>
      <c r="N124" s="8"/>
      <c r="O124" s="8"/>
      <c r="P124" s="6">
        <v>14</v>
      </c>
      <c r="Q124" s="5">
        <v>46294</v>
      </c>
      <c r="R124" s="6" t="s">
        <v>26</v>
      </c>
      <c r="S124" s="6" t="s">
        <v>26</v>
      </c>
      <c r="T124" s="6" t="s">
        <v>26</v>
      </c>
      <c r="U124" s="5">
        <v>46294</v>
      </c>
      <c r="V124" s="6" t="s">
        <v>1214</v>
      </c>
      <c r="W124" s="9" t="s">
        <v>27</v>
      </c>
      <c r="X124" s="10" t="s">
        <v>25</v>
      </c>
      <c r="Y124" s="8"/>
    </row>
    <row r="125" spans="1:25" ht="50.1" customHeight="1" thickBot="1" x14ac:dyDescent="0.3">
      <c r="A125" s="4" t="s">
        <v>1215</v>
      </c>
      <c r="B125" s="6" t="s">
        <v>1216</v>
      </c>
      <c r="C125" s="5">
        <v>46274</v>
      </c>
      <c r="D125" s="6" t="s">
        <v>28</v>
      </c>
      <c r="E125" s="6" t="s">
        <v>39</v>
      </c>
      <c r="F125" s="7" t="s">
        <v>1217</v>
      </c>
      <c r="G125" s="6" t="s">
        <v>30</v>
      </c>
      <c r="H125" s="6">
        <v>503</v>
      </c>
      <c r="I125" s="6" t="s">
        <v>31</v>
      </c>
      <c r="J125" s="12" t="s">
        <v>85</v>
      </c>
      <c r="K125" s="6" t="s">
        <v>47</v>
      </c>
      <c r="L125" s="7" t="s">
        <v>627</v>
      </c>
      <c r="M125" s="8"/>
      <c r="N125" s="8"/>
      <c r="O125" s="6" t="s">
        <v>776</v>
      </c>
      <c r="P125" s="6">
        <v>14</v>
      </c>
      <c r="Q125" s="5">
        <v>46294</v>
      </c>
      <c r="R125" s="5">
        <v>46274</v>
      </c>
      <c r="S125" s="6" t="s">
        <v>26</v>
      </c>
      <c r="T125" s="6" t="s">
        <v>26</v>
      </c>
      <c r="U125" s="5">
        <v>46295</v>
      </c>
      <c r="V125" s="6" t="s">
        <v>1218</v>
      </c>
      <c r="W125" s="9" t="s">
        <v>27</v>
      </c>
      <c r="X125" s="594" t="s">
        <v>47</v>
      </c>
      <c r="Y125" s="8"/>
    </row>
    <row r="126" spans="1:25" ht="50.1" customHeight="1" thickBot="1" x14ac:dyDescent="0.3">
      <c r="A126" s="4" t="s">
        <v>1219</v>
      </c>
      <c r="B126" s="6" t="s">
        <v>1220</v>
      </c>
      <c r="C126" s="5">
        <v>46274</v>
      </c>
      <c r="D126" s="6" t="s">
        <v>28</v>
      </c>
      <c r="E126" s="6" t="s">
        <v>84</v>
      </c>
      <c r="F126" s="7" t="s">
        <v>1221</v>
      </c>
      <c r="G126" s="6" t="s">
        <v>30</v>
      </c>
      <c r="H126" s="6">
        <v>503</v>
      </c>
      <c r="I126" s="6" t="s">
        <v>31</v>
      </c>
      <c r="J126" s="6" t="s">
        <v>59</v>
      </c>
      <c r="K126" s="6" t="s">
        <v>25</v>
      </c>
      <c r="L126" s="7" t="s">
        <v>634</v>
      </c>
      <c r="M126" s="8"/>
      <c r="N126" s="8"/>
      <c r="O126" s="6" t="s">
        <v>542</v>
      </c>
      <c r="P126" s="6">
        <v>14</v>
      </c>
      <c r="Q126" s="5">
        <v>46294</v>
      </c>
      <c r="R126" s="5">
        <v>46274</v>
      </c>
      <c r="S126" s="6" t="s">
        <v>26</v>
      </c>
      <c r="T126" s="6" t="s">
        <v>26</v>
      </c>
      <c r="U126" s="5">
        <v>46294</v>
      </c>
      <c r="V126" s="6" t="s">
        <v>1222</v>
      </c>
      <c r="W126" s="9" t="s">
        <v>27</v>
      </c>
      <c r="X126" s="10" t="s">
        <v>25</v>
      </c>
      <c r="Y126" s="10" t="s">
        <v>25</v>
      </c>
    </row>
    <row r="127" spans="1:25" ht="50.1" customHeight="1" thickBot="1" x14ac:dyDescent="0.3">
      <c r="A127" s="872" t="s">
        <v>1223</v>
      </c>
      <c r="B127" s="6" t="s">
        <v>1224</v>
      </c>
      <c r="C127" s="5">
        <v>46274</v>
      </c>
      <c r="D127" s="6" t="s">
        <v>103</v>
      </c>
      <c r="E127" s="6" t="s">
        <v>460</v>
      </c>
      <c r="F127" s="7" t="s">
        <v>1225</v>
      </c>
      <c r="G127" s="6" t="s">
        <v>22</v>
      </c>
      <c r="H127" s="6">
        <v>316</v>
      </c>
      <c r="I127" s="6" t="s">
        <v>23</v>
      </c>
      <c r="J127" s="6" t="s">
        <v>57</v>
      </c>
      <c r="K127" s="8"/>
      <c r="L127" s="7" t="s">
        <v>1226</v>
      </c>
      <c r="M127" s="8"/>
      <c r="N127" s="8"/>
      <c r="O127" s="8"/>
      <c r="P127" s="6">
        <v>14</v>
      </c>
      <c r="Q127" s="5">
        <v>46294</v>
      </c>
      <c r="R127" s="8"/>
      <c r="S127" s="8"/>
      <c r="T127" s="8"/>
      <c r="U127" s="8"/>
      <c r="V127" s="8"/>
      <c r="W127" s="562" t="s">
        <v>461</v>
      </c>
      <c r="X127" s="6"/>
      <c r="Y127" s="8"/>
    </row>
    <row r="128" spans="1:25" ht="50.1" customHeight="1" thickBot="1" x14ac:dyDescent="0.3">
      <c r="A128" s="872" t="s">
        <v>1227</v>
      </c>
      <c r="B128" s="6" t="s">
        <v>1228</v>
      </c>
      <c r="C128" s="5">
        <v>46274</v>
      </c>
      <c r="D128" s="6" t="s">
        <v>103</v>
      </c>
      <c r="E128" s="6" t="s">
        <v>20</v>
      </c>
      <c r="F128" s="7" t="s">
        <v>1229</v>
      </c>
      <c r="G128" s="6" t="s">
        <v>22</v>
      </c>
      <c r="H128" s="6">
        <v>316</v>
      </c>
      <c r="I128" s="6" t="s">
        <v>23</v>
      </c>
      <c r="J128" s="6" t="s">
        <v>288</v>
      </c>
      <c r="K128" s="8"/>
      <c r="L128" s="7" t="s">
        <v>1230</v>
      </c>
      <c r="M128" s="8"/>
      <c r="N128" s="8"/>
      <c r="O128" s="8"/>
      <c r="P128" s="6">
        <v>14</v>
      </c>
      <c r="Q128" s="5">
        <v>46294</v>
      </c>
      <c r="R128" s="8"/>
      <c r="S128" s="8"/>
      <c r="T128" s="8"/>
      <c r="U128" s="8"/>
      <c r="V128" s="8"/>
      <c r="W128" s="562" t="s">
        <v>461</v>
      </c>
      <c r="X128" s="6"/>
      <c r="Y128" s="8"/>
    </row>
    <row r="129" spans="1:25" ht="50.1" customHeight="1" thickBot="1" x14ac:dyDescent="0.3">
      <c r="A129" s="872" t="s">
        <v>1231</v>
      </c>
      <c r="B129" s="6" t="s">
        <v>1232</v>
      </c>
      <c r="C129" s="5">
        <v>46274</v>
      </c>
      <c r="D129" s="6" t="s">
        <v>19</v>
      </c>
      <c r="E129" s="6" t="s">
        <v>39</v>
      </c>
      <c r="F129" s="7" t="s">
        <v>647</v>
      </c>
      <c r="G129" s="6" t="s">
        <v>34</v>
      </c>
      <c r="H129" s="6">
        <v>114</v>
      </c>
      <c r="I129" s="6" t="s">
        <v>41</v>
      </c>
      <c r="J129" s="6" t="s">
        <v>42</v>
      </c>
      <c r="K129" s="6" t="s">
        <v>25</v>
      </c>
      <c r="L129" s="7" t="s">
        <v>1233</v>
      </c>
      <c r="M129" s="6">
        <v>1206580</v>
      </c>
      <c r="N129" s="8"/>
      <c r="O129" s="8"/>
      <c r="P129" s="6">
        <v>14</v>
      </c>
      <c r="Q129" s="5">
        <v>46294</v>
      </c>
      <c r="R129" s="6" t="s">
        <v>26</v>
      </c>
      <c r="S129" s="6" t="s">
        <v>26</v>
      </c>
      <c r="T129" s="6" t="s">
        <v>26</v>
      </c>
      <c r="U129" s="5">
        <v>46294</v>
      </c>
      <c r="V129" s="6" t="s">
        <v>1234</v>
      </c>
      <c r="W129" s="9" t="s">
        <v>27</v>
      </c>
      <c r="X129" s="10" t="s">
        <v>25</v>
      </c>
      <c r="Y129" s="8"/>
    </row>
    <row r="130" spans="1:25" ht="50.1" customHeight="1" thickBot="1" x14ac:dyDescent="0.3">
      <c r="A130" s="872" t="s">
        <v>1235</v>
      </c>
      <c r="B130" s="6" t="s">
        <v>1236</v>
      </c>
      <c r="C130" s="5">
        <v>46274</v>
      </c>
      <c r="D130" s="6" t="s">
        <v>19</v>
      </c>
      <c r="E130" s="6" t="s">
        <v>20</v>
      </c>
      <c r="F130" s="7" t="s">
        <v>392</v>
      </c>
      <c r="G130" s="6" t="s">
        <v>22</v>
      </c>
      <c r="H130" s="6">
        <v>316</v>
      </c>
      <c r="I130" s="6" t="s">
        <v>23</v>
      </c>
      <c r="J130" s="6" t="s">
        <v>288</v>
      </c>
      <c r="K130" s="6" t="s">
        <v>25</v>
      </c>
      <c r="L130" s="7" t="s">
        <v>629</v>
      </c>
      <c r="M130" s="6">
        <v>1016080</v>
      </c>
      <c r="N130" s="8"/>
      <c r="O130" s="8"/>
      <c r="P130" s="6">
        <v>14</v>
      </c>
      <c r="Q130" s="5">
        <v>46294</v>
      </c>
      <c r="R130" s="5">
        <v>46274</v>
      </c>
      <c r="S130" s="6" t="s">
        <v>26</v>
      </c>
      <c r="T130" s="6" t="s">
        <v>26</v>
      </c>
      <c r="U130" s="5">
        <v>46294</v>
      </c>
      <c r="V130" s="6" t="s">
        <v>1237</v>
      </c>
      <c r="W130" s="9" t="s">
        <v>27</v>
      </c>
      <c r="X130" s="10" t="s">
        <v>25</v>
      </c>
      <c r="Y130" s="8"/>
    </row>
    <row r="131" spans="1:25" ht="50.1" customHeight="1" thickBot="1" x14ac:dyDescent="0.3">
      <c r="A131" s="872" t="s">
        <v>1238</v>
      </c>
      <c r="B131" s="6" t="s">
        <v>1239</v>
      </c>
      <c r="C131" s="5">
        <v>46274</v>
      </c>
      <c r="D131" s="6" t="s">
        <v>19</v>
      </c>
      <c r="E131" s="6" t="s">
        <v>39</v>
      </c>
      <c r="F131" s="7" t="s">
        <v>58</v>
      </c>
      <c r="G131" s="6" t="s">
        <v>34</v>
      </c>
      <c r="H131" s="6">
        <v>114</v>
      </c>
      <c r="I131" s="6" t="s">
        <v>41</v>
      </c>
      <c r="J131" s="6" t="s">
        <v>42</v>
      </c>
      <c r="K131" s="6" t="s">
        <v>25</v>
      </c>
      <c r="L131" s="7" t="s">
        <v>477</v>
      </c>
      <c r="M131" s="6">
        <v>1024160</v>
      </c>
      <c r="N131" s="8"/>
      <c r="O131" s="8"/>
      <c r="P131" s="6">
        <v>14</v>
      </c>
      <c r="Q131" s="5">
        <v>46294</v>
      </c>
      <c r="R131" s="6" t="s">
        <v>26</v>
      </c>
      <c r="S131" s="6" t="s">
        <v>26</v>
      </c>
      <c r="T131" s="6" t="s">
        <v>26</v>
      </c>
      <c r="U131" s="5">
        <v>46294</v>
      </c>
      <c r="V131" s="6" t="s">
        <v>1240</v>
      </c>
      <c r="W131" s="9" t="s">
        <v>27</v>
      </c>
      <c r="X131" s="10" t="s">
        <v>25</v>
      </c>
      <c r="Y131" s="8"/>
    </row>
    <row r="132" spans="1:25" ht="50.1" customHeight="1" thickBot="1" x14ac:dyDescent="0.3">
      <c r="A132" s="872" t="s">
        <v>1241</v>
      </c>
      <c r="B132" s="6" t="s">
        <v>1242</v>
      </c>
      <c r="C132" s="5">
        <v>46274</v>
      </c>
      <c r="D132" s="6" t="s">
        <v>19</v>
      </c>
      <c r="E132" s="6" t="s">
        <v>39</v>
      </c>
      <c r="F132" s="7" t="s">
        <v>620</v>
      </c>
      <c r="G132" s="6" t="s">
        <v>34</v>
      </c>
      <c r="H132" s="6">
        <v>106</v>
      </c>
      <c r="I132" s="6" t="s">
        <v>112</v>
      </c>
      <c r="J132" s="6" t="s">
        <v>53</v>
      </c>
      <c r="K132" s="6" t="s">
        <v>25</v>
      </c>
      <c r="L132" s="7" t="s">
        <v>1243</v>
      </c>
      <c r="M132" s="8"/>
      <c r="N132" s="8"/>
      <c r="O132" s="8"/>
      <c r="P132" s="6">
        <v>14</v>
      </c>
      <c r="Q132" s="5">
        <v>46294</v>
      </c>
      <c r="R132" s="6" t="s">
        <v>26</v>
      </c>
      <c r="S132" s="6" t="s">
        <v>26</v>
      </c>
      <c r="T132" s="6" t="s">
        <v>26</v>
      </c>
      <c r="U132" s="5">
        <v>46294</v>
      </c>
      <c r="V132" s="6" t="s">
        <v>1244</v>
      </c>
      <c r="W132" s="9" t="s">
        <v>27</v>
      </c>
      <c r="X132" s="10" t="s">
        <v>25</v>
      </c>
      <c r="Y132" s="8"/>
    </row>
    <row r="133" spans="1:25" ht="50.1" customHeight="1" thickBot="1" x14ac:dyDescent="0.3">
      <c r="A133" s="4" t="s">
        <v>1245</v>
      </c>
      <c r="B133" s="6" t="s">
        <v>1246</v>
      </c>
      <c r="C133" s="5">
        <v>46274</v>
      </c>
      <c r="D133" s="6" t="s">
        <v>103</v>
      </c>
      <c r="E133" s="6" t="s">
        <v>39</v>
      </c>
      <c r="F133" s="7" t="s">
        <v>462</v>
      </c>
      <c r="G133" s="6" t="s">
        <v>30</v>
      </c>
      <c r="H133" s="6">
        <v>503</v>
      </c>
      <c r="I133" s="6" t="s">
        <v>31</v>
      </c>
      <c r="J133" s="6" t="s">
        <v>93</v>
      </c>
      <c r="K133" s="6" t="s">
        <v>25</v>
      </c>
      <c r="L133" s="7" t="s">
        <v>1247</v>
      </c>
      <c r="M133" s="8"/>
      <c r="N133" s="8"/>
      <c r="O133" s="8"/>
      <c r="P133" s="6">
        <v>14</v>
      </c>
      <c r="Q133" s="5">
        <v>46294</v>
      </c>
      <c r="R133" s="5">
        <v>46274</v>
      </c>
      <c r="S133" s="6" t="s">
        <v>26</v>
      </c>
      <c r="T133" s="6" t="s">
        <v>26</v>
      </c>
      <c r="U133" s="5">
        <v>46294</v>
      </c>
      <c r="V133" s="6" t="s">
        <v>1248</v>
      </c>
      <c r="W133" s="9" t="s">
        <v>27</v>
      </c>
      <c r="X133" s="10" t="s">
        <v>25</v>
      </c>
      <c r="Y133" s="8"/>
    </row>
    <row r="134" spans="1:25" ht="50.1" customHeight="1" thickBot="1" x14ac:dyDescent="0.3">
      <c r="A134" s="872" t="s">
        <v>1249</v>
      </c>
      <c r="B134" s="6" t="s">
        <v>1250</v>
      </c>
      <c r="C134" s="5">
        <v>46274</v>
      </c>
      <c r="D134" s="6" t="s">
        <v>19</v>
      </c>
      <c r="E134" s="6" t="s">
        <v>20</v>
      </c>
      <c r="F134" s="7" t="s">
        <v>535</v>
      </c>
      <c r="G134" s="6" t="s">
        <v>22</v>
      </c>
      <c r="H134" s="6">
        <v>304</v>
      </c>
      <c r="I134" s="6" t="s">
        <v>43</v>
      </c>
      <c r="J134" s="6" t="s">
        <v>44</v>
      </c>
      <c r="K134" s="6" t="s">
        <v>25</v>
      </c>
      <c r="L134" s="7" t="s">
        <v>1251</v>
      </c>
      <c r="M134" s="6">
        <v>1096280</v>
      </c>
      <c r="N134" s="8"/>
      <c r="O134" s="8"/>
      <c r="P134" s="6">
        <v>14</v>
      </c>
      <c r="Q134" s="5">
        <v>46294</v>
      </c>
      <c r="R134" s="5">
        <v>46274</v>
      </c>
      <c r="S134" s="6" t="s">
        <v>26</v>
      </c>
      <c r="T134" s="6" t="s">
        <v>26</v>
      </c>
      <c r="U134" s="5">
        <v>46294</v>
      </c>
      <c r="V134" s="6" t="s">
        <v>1252</v>
      </c>
      <c r="W134" s="9" t="s">
        <v>27</v>
      </c>
      <c r="X134" s="10" t="s">
        <v>25</v>
      </c>
      <c r="Y134" s="8"/>
    </row>
    <row r="135" spans="1:25" ht="50.1" customHeight="1" thickBot="1" x14ac:dyDescent="0.3">
      <c r="A135" s="4" t="s">
        <v>1253</v>
      </c>
      <c r="B135" s="6" t="s">
        <v>1254</v>
      </c>
      <c r="C135" s="5">
        <v>46274</v>
      </c>
      <c r="D135" s="6" t="s">
        <v>103</v>
      </c>
      <c r="E135" s="6" t="s">
        <v>39</v>
      </c>
      <c r="F135" s="7" t="s">
        <v>1255</v>
      </c>
      <c r="G135" s="6" t="s">
        <v>30</v>
      </c>
      <c r="H135" s="6">
        <v>503</v>
      </c>
      <c r="I135" s="6" t="s">
        <v>31</v>
      </c>
      <c r="J135" s="6" t="s">
        <v>93</v>
      </c>
      <c r="K135" s="6" t="s">
        <v>25</v>
      </c>
      <c r="L135" s="7" t="s">
        <v>1256</v>
      </c>
      <c r="M135" s="8"/>
      <c r="N135" s="8"/>
      <c r="O135" s="8"/>
      <c r="P135" s="6">
        <v>14</v>
      </c>
      <c r="Q135" s="5">
        <v>46294</v>
      </c>
      <c r="R135" s="5">
        <v>46274</v>
      </c>
      <c r="S135" s="6" t="s">
        <v>26</v>
      </c>
      <c r="T135" s="6" t="s">
        <v>26</v>
      </c>
      <c r="U135" s="5">
        <v>46294</v>
      </c>
      <c r="V135" s="6" t="s">
        <v>1257</v>
      </c>
      <c r="W135" s="9" t="s">
        <v>27</v>
      </c>
      <c r="X135" s="10" t="s">
        <v>25</v>
      </c>
      <c r="Y135" s="8"/>
    </row>
    <row r="136" spans="1:25" ht="50.1" customHeight="1" thickBot="1" x14ac:dyDescent="0.3">
      <c r="A136" s="872" t="s">
        <v>1258</v>
      </c>
      <c r="B136" s="6" t="s">
        <v>1259</v>
      </c>
      <c r="C136" s="5">
        <v>46275</v>
      </c>
      <c r="D136" s="6" t="s">
        <v>19</v>
      </c>
      <c r="E136" s="6" t="s">
        <v>468</v>
      </c>
      <c r="F136" s="7" t="s">
        <v>1260</v>
      </c>
      <c r="G136" s="6" t="s">
        <v>34</v>
      </c>
      <c r="H136" s="6">
        <v>106</v>
      </c>
      <c r="I136" s="6" t="s">
        <v>112</v>
      </c>
      <c r="J136" s="6" t="s">
        <v>53</v>
      </c>
      <c r="K136" s="6" t="s">
        <v>47</v>
      </c>
      <c r="L136" s="7" t="s">
        <v>1261</v>
      </c>
      <c r="M136" s="8"/>
      <c r="N136" s="8"/>
      <c r="O136" s="8"/>
      <c r="P136" s="6">
        <v>14</v>
      </c>
      <c r="Q136" s="5">
        <v>46294</v>
      </c>
      <c r="R136" s="5">
        <v>46274</v>
      </c>
      <c r="S136" s="6" t="s">
        <v>26</v>
      </c>
      <c r="T136" s="6" t="s">
        <v>26</v>
      </c>
      <c r="U136" s="5">
        <v>46294</v>
      </c>
      <c r="V136" s="6" t="s">
        <v>1262</v>
      </c>
      <c r="W136" s="9" t="s">
        <v>27</v>
      </c>
      <c r="X136" s="10" t="s">
        <v>25</v>
      </c>
      <c r="Y136" s="8"/>
    </row>
    <row r="137" spans="1:25" ht="50.1" customHeight="1" thickBot="1" x14ac:dyDescent="0.3">
      <c r="A137" s="872" t="s">
        <v>1263</v>
      </c>
      <c r="B137" s="6" t="s">
        <v>1264</v>
      </c>
      <c r="C137" s="5">
        <v>46275</v>
      </c>
      <c r="D137" s="6" t="s">
        <v>19</v>
      </c>
      <c r="E137" s="6" t="s">
        <v>39</v>
      </c>
      <c r="F137" s="7" t="s">
        <v>40</v>
      </c>
      <c r="G137" s="6" t="s">
        <v>34</v>
      </c>
      <c r="H137" s="6">
        <v>114</v>
      </c>
      <c r="I137" s="6" t="s">
        <v>41</v>
      </c>
      <c r="J137" s="6" t="s">
        <v>42</v>
      </c>
      <c r="K137" s="8"/>
      <c r="L137" s="7" t="s">
        <v>1265</v>
      </c>
      <c r="M137" s="8"/>
      <c r="N137" s="8"/>
      <c r="O137" s="8"/>
      <c r="P137" s="6">
        <v>14</v>
      </c>
      <c r="Q137" s="5">
        <v>46295</v>
      </c>
      <c r="R137" s="8"/>
      <c r="S137" s="8"/>
      <c r="T137" s="8"/>
      <c r="U137" s="8"/>
      <c r="V137" s="8"/>
      <c r="W137" s="562" t="s">
        <v>461</v>
      </c>
      <c r="X137" s="6"/>
      <c r="Y137" s="8"/>
    </row>
    <row r="138" spans="1:25" ht="50.1" customHeight="1" thickBot="1" x14ac:dyDescent="0.3">
      <c r="A138" s="872" t="s">
        <v>1266</v>
      </c>
      <c r="B138" s="6" t="s">
        <v>1267</v>
      </c>
      <c r="C138" s="5">
        <v>46275</v>
      </c>
      <c r="D138" s="6" t="s">
        <v>28</v>
      </c>
      <c r="E138" s="6" t="s">
        <v>20</v>
      </c>
      <c r="F138" s="7" t="s">
        <v>1268</v>
      </c>
      <c r="G138" s="6" t="s">
        <v>30</v>
      </c>
      <c r="H138" s="6">
        <v>503</v>
      </c>
      <c r="I138" s="6" t="s">
        <v>31</v>
      </c>
      <c r="J138" s="6" t="s">
        <v>463</v>
      </c>
      <c r="K138" s="8"/>
      <c r="L138" s="147" t="s">
        <v>490</v>
      </c>
      <c r="M138" s="8"/>
      <c r="N138" s="8"/>
      <c r="O138" s="6" t="s">
        <v>621</v>
      </c>
      <c r="P138" s="6">
        <v>14</v>
      </c>
      <c r="Q138" s="5">
        <v>46295</v>
      </c>
      <c r="R138" s="8"/>
      <c r="S138" s="8"/>
      <c r="T138" s="8"/>
      <c r="U138" s="8"/>
      <c r="V138" s="8"/>
      <c r="W138" s="562" t="s">
        <v>461</v>
      </c>
      <c r="X138" s="6"/>
      <c r="Y138" s="8"/>
    </row>
    <row r="139" spans="1:25" ht="50.1" customHeight="1" thickBot="1" x14ac:dyDescent="0.3">
      <c r="A139" s="872" t="s">
        <v>1269</v>
      </c>
      <c r="B139" s="6" t="s">
        <v>1270</v>
      </c>
      <c r="C139" s="5">
        <v>46275</v>
      </c>
      <c r="D139" s="6" t="s">
        <v>19</v>
      </c>
      <c r="E139" s="6" t="s">
        <v>29</v>
      </c>
      <c r="F139" s="7" t="s">
        <v>92</v>
      </c>
      <c r="G139" s="6" t="s">
        <v>34</v>
      </c>
      <c r="H139" s="6">
        <v>106</v>
      </c>
      <c r="I139" s="6" t="s">
        <v>112</v>
      </c>
      <c r="J139" s="6" t="s">
        <v>53</v>
      </c>
      <c r="K139" s="8"/>
      <c r="L139" s="7" t="s">
        <v>1271</v>
      </c>
      <c r="M139" s="6">
        <v>1224780</v>
      </c>
      <c r="N139" s="8"/>
      <c r="O139" s="8"/>
      <c r="P139" s="6">
        <v>14</v>
      </c>
      <c r="Q139" s="5">
        <v>46295</v>
      </c>
      <c r="R139" s="8"/>
      <c r="S139" s="8"/>
      <c r="T139" s="8"/>
      <c r="U139" s="8"/>
      <c r="V139" s="8"/>
      <c r="W139" s="562" t="s">
        <v>461</v>
      </c>
      <c r="X139" s="6"/>
      <c r="Y139" s="8"/>
    </row>
    <row r="140" spans="1:25" ht="50.1" customHeight="1" thickBot="1" x14ac:dyDescent="0.3">
      <c r="A140" s="872" t="s">
        <v>1272</v>
      </c>
      <c r="B140" s="6" t="s">
        <v>1273</v>
      </c>
      <c r="C140" s="5">
        <v>46275</v>
      </c>
      <c r="D140" s="6" t="s">
        <v>33</v>
      </c>
      <c r="E140" s="6" t="s">
        <v>61</v>
      </c>
      <c r="F140" s="7" t="s">
        <v>1274</v>
      </c>
      <c r="G140" s="6" t="s">
        <v>22</v>
      </c>
      <c r="H140" s="6">
        <v>316</v>
      </c>
      <c r="I140" s="6" t="s">
        <v>23</v>
      </c>
      <c r="J140" s="6" t="s">
        <v>175</v>
      </c>
      <c r="K140" s="6" t="s">
        <v>25</v>
      </c>
      <c r="L140" s="7" t="s">
        <v>1275</v>
      </c>
      <c r="M140" s="8"/>
      <c r="N140" s="8"/>
      <c r="O140" s="8"/>
      <c r="P140" s="6">
        <v>14</v>
      </c>
      <c r="Q140" s="5">
        <v>46295</v>
      </c>
      <c r="R140" s="5">
        <v>46275</v>
      </c>
      <c r="S140" s="6" t="s">
        <v>26</v>
      </c>
      <c r="T140" s="6" t="s">
        <v>26</v>
      </c>
      <c r="U140" s="5">
        <v>46294</v>
      </c>
      <c r="V140" s="6" t="s">
        <v>1276</v>
      </c>
      <c r="W140" s="9" t="s">
        <v>27</v>
      </c>
      <c r="X140" s="10" t="s">
        <v>25</v>
      </c>
      <c r="Y140" s="8"/>
    </row>
    <row r="141" spans="1:25" ht="50.1" customHeight="1" thickBot="1" x14ac:dyDescent="0.3">
      <c r="A141" s="872" t="s">
        <v>1277</v>
      </c>
      <c r="B141" s="6" t="s">
        <v>1278</v>
      </c>
      <c r="C141" s="5">
        <v>46275</v>
      </c>
      <c r="D141" s="6" t="s">
        <v>19</v>
      </c>
      <c r="E141" s="6" t="s">
        <v>39</v>
      </c>
      <c r="F141" s="7" t="s">
        <v>553</v>
      </c>
      <c r="G141" s="6" t="s">
        <v>34</v>
      </c>
      <c r="H141" s="6">
        <v>114</v>
      </c>
      <c r="I141" s="6" t="s">
        <v>41</v>
      </c>
      <c r="J141" s="6" t="s">
        <v>42</v>
      </c>
      <c r="K141" s="8"/>
      <c r="L141" s="7" t="s">
        <v>1279</v>
      </c>
      <c r="M141" s="8"/>
      <c r="N141" s="8"/>
      <c r="O141" s="8"/>
      <c r="P141" s="6">
        <v>14</v>
      </c>
      <c r="Q141" s="5">
        <v>46295</v>
      </c>
      <c r="R141" s="8"/>
      <c r="S141" s="8"/>
      <c r="T141" s="8"/>
      <c r="U141" s="8"/>
      <c r="V141" s="8"/>
      <c r="W141" s="562" t="s">
        <v>461</v>
      </c>
      <c r="X141" s="6"/>
      <c r="Y141" s="8"/>
    </row>
    <row r="142" spans="1:25" ht="50.1" customHeight="1" thickBot="1" x14ac:dyDescent="0.3">
      <c r="A142" s="872" t="s">
        <v>1280</v>
      </c>
      <c r="B142" s="6" t="s">
        <v>1281</v>
      </c>
      <c r="C142" s="5">
        <v>46275</v>
      </c>
      <c r="D142" s="6" t="s">
        <v>33</v>
      </c>
      <c r="E142" s="6" t="s">
        <v>20</v>
      </c>
      <c r="F142" s="7" t="s">
        <v>1282</v>
      </c>
      <c r="G142" s="6" t="s">
        <v>34</v>
      </c>
      <c r="H142" s="6">
        <v>127</v>
      </c>
      <c r="I142" s="6" t="s">
        <v>88</v>
      </c>
      <c r="J142" s="6" t="s">
        <v>71</v>
      </c>
      <c r="K142" s="8"/>
      <c r="L142" s="7" t="s">
        <v>1283</v>
      </c>
      <c r="M142" s="8"/>
      <c r="N142" s="8"/>
      <c r="O142" s="8"/>
      <c r="P142" s="6">
        <v>14</v>
      </c>
      <c r="Q142" s="5">
        <v>46295</v>
      </c>
      <c r="R142" s="8"/>
      <c r="S142" s="8"/>
      <c r="T142" s="8"/>
      <c r="U142" s="8"/>
      <c r="V142" s="8"/>
      <c r="W142" s="562" t="s">
        <v>461</v>
      </c>
      <c r="X142" s="6"/>
      <c r="Y142" s="8"/>
    </row>
    <row r="143" spans="1:25" ht="50.1" customHeight="1" thickBot="1" x14ac:dyDescent="0.3">
      <c r="A143" s="872" t="s">
        <v>1284</v>
      </c>
      <c r="B143" s="6" t="s">
        <v>1285</v>
      </c>
      <c r="C143" s="5">
        <v>46275</v>
      </c>
      <c r="D143" s="6" t="s">
        <v>19</v>
      </c>
      <c r="E143" s="6" t="s">
        <v>20</v>
      </c>
      <c r="F143" s="7" t="s">
        <v>1286</v>
      </c>
      <c r="G143" s="6" t="s">
        <v>22</v>
      </c>
      <c r="H143" s="6">
        <v>316</v>
      </c>
      <c r="I143" s="6" t="s">
        <v>23</v>
      </c>
      <c r="J143" s="6" t="s">
        <v>288</v>
      </c>
      <c r="K143" s="6" t="s">
        <v>25</v>
      </c>
      <c r="L143" s="7" t="s">
        <v>1287</v>
      </c>
      <c r="M143" s="6">
        <v>1252794</v>
      </c>
      <c r="N143" s="8"/>
      <c r="O143" s="8"/>
      <c r="P143" s="6">
        <v>14</v>
      </c>
      <c r="Q143" s="5">
        <v>46295</v>
      </c>
      <c r="R143" s="5">
        <v>46275</v>
      </c>
      <c r="S143" s="6" t="s">
        <v>26</v>
      </c>
      <c r="T143" s="6" t="s">
        <v>26</v>
      </c>
      <c r="U143" s="5">
        <v>46294</v>
      </c>
      <c r="V143" s="6" t="s">
        <v>1288</v>
      </c>
      <c r="W143" s="9" t="s">
        <v>27</v>
      </c>
      <c r="X143" s="10" t="s">
        <v>25</v>
      </c>
      <c r="Y143" s="8"/>
    </row>
    <row r="144" spans="1:25" ht="50.1" customHeight="1" thickBot="1" x14ac:dyDescent="0.3">
      <c r="A144" s="4" t="s">
        <v>1289</v>
      </c>
      <c r="B144" s="6" t="s">
        <v>1290</v>
      </c>
      <c r="C144" s="5">
        <v>46275</v>
      </c>
      <c r="D144" s="6" t="s">
        <v>28</v>
      </c>
      <c r="E144" s="6" t="s">
        <v>84</v>
      </c>
      <c r="F144" s="7" t="s">
        <v>1291</v>
      </c>
      <c r="G144" s="6" t="s">
        <v>30</v>
      </c>
      <c r="H144" s="6">
        <v>503</v>
      </c>
      <c r="I144" s="6" t="s">
        <v>31</v>
      </c>
      <c r="J144" s="6" t="s">
        <v>59</v>
      </c>
      <c r="K144" s="6" t="s">
        <v>25</v>
      </c>
      <c r="L144" s="7" t="s">
        <v>1292</v>
      </c>
      <c r="M144" s="8"/>
      <c r="N144" s="8"/>
      <c r="O144" s="8"/>
      <c r="P144" s="6">
        <v>14</v>
      </c>
      <c r="Q144" s="5">
        <v>46295</v>
      </c>
      <c r="R144" s="5">
        <v>46275</v>
      </c>
      <c r="S144" s="6" t="s">
        <v>26</v>
      </c>
      <c r="T144" s="6" t="s">
        <v>26</v>
      </c>
      <c r="U144" s="5">
        <v>46294</v>
      </c>
      <c r="V144" s="6" t="s">
        <v>1293</v>
      </c>
      <c r="W144" s="9" t="s">
        <v>27</v>
      </c>
      <c r="X144" s="10" t="s">
        <v>25</v>
      </c>
      <c r="Y144" s="8"/>
    </row>
    <row r="145" spans="1:25" ht="50.1" customHeight="1" thickBot="1" x14ac:dyDescent="0.3">
      <c r="A145" s="872" t="s">
        <v>1294</v>
      </c>
      <c r="B145" s="6" t="s">
        <v>1295</v>
      </c>
      <c r="C145" s="5">
        <v>46275</v>
      </c>
      <c r="D145" s="6" t="s">
        <v>33</v>
      </c>
      <c r="E145" s="6" t="s">
        <v>61</v>
      </c>
      <c r="F145" s="7" t="s">
        <v>1296</v>
      </c>
      <c r="G145" s="6" t="s">
        <v>22</v>
      </c>
      <c r="H145" s="6">
        <v>316</v>
      </c>
      <c r="I145" s="6" t="s">
        <v>23</v>
      </c>
      <c r="J145" s="6" t="s">
        <v>173</v>
      </c>
      <c r="K145" s="8"/>
      <c r="L145" s="7" t="s">
        <v>1297</v>
      </c>
      <c r="M145" s="8"/>
      <c r="N145" s="8"/>
      <c r="O145" s="8"/>
      <c r="P145" s="6">
        <v>14</v>
      </c>
      <c r="Q145" s="5">
        <v>46295</v>
      </c>
      <c r="R145" s="5">
        <v>46275</v>
      </c>
      <c r="S145" s="6" t="s">
        <v>26</v>
      </c>
      <c r="T145" s="6" t="s">
        <v>26</v>
      </c>
      <c r="U145" s="5">
        <v>46294</v>
      </c>
      <c r="V145" s="6" t="s">
        <v>1298</v>
      </c>
      <c r="W145" s="9" t="s">
        <v>27</v>
      </c>
      <c r="X145" s="10" t="s">
        <v>25</v>
      </c>
      <c r="Y145" s="8"/>
    </row>
    <row r="146" spans="1:25" ht="50.1" customHeight="1" thickBot="1" x14ac:dyDescent="0.3">
      <c r="A146" s="872" t="s">
        <v>1299</v>
      </c>
      <c r="B146" s="6" t="s">
        <v>1300</v>
      </c>
      <c r="C146" s="5">
        <v>46275</v>
      </c>
      <c r="D146" s="6" t="s">
        <v>19</v>
      </c>
      <c r="E146" s="6" t="s">
        <v>20</v>
      </c>
      <c r="F146" s="7" t="s">
        <v>380</v>
      </c>
      <c r="G146" s="6" t="s">
        <v>22</v>
      </c>
      <c r="H146" s="6">
        <v>316</v>
      </c>
      <c r="I146" s="6" t="s">
        <v>23</v>
      </c>
      <c r="J146" s="6" t="s">
        <v>24</v>
      </c>
      <c r="K146" s="8"/>
      <c r="L146" s="7" t="s">
        <v>1301</v>
      </c>
      <c r="M146" s="6">
        <v>1242322</v>
      </c>
      <c r="N146" s="8"/>
      <c r="O146" s="8"/>
      <c r="P146" s="6">
        <v>14</v>
      </c>
      <c r="Q146" s="5">
        <v>46295</v>
      </c>
      <c r="R146" s="8"/>
      <c r="S146" s="8"/>
      <c r="T146" s="8"/>
      <c r="U146" s="8"/>
      <c r="V146" s="8"/>
      <c r="W146" s="562" t="s">
        <v>461</v>
      </c>
      <c r="X146" s="6"/>
      <c r="Y146" s="8"/>
    </row>
    <row r="147" spans="1:25" ht="50.1" customHeight="1" thickBot="1" x14ac:dyDescent="0.3">
      <c r="A147" s="4" t="s">
        <v>1302</v>
      </c>
      <c r="B147" s="6" t="s">
        <v>1303</v>
      </c>
      <c r="C147" s="5">
        <v>46275</v>
      </c>
      <c r="D147" s="6" t="s">
        <v>33</v>
      </c>
      <c r="E147" s="6" t="s">
        <v>460</v>
      </c>
      <c r="F147" s="7" t="s">
        <v>1304</v>
      </c>
      <c r="G147" s="6" t="s">
        <v>30</v>
      </c>
      <c r="H147" s="6">
        <v>503</v>
      </c>
      <c r="I147" s="6" t="s">
        <v>31</v>
      </c>
      <c r="J147" s="6" t="s">
        <v>59</v>
      </c>
      <c r="K147" s="8"/>
      <c r="L147" s="7" t="s">
        <v>1305</v>
      </c>
      <c r="M147" s="8"/>
      <c r="N147" s="8"/>
      <c r="O147" s="8"/>
      <c r="P147" s="6">
        <v>14</v>
      </c>
      <c r="Q147" s="5">
        <v>46295</v>
      </c>
      <c r="R147" s="5">
        <v>46275</v>
      </c>
      <c r="S147" s="6" t="s">
        <v>26</v>
      </c>
      <c r="T147" s="6" t="s">
        <v>26</v>
      </c>
      <c r="U147" s="5">
        <v>46283</v>
      </c>
      <c r="V147" s="6" t="s">
        <v>1306</v>
      </c>
      <c r="W147" s="9" t="s">
        <v>27</v>
      </c>
      <c r="X147" s="10" t="s">
        <v>25</v>
      </c>
      <c r="Y147" s="8"/>
    </row>
    <row r="148" spans="1:25" ht="50.1" customHeight="1" thickBot="1" x14ac:dyDescent="0.3">
      <c r="A148" s="872" t="s">
        <v>1307</v>
      </c>
      <c r="B148" s="6" t="s">
        <v>1308</v>
      </c>
      <c r="C148" s="5">
        <v>46275</v>
      </c>
      <c r="D148" s="6" t="s">
        <v>19</v>
      </c>
      <c r="E148" s="6" t="s">
        <v>20</v>
      </c>
      <c r="F148" s="7" t="s">
        <v>48</v>
      </c>
      <c r="G148" s="6" t="s">
        <v>22</v>
      </c>
      <c r="H148" s="6">
        <v>316</v>
      </c>
      <c r="I148" s="6" t="s">
        <v>23</v>
      </c>
      <c r="J148" s="6" t="s">
        <v>46</v>
      </c>
      <c r="K148" s="8"/>
      <c r="L148" s="7" t="s">
        <v>1309</v>
      </c>
      <c r="M148" s="6">
        <v>1218000</v>
      </c>
      <c r="N148" s="8"/>
      <c r="O148" s="8"/>
      <c r="P148" s="6">
        <v>14</v>
      </c>
      <c r="Q148" s="5">
        <v>46295</v>
      </c>
      <c r="R148" s="5">
        <v>46275</v>
      </c>
      <c r="S148" s="6" t="s">
        <v>26</v>
      </c>
      <c r="T148" s="6" t="s">
        <v>26</v>
      </c>
      <c r="U148" s="5">
        <v>46295</v>
      </c>
      <c r="V148" s="6" t="s">
        <v>1310</v>
      </c>
      <c r="W148" s="9" t="s">
        <v>27</v>
      </c>
      <c r="X148" s="10" t="s">
        <v>25</v>
      </c>
      <c r="Y148" s="8"/>
    </row>
    <row r="149" spans="1:25" ht="50.1" customHeight="1" thickBot="1" x14ac:dyDescent="0.3">
      <c r="A149" s="872" t="s">
        <v>1311</v>
      </c>
      <c r="B149" s="562" t="s">
        <v>1312</v>
      </c>
      <c r="C149" s="5">
        <v>46275</v>
      </c>
      <c r="D149" s="6" t="s">
        <v>33</v>
      </c>
      <c r="E149" s="6" t="s">
        <v>19</v>
      </c>
      <c r="F149" s="7" t="s">
        <v>1313</v>
      </c>
      <c r="G149" s="6" t="s">
        <v>30</v>
      </c>
      <c r="H149" s="6">
        <v>502</v>
      </c>
      <c r="I149" s="6" t="s">
        <v>37</v>
      </c>
      <c r="J149" s="6" t="s">
        <v>38</v>
      </c>
      <c r="K149" s="8"/>
      <c r="L149" s="7" t="s">
        <v>1314</v>
      </c>
      <c r="M149" s="8"/>
      <c r="N149" s="8"/>
      <c r="O149" s="8"/>
      <c r="P149" s="6">
        <v>14</v>
      </c>
      <c r="Q149" s="5">
        <v>46295</v>
      </c>
      <c r="R149" s="5">
        <v>46275</v>
      </c>
      <c r="S149" s="6" t="s">
        <v>26</v>
      </c>
      <c r="T149" s="6" t="s">
        <v>26</v>
      </c>
      <c r="U149" s="5">
        <v>46282</v>
      </c>
      <c r="V149" s="6" t="s">
        <v>1315</v>
      </c>
      <c r="W149" s="9" t="s">
        <v>27</v>
      </c>
      <c r="X149" s="10" t="s">
        <v>25</v>
      </c>
      <c r="Y149" s="8"/>
    </row>
    <row r="150" spans="1:25" ht="50.1" customHeight="1" thickBot="1" x14ac:dyDescent="0.3">
      <c r="A150" s="872" t="s">
        <v>1316</v>
      </c>
      <c r="B150" s="6" t="s">
        <v>1317</v>
      </c>
      <c r="C150" s="5">
        <v>46275</v>
      </c>
      <c r="D150" s="6" t="s">
        <v>19</v>
      </c>
      <c r="E150" s="6" t="s">
        <v>460</v>
      </c>
      <c r="F150" s="7" t="s">
        <v>1318</v>
      </c>
      <c r="G150" s="6" t="s">
        <v>22</v>
      </c>
      <c r="H150" s="6">
        <v>316</v>
      </c>
      <c r="I150" s="6" t="s">
        <v>23</v>
      </c>
      <c r="J150" s="6" t="s">
        <v>46</v>
      </c>
      <c r="K150" s="6" t="s">
        <v>25</v>
      </c>
      <c r="L150" s="7" t="s">
        <v>613</v>
      </c>
      <c r="M150" s="8"/>
      <c r="N150" s="8"/>
      <c r="O150" s="8"/>
      <c r="P150" s="6">
        <v>14</v>
      </c>
      <c r="Q150" s="5">
        <v>46295</v>
      </c>
      <c r="R150" s="5">
        <v>46275</v>
      </c>
      <c r="S150" s="6" t="s">
        <v>26</v>
      </c>
      <c r="T150" s="6" t="s">
        <v>26</v>
      </c>
      <c r="U150" s="5">
        <v>46282</v>
      </c>
      <c r="V150" s="6" t="s">
        <v>1319</v>
      </c>
      <c r="W150" s="9" t="s">
        <v>27</v>
      </c>
      <c r="X150" s="10" t="s">
        <v>25</v>
      </c>
      <c r="Y150" s="8"/>
    </row>
    <row r="151" spans="1:25" ht="50.1" customHeight="1" thickBot="1" x14ac:dyDescent="0.3">
      <c r="A151" s="872" t="s">
        <v>1320</v>
      </c>
      <c r="B151" s="6" t="s">
        <v>1321</v>
      </c>
      <c r="C151" s="5">
        <v>46275</v>
      </c>
      <c r="D151" s="6" t="s">
        <v>33</v>
      </c>
      <c r="E151" s="6" t="s">
        <v>39</v>
      </c>
      <c r="F151" s="7" t="s">
        <v>1322</v>
      </c>
      <c r="G151" s="6" t="s">
        <v>22</v>
      </c>
      <c r="H151" s="6">
        <v>311</v>
      </c>
      <c r="I151" s="6" t="s">
        <v>64</v>
      </c>
      <c r="J151" s="6" t="s">
        <v>72</v>
      </c>
      <c r="K151" s="6" t="s">
        <v>25</v>
      </c>
      <c r="L151" s="7" t="s">
        <v>1323</v>
      </c>
      <c r="M151" s="8"/>
      <c r="N151" s="8"/>
      <c r="O151" s="8"/>
      <c r="P151" s="6">
        <v>14</v>
      </c>
      <c r="Q151" s="5">
        <v>46295</v>
      </c>
      <c r="R151" s="5">
        <v>46275</v>
      </c>
      <c r="S151" s="6" t="s">
        <v>26</v>
      </c>
      <c r="T151" s="6" t="s">
        <v>26</v>
      </c>
      <c r="U151" s="5">
        <v>46295</v>
      </c>
      <c r="V151" s="6" t="s">
        <v>1324</v>
      </c>
      <c r="W151" s="9" t="s">
        <v>27</v>
      </c>
      <c r="X151" s="10" t="s">
        <v>25</v>
      </c>
      <c r="Y151" s="8"/>
    </row>
    <row r="152" spans="1:25" ht="50.1" customHeight="1" thickBot="1" x14ac:dyDescent="0.3">
      <c r="A152" s="4" t="s">
        <v>1325</v>
      </c>
      <c r="B152" s="6" t="s">
        <v>1326</v>
      </c>
      <c r="C152" s="5">
        <v>46275</v>
      </c>
      <c r="D152" s="6" t="s">
        <v>28</v>
      </c>
      <c r="E152" s="6" t="s">
        <v>67</v>
      </c>
      <c r="F152" s="7" t="s">
        <v>1327</v>
      </c>
      <c r="G152" s="6" t="s">
        <v>30</v>
      </c>
      <c r="H152" s="6">
        <v>503</v>
      </c>
      <c r="I152" s="6" t="s">
        <v>31</v>
      </c>
      <c r="J152" s="6" t="s">
        <v>1328</v>
      </c>
      <c r="K152" s="6" t="s">
        <v>25</v>
      </c>
      <c r="L152" s="7" t="s">
        <v>1329</v>
      </c>
      <c r="M152" s="8"/>
      <c r="N152" s="8"/>
      <c r="O152" s="6" t="s">
        <v>1330</v>
      </c>
      <c r="P152" s="6">
        <v>14</v>
      </c>
      <c r="Q152" s="5">
        <v>46295</v>
      </c>
      <c r="R152" s="5">
        <v>46275</v>
      </c>
      <c r="S152" s="6" t="s">
        <v>26</v>
      </c>
      <c r="T152" s="6" t="s">
        <v>26</v>
      </c>
      <c r="U152" s="5">
        <v>46295</v>
      </c>
      <c r="V152" s="6" t="s">
        <v>1331</v>
      </c>
      <c r="W152" s="9" t="s">
        <v>27</v>
      </c>
      <c r="X152" s="10" t="s">
        <v>25</v>
      </c>
      <c r="Y152" s="8"/>
    </row>
    <row r="153" spans="1:25" ht="50.1" customHeight="1" thickBot="1" x14ac:dyDescent="0.3">
      <c r="A153" s="872" t="s">
        <v>1332</v>
      </c>
      <c r="B153" s="6" t="s">
        <v>1333</v>
      </c>
      <c r="C153" s="5">
        <v>46275</v>
      </c>
      <c r="D153" s="6" t="s">
        <v>33</v>
      </c>
      <c r="E153" s="6" t="s">
        <v>29</v>
      </c>
      <c r="F153" s="7" t="s">
        <v>1334</v>
      </c>
      <c r="G153" s="6" t="s">
        <v>30</v>
      </c>
      <c r="H153" s="6">
        <v>503</v>
      </c>
      <c r="I153" s="6" t="s">
        <v>31</v>
      </c>
      <c r="J153" s="6" t="s">
        <v>68</v>
      </c>
      <c r="K153" s="8"/>
      <c r="L153" s="7" t="s">
        <v>474</v>
      </c>
      <c r="M153" s="8"/>
      <c r="N153" s="8"/>
      <c r="O153" s="8"/>
      <c r="P153" s="6">
        <v>14</v>
      </c>
      <c r="Q153" s="5">
        <v>46295</v>
      </c>
      <c r="R153" s="8"/>
      <c r="S153" s="8"/>
      <c r="T153" s="8"/>
      <c r="U153" s="8"/>
      <c r="V153" s="8"/>
      <c r="W153" s="562" t="s">
        <v>461</v>
      </c>
      <c r="X153" s="6"/>
      <c r="Y153" s="8"/>
    </row>
    <row r="154" spans="1:25" ht="50.1" customHeight="1" thickBot="1" x14ac:dyDescent="0.3">
      <c r="A154" s="4" t="s">
        <v>1325</v>
      </c>
      <c r="B154" s="6" t="s">
        <v>1335</v>
      </c>
      <c r="C154" s="5">
        <v>46275</v>
      </c>
      <c r="D154" s="6" t="s">
        <v>19</v>
      </c>
      <c r="E154" s="6" t="s">
        <v>61</v>
      </c>
      <c r="F154" s="7" t="s">
        <v>1336</v>
      </c>
      <c r="G154" s="6" t="s">
        <v>22</v>
      </c>
      <c r="H154" s="6">
        <v>316</v>
      </c>
      <c r="I154" s="6" t="s">
        <v>23</v>
      </c>
      <c r="J154" s="6" t="s">
        <v>175</v>
      </c>
      <c r="K154" s="8"/>
      <c r="L154" s="7" t="s">
        <v>1337</v>
      </c>
      <c r="M154" s="8"/>
      <c r="N154" s="8"/>
      <c r="O154" s="8"/>
      <c r="P154" s="6">
        <v>14</v>
      </c>
      <c r="Q154" s="5">
        <v>46295</v>
      </c>
      <c r="R154" s="5">
        <v>46275</v>
      </c>
      <c r="S154" s="6" t="s">
        <v>26</v>
      </c>
      <c r="T154" s="6" t="s">
        <v>26</v>
      </c>
      <c r="U154" s="5">
        <v>46295</v>
      </c>
      <c r="V154" s="6" t="s">
        <v>1338</v>
      </c>
      <c r="W154" s="9" t="s">
        <v>27</v>
      </c>
      <c r="X154" s="10" t="s">
        <v>25</v>
      </c>
      <c r="Y154" s="8"/>
    </row>
    <row r="155" spans="1:25" ht="50.1" customHeight="1" thickBot="1" x14ac:dyDescent="0.3">
      <c r="A155" s="872" t="s">
        <v>1339</v>
      </c>
      <c r="B155" s="6" t="s">
        <v>1340</v>
      </c>
      <c r="C155" s="5">
        <v>46275</v>
      </c>
      <c r="D155" s="6" t="s">
        <v>33</v>
      </c>
      <c r="E155" s="6" t="s">
        <v>63</v>
      </c>
      <c r="F155" s="7" t="s">
        <v>1341</v>
      </c>
      <c r="G155" s="6" t="s">
        <v>30</v>
      </c>
      <c r="H155" s="6">
        <v>502</v>
      </c>
      <c r="I155" s="6" t="s">
        <v>37</v>
      </c>
      <c r="J155" s="6" t="s">
        <v>38</v>
      </c>
      <c r="K155" s="6" t="s">
        <v>25</v>
      </c>
      <c r="L155" s="7" t="s">
        <v>592</v>
      </c>
      <c r="M155" s="8"/>
      <c r="N155" s="8"/>
      <c r="O155" s="6" t="s">
        <v>1342</v>
      </c>
      <c r="P155" s="6">
        <v>14</v>
      </c>
      <c r="Q155" s="5">
        <v>46295</v>
      </c>
      <c r="R155" s="5">
        <v>46275</v>
      </c>
      <c r="S155" s="6" t="s">
        <v>26</v>
      </c>
      <c r="T155" s="6" t="s">
        <v>26</v>
      </c>
      <c r="U155" s="5">
        <v>46295</v>
      </c>
      <c r="V155" s="6" t="s">
        <v>1343</v>
      </c>
      <c r="W155" s="9" t="s">
        <v>27</v>
      </c>
      <c r="X155" s="10" t="s">
        <v>25</v>
      </c>
      <c r="Y155" s="8"/>
    </row>
    <row r="156" spans="1:25" ht="50.1" customHeight="1" thickBot="1" x14ac:dyDescent="0.3">
      <c r="A156" s="4" t="s">
        <v>1344</v>
      </c>
      <c r="B156" s="6" t="s">
        <v>1345</v>
      </c>
      <c r="C156" s="5">
        <v>46275</v>
      </c>
      <c r="D156" s="6" t="s">
        <v>28</v>
      </c>
      <c r="E156" s="6" t="s">
        <v>39</v>
      </c>
      <c r="F156" s="7" t="s">
        <v>1346</v>
      </c>
      <c r="G156" s="6" t="s">
        <v>30</v>
      </c>
      <c r="H156" s="6">
        <v>503</v>
      </c>
      <c r="I156" s="6" t="s">
        <v>31</v>
      </c>
      <c r="J156" s="6" t="s">
        <v>60</v>
      </c>
      <c r="K156" s="8"/>
      <c r="L156" s="7" t="s">
        <v>627</v>
      </c>
      <c r="M156" s="8"/>
      <c r="N156" s="8"/>
      <c r="O156" s="6" t="s">
        <v>776</v>
      </c>
      <c r="P156" s="6">
        <v>14</v>
      </c>
      <c r="Q156" s="5">
        <v>46295</v>
      </c>
      <c r="R156" s="8"/>
      <c r="S156" s="8"/>
      <c r="T156" s="8"/>
      <c r="U156" s="8"/>
      <c r="V156" s="8"/>
      <c r="W156" s="562" t="s">
        <v>461</v>
      </c>
      <c r="X156" s="6"/>
      <c r="Y156" s="8"/>
    </row>
    <row r="157" spans="1:25" ht="50.1" customHeight="1" thickBot="1" x14ac:dyDescent="0.3">
      <c r="A157" s="872" t="s">
        <v>1347</v>
      </c>
      <c r="B157" s="6" t="s">
        <v>1348</v>
      </c>
      <c r="C157" s="5">
        <v>46276</v>
      </c>
      <c r="D157" s="6" t="s">
        <v>19</v>
      </c>
      <c r="E157" s="6" t="s">
        <v>29</v>
      </c>
      <c r="F157" s="7" t="s">
        <v>1349</v>
      </c>
      <c r="G157" s="6" t="s">
        <v>34</v>
      </c>
      <c r="H157" s="6">
        <v>122</v>
      </c>
      <c r="I157" s="6" t="s">
        <v>50</v>
      </c>
      <c r="J157" s="6" t="s">
        <v>285</v>
      </c>
      <c r="K157" s="8"/>
      <c r="L157" s="7" t="s">
        <v>1350</v>
      </c>
      <c r="M157" s="8"/>
      <c r="N157" s="8"/>
      <c r="O157" s="8"/>
      <c r="P157" s="6">
        <v>14</v>
      </c>
      <c r="Q157" s="5">
        <v>46295</v>
      </c>
      <c r="R157" s="8"/>
      <c r="S157" s="8"/>
      <c r="T157" s="8"/>
      <c r="U157" s="8"/>
      <c r="V157" s="8"/>
      <c r="W157" s="562" t="s">
        <v>461</v>
      </c>
      <c r="X157" s="6"/>
      <c r="Y157" s="8"/>
    </row>
    <row r="158" spans="1:25" ht="50.1" customHeight="1" thickBot="1" x14ac:dyDescent="0.3">
      <c r="A158" s="872" t="s">
        <v>1351</v>
      </c>
      <c r="B158" s="6" t="s">
        <v>1352</v>
      </c>
      <c r="C158" s="5">
        <v>46276</v>
      </c>
      <c r="D158" s="6" t="s">
        <v>19</v>
      </c>
      <c r="E158" s="6" t="s">
        <v>460</v>
      </c>
      <c r="F158" s="7" t="s">
        <v>1353</v>
      </c>
      <c r="G158" s="6" t="s">
        <v>22</v>
      </c>
      <c r="H158" s="6">
        <v>316</v>
      </c>
      <c r="I158" s="6" t="s">
        <v>23</v>
      </c>
      <c r="J158" s="6" t="s">
        <v>167</v>
      </c>
      <c r="K158" s="8"/>
      <c r="L158" s="7" t="s">
        <v>624</v>
      </c>
      <c r="M158" s="8"/>
      <c r="N158" s="8"/>
      <c r="O158" s="8"/>
      <c r="P158" s="6">
        <v>14</v>
      </c>
      <c r="Q158" s="5">
        <v>46296</v>
      </c>
      <c r="R158" s="8"/>
      <c r="S158" s="8"/>
      <c r="T158" s="8"/>
      <c r="U158" s="8"/>
      <c r="V158" s="8"/>
      <c r="W158" s="562" t="s">
        <v>461</v>
      </c>
      <c r="X158" s="6"/>
      <c r="Y158" s="8"/>
    </row>
    <row r="159" spans="1:25" ht="50.1" customHeight="1" thickBot="1" x14ac:dyDescent="0.3">
      <c r="A159" s="872" t="s">
        <v>1354</v>
      </c>
      <c r="B159" s="6" t="s">
        <v>1355</v>
      </c>
      <c r="C159" s="5">
        <v>46276</v>
      </c>
      <c r="D159" s="6" t="s">
        <v>33</v>
      </c>
      <c r="E159" s="6" t="s">
        <v>39</v>
      </c>
      <c r="F159" s="7" t="s">
        <v>1356</v>
      </c>
      <c r="G159" s="6" t="s">
        <v>34</v>
      </c>
      <c r="H159" s="6">
        <v>102</v>
      </c>
      <c r="I159" s="6" t="s">
        <v>70</v>
      </c>
      <c r="J159" s="6" t="s">
        <v>1357</v>
      </c>
      <c r="K159" s="8"/>
      <c r="L159" s="7" t="s">
        <v>1358</v>
      </c>
      <c r="M159" s="8"/>
      <c r="N159" s="8"/>
      <c r="O159" s="8"/>
      <c r="P159" s="6">
        <v>14</v>
      </c>
      <c r="Q159" s="5">
        <v>46296</v>
      </c>
      <c r="R159" s="8"/>
      <c r="S159" s="8"/>
      <c r="T159" s="8"/>
      <c r="U159" s="8"/>
      <c r="V159" s="8"/>
      <c r="W159" s="562" t="s">
        <v>461</v>
      </c>
      <c r="X159" s="6"/>
      <c r="Y159" s="8"/>
    </row>
    <row r="160" spans="1:25" ht="50.1" customHeight="1" thickBot="1" x14ac:dyDescent="0.3">
      <c r="A160" s="872" t="s">
        <v>1359</v>
      </c>
      <c r="B160" s="6" t="s">
        <v>1360</v>
      </c>
      <c r="C160" s="5">
        <v>46276</v>
      </c>
      <c r="D160" s="6" t="s">
        <v>28</v>
      </c>
      <c r="E160" s="6" t="s">
        <v>29</v>
      </c>
      <c r="F160" s="7" t="s">
        <v>1361</v>
      </c>
      <c r="G160" s="6" t="s">
        <v>34</v>
      </c>
      <c r="H160" s="6">
        <v>106</v>
      </c>
      <c r="I160" s="6" t="s">
        <v>112</v>
      </c>
      <c r="J160" s="6" t="s">
        <v>53</v>
      </c>
      <c r="K160" s="8"/>
      <c r="L160" s="7" t="s">
        <v>1362</v>
      </c>
      <c r="M160" s="8"/>
      <c r="N160" s="8"/>
      <c r="O160" s="8"/>
      <c r="P160" s="6">
        <v>14</v>
      </c>
      <c r="Q160" s="5">
        <v>46296</v>
      </c>
      <c r="R160" s="8"/>
      <c r="S160" s="8"/>
      <c r="T160" s="8"/>
      <c r="U160" s="8"/>
      <c r="V160" s="8"/>
      <c r="W160" s="562" t="s">
        <v>461</v>
      </c>
      <c r="X160" s="6"/>
      <c r="Y160" s="8"/>
    </row>
    <row r="161" spans="1:25" ht="50.1" customHeight="1" thickBot="1" x14ac:dyDescent="0.3">
      <c r="A161" s="4" t="s">
        <v>1363</v>
      </c>
      <c r="B161" s="6" t="s">
        <v>1364</v>
      </c>
      <c r="C161" s="5">
        <v>46276</v>
      </c>
      <c r="D161" s="6" t="s">
        <v>28</v>
      </c>
      <c r="E161" s="6" t="s">
        <v>67</v>
      </c>
      <c r="F161" s="7" t="s">
        <v>1365</v>
      </c>
      <c r="G161" s="6" t="s">
        <v>30</v>
      </c>
      <c r="H161" s="6">
        <v>503</v>
      </c>
      <c r="I161" s="6" t="s">
        <v>31</v>
      </c>
      <c r="J161" s="6" t="s">
        <v>494</v>
      </c>
      <c r="K161" s="8"/>
      <c r="L161" s="7" t="s">
        <v>627</v>
      </c>
      <c r="M161" s="8"/>
      <c r="N161" s="8"/>
      <c r="O161" s="8"/>
      <c r="P161" s="6">
        <v>14</v>
      </c>
      <c r="Q161" s="5">
        <v>46296</v>
      </c>
      <c r="R161" s="8"/>
      <c r="S161" s="8"/>
      <c r="T161" s="8"/>
      <c r="U161" s="8"/>
      <c r="V161" s="8"/>
      <c r="W161" s="562" t="s">
        <v>461</v>
      </c>
      <c r="X161" s="6"/>
      <c r="Y161" s="8"/>
    </row>
    <row r="162" spans="1:25" ht="50.1" customHeight="1" thickBot="1" x14ac:dyDescent="0.3">
      <c r="A162" s="872" t="s">
        <v>1366</v>
      </c>
      <c r="B162" s="6" t="s">
        <v>1367</v>
      </c>
      <c r="C162" s="5">
        <v>46276</v>
      </c>
      <c r="D162" s="6" t="s">
        <v>19</v>
      </c>
      <c r="E162" s="6" t="s">
        <v>39</v>
      </c>
      <c r="F162" s="7" t="s">
        <v>1368</v>
      </c>
      <c r="G162" s="6" t="s">
        <v>22</v>
      </c>
      <c r="H162" s="6">
        <v>311</v>
      </c>
      <c r="I162" s="6" t="s">
        <v>64</v>
      </c>
      <c r="J162" s="6" t="s">
        <v>72</v>
      </c>
      <c r="K162" s="8"/>
      <c r="L162" s="7" t="s">
        <v>1369</v>
      </c>
      <c r="M162" s="8"/>
      <c r="N162" s="8"/>
      <c r="O162" s="8"/>
      <c r="P162" s="6">
        <v>14</v>
      </c>
      <c r="Q162" s="5">
        <v>46296</v>
      </c>
      <c r="R162" s="8"/>
      <c r="S162" s="8"/>
      <c r="T162" s="8"/>
      <c r="U162" s="8"/>
      <c r="V162" s="8"/>
      <c r="W162" s="562" t="s">
        <v>461</v>
      </c>
      <c r="X162" s="6"/>
      <c r="Y162" s="8"/>
    </row>
    <row r="163" spans="1:25" ht="50.1" customHeight="1" thickBot="1" x14ac:dyDescent="0.3">
      <c r="A163" s="872" t="s">
        <v>1370</v>
      </c>
      <c r="B163" s="6" t="s">
        <v>1371</v>
      </c>
      <c r="C163" s="5">
        <v>46276</v>
      </c>
      <c r="D163" s="6" t="s">
        <v>19</v>
      </c>
      <c r="E163" s="6" t="s">
        <v>29</v>
      </c>
      <c r="F163" s="7" t="s">
        <v>1372</v>
      </c>
      <c r="G163" s="6" t="s">
        <v>34</v>
      </c>
      <c r="H163" s="6">
        <v>106</v>
      </c>
      <c r="I163" s="6" t="s">
        <v>112</v>
      </c>
      <c r="J163" s="6" t="s">
        <v>53</v>
      </c>
      <c r="K163" s="8"/>
      <c r="L163" s="7" t="s">
        <v>1373</v>
      </c>
      <c r="M163" s="8"/>
      <c r="N163" s="8"/>
      <c r="O163" s="8"/>
      <c r="P163" s="6">
        <v>14</v>
      </c>
      <c r="Q163" s="5">
        <v>46296</v>
      </c>
      <c r="R163" s="8"/>
      <c r="S163" s="8"/>
      <c r="T163" s="8"/>
      <c r="U163" s="8"/>
      <c r="V163" s="8"/>
      <c r="W163" s="562" t="s">
        <v>461</v>
      </c>
      <c r="X163" s="6"/>
      <c r="Y163" s="8"/>
    </row>
    <row r="164" spans="1:25" ht="50.1" customHeight="1" thickBot="1" x14ac:dyDescent="0.3">
      <c r="A164" s="872" t="s">
        <v>1374</v>
      </c>
      <c r="B164" s="6" t="s">
        <v>1375</v>
      </c>
      <c r="C164" s="5">
        <v>46276</v>
      </c>
      <c r="D164" s="6" t="s">
        <v>19</v>
      </c>
      <c r="E164" s="6" t="s">
        <v>29</v>
      </c>
      <c r="F164" s="7" t="s">
        <v>290</v>
      </c>
      <c r="G164" s="6" t="s">
        <v>34</v>
      </c>
      <c r="H164" s="6">
        <v>106</v>
      </c>
      <c r="I164" s="6" t="s">
        <v>112</v>
      </c>
      <c r="J164" s="6" t="s">
        <v>53</v>
      </c>
      <c r="K164" s="8"/>
      <c r="L164" s="7" t="s">
        <v>1376</v>
      </c>
      <c r="M164" s="8"/>
      <c r="N164" s="8"/>
      <c r="O164" s="8"/>
      <c r="P164" s="6">
        <v>14</v>
      </c>
      <c r="Q164" s="5">
        <v>46296</v>
      </c>
      <c r="R164" s="8"/>
      <c r="S164" s="8"/>
      <c r="T164" s="8"/>
      <c r="U164" s="8"/>
      <c r="V164" s="8"/>
      <c r="W164" s="562" t="s">
        <v>461</v>
      </c>
      <c r="X164" s="6"/>
      <c r="Y164" s="8"/>
    </row>
    <row r="165" spans="1:25" ht="50.1" customHeight="1" thickBot="1" x14ac:dyDescent="0.3">
      <c r="A165" s="872" t="s">
        <v>1377</v>
      </c>
      <c r="B165" s="6" t="s">
        <v>1378</v>
      </c>
      <c r="C165" s="5">
        <v>46276</v>
      </c>
      <c r="D165" s="6" t="s">
        <v>19</v>
      </c>
      <c r="E165" s="6" t="s">
        <v>39</v>
      </c>
      <c r="F165" s="7" t="s">
        <v>553</v>
      </c>
      <c r="G165" s="6" t="s">
        <v>34</v>
      </c>
      <c r="H165" s="6">
        <v>114</v>
      </c>
      <c r="I165" s="6" t="s">
        <v>41</v>
      </c>
      <c r="J165" s="6" t="s">
        <v>42</v>
      </c>
      <c r="K165" s="8"/>
      <c r="L165" s="7" t="s">
        <v>1379</v>
      </c>
      <c r="M165" s="8"/>
      <c r="N165" s="8"/>
      <c r="O165" s="8"/>
      <c r="P165" s="6">
        <v>14</v>
      </c>
      <c r="Q165" s="5">
        <v>46296</v>
      </c>
      <c r="R165" s="8"/>
      <c r="S165" s="8"/>
      <c r="T165" s="8"/>
      <c r="U165" s="8"/>
      <c r="V165" s="8"/>
      <c r="W165" s="562" t="s">
        <v>461</v>
      </c>
      <c r="X165" s="6"/>
      <c r="Y165" s="8"/>
    </row>
    <row r="166" spans="1:25" ht="50.1" customHeight="1" thickBot="1" x14ac:dyDescent="0.3">
      <c r="A166" s="872" t="s">
        <v>1380</v>
      </c>
      <c r="B166" s="6" t="s">
        <v>1381</v>
      </c>
      <c r="C166" s="5">
        <v>46276</v>
      </c>
      <c r="D166" s="6" t="s">
        <v>103</v>
      </c>
      <c r="E166" s="6" t="s">
        <v>460</v>
      </c>
      <c r="F166" s="7" t="s">
        <v>514</v>
      </c>
      <c r="G166" s="6" t="s">
        <v>22</v>
      </c>
      <c r="H166" s="6">
        <v>316</v>
      </c>
      <c r="I166" s="6" t="s">
        <v>23</v>
      </c>
      <c r="J166" s="6" t="s">
        <v>1382</v>
      </c>
      <c r="K166" s="8"/>
      <c r="L166" s="7" t="s">
        <v>1383</v>
      </c>
      <c r="M166" s="8"/>
      <c r="N166" s="8"/>
      <c r="O166" s="8"/>
      <c r="P166" s="6">
        <v>14</v>
      </c>
      <c r="Q166" s="5">
        <v>46296</v>
      </c>
      <c r="R166" s="8"/>
      <c r="S166" s="8"/>
      <c r="T166" s="8"/>
      <c r="U166" s="8"/>
      <c r="V166" s="8"/>
      <c r="W166" s="562" t="s">
        <v>461</v>
      </c>
      <c r="X166" s="6"/>
      <c r="Y166" s="8"/>
    </row>
    <row r="167" spans="1:25" ht="50.1" customHeight="1" thickBot="1" x14ac:dyDescent="0.3">
      <c r="A167" s="872" t="s">
        <v>1380</v>
      </c>
      <c r="B167" s="6" t="s">
        <v>1384</v>
      </c>
      <c r="C167" s="5">
        <v>46276</v>
      </c>
      <c r="D167" s="6" t="s">
        <v>103</v>
      </c>
      <c r="E167" s="6" t="s">
        <v>460</v>
      </c>
      <c r="F167" s="7" t="s">
        <v>514</v>
      </c>
      <c r="G167" s="6" t="s">
        <v>22</v>
      </c>
      <c r="H167" s="6">
        <v>316</v>
      </c>
      <c r="I167" s="6" t="s">
        <v>23</v>
      </c>
      <c r="J167" s="6" t="s">
        <v>1382</v>
      </c>
      <c r="K167" s="8"/>
      <c r="L167" s="7" t="s">
        <v>1383</v>
      </c>
      <c r="M167" s="8"/>
      <c r="N167" s="8"/>
      <c r="O167" s="8"/>
      <c r="P167" s="6">
        <v>14</v>
      </c>
      <c r="Q167" s="5">
        <v>46296</v>
      </c>
      <c r="R167" s="8"/>
      <c r="S167" s="8"/>
      <c r="T167" s="8"/>
      <c r="U167" s="8"/>
      <c r="V167" s="8"/>
      <c r="W167" s="562" t="s">
        <v>461</v>
      </c>
      <c r="X167" s="6"/>
      <c r="Y167" s="8"/>
    </row>
    <row r="168" spans="1:25" ht="50.1" customHeight="1" thickBot="1" x14ac:dyDescent="0.3">
      <c r="A168" s="872" t="s">
        <v>1385</v>
      </c>
      <c r="B168" s="6" t="s">
        <v>1386</v>
      </c>
      <c r="C168" s="5">
        <v>46276</v>
      </c>
      <c r="D168" s="6" t="s">
        <v>19</v>
      </c>
      <c r="E168" s="6" t="s">
        <v>460</v>
      </c>
      <c r="F168" s="7" t="s">
        <v>495</v>
      </c>
      <c r="G168" s="6" t="s">
        <v>22</v>
      </c>
      <c r="H168" s="6">
        <v>316</v>
      </c>
      <c r="I168" s="6" t="s">
        <v>23</v>
      </c>
      <c r="J168" s="6" t="s">
        <v>54</v>
      </c>
      <c r="K168" s="8"/>
      <c r="L168" s="7" t="s">
        <v>1387</v>
      </c>
      <c r="M168" s="8"/>
      <c r="N168" s="8"/>
      <c r="O168" s="8"/>
      <c r="P168" s="6">
        <v>14</v>
      </c>
      <c r="Q168" s="5">
        <v>46296</v>
      </c>
      <c r="R168" s="8"/>
      <c r="S168" s="8"/>
      <c r="T168" s="8"/>
      <c r="U168" s="8"/>
      <c r="V168" s="8"/>
      <c r="W168" s="562" t="s">
        <v>461</v>
      </c>
      <c r="X168" s="6"/>
      <c r="Y168" s="8"/>
    </row>
    <row r="169" spans="1:25" ht="50.1" customHeight="1" thickBot="1" x14ac:dyDescent="0.3">
      <c r="A169" s="872" t="s">
        <v>1388</v>
      </c>
      <c r="B169" s="6" t="s">
        <v>1389</v>
      </c>
      <c r="C169" s="5">
        <v>46276</v>
      </c>
      <c r="D169" s="6" t="s">
        <v>19</v>
      </c>
      <c r="E169" s="6" t="s">
        <v>460</v>
      </c>
      <c r="F169" s="7" t="s">
        <v>594</v>
      </c>
      <c r="G169" s="6" t="s">
        <v>22</v>
      </c>
      <c r="H169" s="6">
        <v>316</v>
      </c>
      <c r="I169" s="6" t="s">
        <v>23</v>
      </c>
      <c r="J169" s="6" t="s">
        <v>1382</v>
      </c>
      <c r="K169" s="8"/>
      <c r="L169" s="7" t="s">
        <v>1390</v>
      </c>
      <c r="M169" s="8"/>
      <c r="N169" s="8"/>
      <c r="O169" s="8"/>
      <c r="P169" s="6">
        <v>14</v>
      </c>
      <c r="Q169" s="5">
        <v>46296</v>
      </c>
      <c r="R169" s="8"/>
      <c r="S169" s="8"/>
      <c r="T169" s="8"/>
      <c r="U169" s="8"/>
      <c r="V169" s="8"/>
      <c r="W169" s="562" t="s">
        <v>461</v>
      </c>
      <c r="X169" s="6"/>
      <c r="Y169" s="8"/>
    </row>
    <row r="170" spans="1:25" ht="50.1" customHeight="1" thickBot="1" x14ac:dyDescent="0.3">
      <c r="A170" s="872" t="s">
        <v>1391</v>
      </c>
      <c r="B170" s="6" t="s">
        <v>1392</v>
      </c>
      <c r="C170" s="5">
        <v>46276</v>
      </c>
      <c r="D170" s="6" t="s">
        <v>19</v>
      </c>
      <c r="E170" s="6" t="s">
        <v>20</v>
      </c>
      <c r="F170" s="7" t="s">
        <v>286</v>
      </c>
      <c r="G170" s="6" t="s">
        <v>22</v>
      </c>
      <c r="H170" s="6">
        <v>316</v>
      </c>
      <c r="I170" s="6" t="s">
        <v>23</v>
      </c>
      <c r="J170" s="6" t="s">
        <v>288</v>
      </c>
      <c r="K170" s="8"/>
      <c r="L170" s="7" t="s">
        <v>1390</v>
      </c>
      <c r="M170" s="8"/>
      <c r="N170" s="8"/>
      <c r="O170" s="8"/>
      <c r="P170" s="6">
        <v>14</v>
      </c>
      <c r="Q170" s="5">
        <v>46296</v>
      </c>
      <c r="R170" s="8"/>
      <c r="S170" s="8"/>
      <c r="T170" s="8"/>
      <c r="U170" s="8"/>
      <c r="V170" s="8"/>
      <c r="W170" s="562" t="s">
        <v>461</v>
      </c>
      <c r="X170" s="6"/>
      <c r="Y170" s="8"/>
    </row>
    <row r="171" spans="1:25" ht="50.1" customHeight="1" thickBot="1" x14ac:dyDescent="0.3">
      <c r="A171" s="4" t="s">
        <v>1393</v>
      </c>
      <c r="B171" s="6" t="s">
        <v>1394</v>
      </c>
      <c r="C171" s="5">
        <v>46276</v>
      </c>
      <c r="D171" s="6" t="s">
        <v>103</v>
      </c>
      <c r="E171" s="6" t="s">
        <v>39</v>
      </c>
      <c r="F171" s="7" t="s">
        <v>462</v>
      </c>
      <c r="G171" s="6" t="s">
        <v>30</v>
      </c>
      <c r="H171" s="6">
        <v>503</v>
      </c>
      <c r="I171" s="6" t="s">
        <v>64</v>
      </c>
      <c r="J171" s="6" t="s">
        <v>93</v>
      </c>
      <c r="K171" s="8"/>
      <c r="L171" s="7" t="s">
        <v>1395</v>
      </c>
      <c r="M171" s="8"/>
      <c r="N171" s="8"/>
      <c r="O171" s="8"/>
      <c r="P171" s="6">
        <v>14</v>
      </c>
      <c r="Q171" s="5">
        <v>46296</v>
      </c>
      <c r="R171" s="8"/>
      <c r="S171" s="8"/>
      <c r="T171" s="8"/>
      <c r="U171" s="8"/>
      <c r="V171" s="8"/>
      <c r="W171" s="562" t="s">
        <v>461</v>
      </c>
      <c r="X171" s="6"/>
      <c r="Y171" s="8"/>
    </row>
    <row r="172" spans="1:25" ht="50.1" customHeight="1" thickBot="1" x14ac:dyDescent="0.3">
      <c r="A172" s="4" t="s">
        <v>1396</v>
      </c>
      <c r="B172" s="6" t="s">
        <v>1397</v>
      </c>
      <c r="C172" s="5">
        <v>46276</v>
      </c>
      <c r="D172" s="6" t="s">
        <v>103</v>
      </c>
      <c r="E172" s="6" t="s">
        <v>39</v>
      </c>
      <c r="F172" s="7" t="s">
        <v>1398</v>
      </c>
      <c r="G172" s="6" t="s">
        <v>30</v>
      </c>
      <c r="H172" s="6">
        <v>503</v>
      </c>
      <c r="I172" s="6" t="s">
        <v>64</v>
      </c>
      <c r="J172" s="6" t="s">
        <v>93</v>
      </c>
      <c r="K172" s="8"/>
      <c r="L172" s="7" t="s">
        <v>1399</v>
      </c>
      <c r="M172" s="8"/>
      <c r="N172" s="8"/>
      <c r="O172" s="8"/>
      <c r="P172" s="6">
        <v>14</v>
      </c>
      <c r="Q172" s="5">
        <v>46296</v>
      </c>
      <c r="R172" s="8"/>
      <c r="S172" s="8"/>
      <c r="T172" s="8"/>
      <c r="U172" s="8"/>
      <c r="V172" s="8"/>
      <c r="W172" s="562" t="s">
        <v>461</v>
      </c>
      <c r="X172" s="6"/>
      <c r="Y172" s="8"/>
    </row>
    <row r="173" spans="1:25" ht="50.1" customHeight="1" thickBot="1" x14ac:dyDescent="0.3">
      <c r="A173" s="872" t="s">
        <v>1400</v>
      </c>
      <c r="B173" s="6" t="s">
        <v>1401</v>
      </c>
      <c r="C173" s="5">
        <v>46276</v>
      </c>
      <c r="D173" s="6" t="s">
        <v>19</v>
      </c>
      <c r="E173" s="6" t="s">
        <v>20</v>
      </c>
      <c r="F173" s="7" t="s">
        <v>1402</v>
      </c>
      <c r="G173" s="6" t="s">
        <v>22</v>
      </c>
      <c r="H173" s="6">
        <v>316</v>
      </c>
      <c r="I173" s="6" t="s">
        <v>23</v>
      </c>
      <c r="J173" s="6" t="s">
        <v>288</v>
      </c>
      <c r="K173" s="8"/>
      <c r="L173" s="7" t="s">
        <v>1403</v>
      </c>
      <c r="M173" s="8"/>
      <c r="N173" s="8"/>
      <c r="O173" s="8"/>
      <c r="P173" s="6">
        <v>14</v>
      </c>
      <c r="Q173" s="5">
        <v>46296</v>
      </c>
      <c r="R173" s="8"/>
      <c r="S173" s="8"/>
      <c r="T173" s="8"/>
      <c r="U173" s="8"/>
      <c r="V173" s="8"/>
      <c r="W173" s="562" t="s">
        <v>461</v>
      </c>
      <c r="X173" s="6"/>
      <c r="Y173" s="8"/>
    </row>
    <row r="174" spans="1:25" ht="50.1" customHeight="1" thickBot="1" x14ac:dyDescent="0.3">
      <c r="A174" s="872" t="s">
        <v>1404</v>
      </c>
      <c r="B174" s="6" t="s">
        <v>1405</v>
      </c>
      <c r="C174" s="5">
        <v>46277</v>
      </c>
      <c r="D174" s="6" t="s">
        <v>19</v>
      </c>
      <c r="E174" s="6" t="s">
        <v>29</v>
      </c>
      <c r="F174" s="7" t="s">
        <v>359</v>
      </c>
      <c r="G174" s="6" t="s">
        <v>34</v>
      </c>
      <c r="H174" s="6">
        <v>106</v>
      </c>
      <c r="I174" s="6" t="s">
        <v>112</v>
      </c>
      <c r="J174" s="6" t="s">
        <v>53</v>
      </c>
      <c r="K174" s="8"/>
      <c r="L174" s="7" t="s">
        <v>1406</v>
      </c>
      <c r="M174" s="6">
        <v>1120400</v>
      </c>
      <c r="N174" s="8"/>
      <c r="O174" s="8"/>
      <c r="P174" s="6">
        <v>14</v>
      </c>
      <c r="Q174" s="5">
        <v>46296</v>
      </c>
      <c r="R174" s="8"/>
      <c r="S174" s="8"/>
      <c r="T174" s="8"/>
      <c r="U174" s="8"/>
      <c r="V174" s="8"/>
      <c r="W174" s="562" t="s">
        <v>461</v>
      </c>
      <c r="X174" s="6"/>
      <c r="Y174" s="8"/>
    </row>
    <row r="175" spans="1:25" ht="50.1" customHeight="1" thickBot="1" x14ac:dyDescent="0.3">
      <c r="A175" s="4" t="s">
        <v>1407</v>
      </c>
      <c r="B175" s="6" t="s">
        <v>1408</v>
      </c>
      <c r="C175" s="5">
        <v>46279</v>
      </c>
      <c r="D175" s="6" t="s">
        <v>19</v>
      </c>
      <c r="E175" s="6" t="s">
        <v>39</v>
      </c>
      <c r="F175" s="7" t="s">
        <v>1409</v>
      </c>
      <c r="G175" s="6" t="s">
        <v>30</v>
      </c>
      <c r="H175" s="6">
        <v>503</v>
      </c>
      <c r="I175" s="6" t="s">
        <v>31</v>
      </c>
      <c r="J175" s="6" t="s">
        <v>93</v>
      </c>
      <c r="K175" s="8"/>
      <c r="L175" s="7" t="s">
        <v>1410</v>
      </c>
      <c r="M175" s="8"/>
      <c r="N175" s="8"/>
      <c r="O175" s="8"/>
      <c r="P175" s="6">
        <v>14</v>
      </c>
      <c r="Q175" s="5">
        <v>46296</v>
      </c>
      <c r="R175" s="8"/>
      <c r="S175" s="8"/>
      <c r="T175" s="8"/>
      <c r="U175" s="8"/>
      <c r="V175" s="8"/>
      <c r="W175" s="562" t="s">
        <v>461</v>
      </c>
      <c r="X175" s="6"/>
      <c r="Y175" s="8"/>
    </row>
    <row r="176" spans="1:25" ht="50.1" customHeight="1" thickBot="1" x14ac:dyDescent="0.3">
      <c r="A176" s="4" t="s">
        <v>1411</v>
      </c>
      <c r="B176" s="6" t="s">
        <v>1412</v>
      </c>
      <c r="C176" s="5">
        <v>46279</v>
      </c>
      <c r="D176" s="6" t="s">
        <v>28</v>
      </c>
      <c r="E176" s="6" t="s">
        <v>61</v>
      </c>
      <c r="F176" s="7" t="s">
        <v>1413</v>
      </c>
      <c r="G176" s="6" t="s">
        <v>22</v>
      </c>
      <c r="H176" s="6">
        <v>316</v>
      </c>
      <c r="I176" s="6" t="s">
        <v>23</v>
      </c>
      <c r="J176" s="6" t="s">
        <v>1414</v>
      </c>
      <c r="K176" s="8"/>
      <c r="L176" s="7" t="s">
        <v>1415</v>
      </c>
      <c r="M176" s="8"/>
      <c r="N176" s="8"/>
      <c r="O176" s="8"/>
      <c r="P176" s="6">
        <v>14</v>
      </c>
      <c r="Q176" s="5">
        <v>46297</v>
      </c>
      <c r="R176" s="8"/>
      <c r="S176" s="8"/>
      <c r="T176" s="8"/>
      <c r="U176" s="8"/>
      <c r="V176" s="8"/>
      <c r="W176" s="562" t="s">
        <v>461</v>
      </c>
      <c r="X176" s="6"/>
      <c r="Y176" s="8"/>
    </row>
    <row r="177" spans="1:25" ht="50.1" customHeight="1" thickBot="1" x14ac:dyDescent="0.3">
      <c r="A177" s="872" t="s">
        <v>1416</v>
      </c>
      <c r="B177" s="6" t="s">
        <v>1417</v>
      </c>
      <c r="C177" s="5">
        <v>46279</v>
      </c>
      <c r="D177" s="6" t="s">
        <v>19</v>
      </c>
      <c r="E177" s="6" t="s">
        <v>460</v>
      </c>
      <c r="F177" s="7" t="s">
        <v>1418</v>
      </c>
      <c r="G177" s="6" t="s">
        <v>22</v>
      </c>
      <c r="H177" s="6">
        <v>316</v>
      </c>
      <c r="I177" s="6" t="s">
        <v>23</v>
      </c>
      <c r="J177" s="6" t="s">
        <v>57</v>
      </c>
      <c r="K177" s="8"/>
      <c r="L177" s="7" t="s">
        <v>1419</v>
      </c>
      <c r="M177" s="8"/>
      <c r="N177" s="8"/>
      <c r="O177" s="8"/>
      <c r="P177" s="6">
        <v>14</v>
      </c>
      <c r="Q177" s="5">
        <v>46297</v>
      </c>
      <c r="R177" s="8"/>
      <c r="S177" s="8"/>
      <c r="T177" s="8"/>
      <c r="U177" s="8"/>
      <c r="V177" s="8"/>
      <c r="W177" s="562" t="s">
        <v>461</v>
      </c>
      <c r="X177" s="6"/>
      <c r="Y177" s="8"/>
    </row>
    <row r="178" spans="1:25" ht="50.1" customHeight="1" thickBot="1" x14ac:dyDescent="0.3">
      <c r="A178" s="872" t="s">
        <v>1420</v>
      </c>
      <c r="B178" s="6" t="s">
        <v>1421</v>
      </c>
      <c r="C178" s="5">
        <v>46279</v>
      </c>
      <c r="D178" s="6" t="s">
        <v>19</v>
      </c>
      <c r="E178" s="6" t="s">
        <v>29</v>
      </c>
      <c r="F178" s="7" t="s">
        <v>92</v>
      </c>
      <c r="G178" s="6" t="s">
        <v>34</v>
      </c>
      <c r="H178" s="6">
        <v>106</v>
      </c>
      <c r="I178" s="6" t="s">
        <v>112</v>
      </c>
      <c r="J178" s="6" t="s">
        <v>53</v>
      </c>
      <c r="K178" s="8"/>
      <c r="L178" s="7" t="s">
        <v>1422</v>
      </c>
      <c r="M178" s="6">
        <v>1128706</v>
      </c>
      <c r="N178" s="8"/>
      <c r="O178" s="8"/>
      <c r="P178" s="6">
        <v>14</v>
      </c>
      <c r="Q178" s="5">
        <v>46297</v>
      </c>
      <c r="R178" s="8"/>
      <c r="S178" s="8"/>
      <c r="T178" s="8"/>
      <c r="U178" s="8"/>
      <c r="V178" s="8"/>
      <c r="W178" s="562" t="s">
        <v>461</v>
      </c>
      <c r="X178" s="6"/>
      <c r="Y178" s="8"/>
    </row>
    <row r="179" spans="1:25" ht="50.1" customHeight="1" thickBot="1" x14ac:dyDescent="0.3">
      <c r="A179" s="4" t="s">
        <v>1423</v>
      </c>
      <c r="B179" s="6" t="s">
        <v>1424</v>
      </c>
      <c r="C179" s="5">
        <v>46279</v>
      </c>
      <c r="D179" s="6" t="s">
        <v>28</v>
      </c>
      <c r="E179" s="6" t="s">
        <v>84</v>
      </c>
      <c r="F179" s="7" t="s">
        <v>1425</v>
      </c>
      <c r="G179" s="6" t="s">
        <v>30</v>
      </c>
      <c r="H179" s="6">
        <v>503</v>
      </c>
      <c r="I179" s="6" t="s">
        <v>31</v>
      </c>
      <c r="J179" s="6" t="s">
        <v>1426</v>
      </c>
      <c r="K179" s="6" t="s">
        <v>25</v>
      </c>
      <c r="L179" s="7" t="s">
        <v>465</v>
      </c>
      <c r="M179" s="8"/>
      <c r="N179" s="8"/>
      <c r="O179" s="8"/>
      <c r="P179" s="6">
        <v>14</v>
      </c>
      <c r="Q179" s="5">
        <v>46297</v>
      </c>
      <c r="R179" s="5">
        <v>46279</v>
      </c>
      <c r="S179" s="6" t="s">
        <v>26</v>
      </c>
      <c r="T179" s="6" t="s">
        <v>26</v>
      </c>
      <c r="U179" s="5">
        <v>46283</v>
      </c>
      <c r="V179" s="6" t="s">
        <v>1222</v>
      </c>
      <c r="W179" s="9" t="s">
        <v>27</v>
      </c>
      <c r="X179" s="10" t="s">
        <v>25</v>
      </c>
      <c r="Y179" s="10" t="s">
        <v>25</v>
      </c>
    </row>
    <row r="180" spans="1:25" ht="50.1" customHeight="1" thickBot="1" x14ac:dyDescent="0.3">
      <c r="A180" s="872" t="s">
        <v>1427</v>
      </c>
      <c r="B180" s="6" t="s">
        <v>1428</v>
      </c>
      <c r="C180" s="5">
        <v>46279</v>
      </c>
      <c r="D180" s="6" t="s">
        <v>19</v>
      </c>
      <c r="E180" s="6" t="s">
        <v>20</v>
      </c>
      <c r="F180" s="7" t="s">
        <v>48</v>
      </c>
      <c r="G180" s="6" t="s">
        <v>22</v>
      </c>
      <c r="H180" s="6">
        <v>316</v>
      </c>
      <c r="I180" s="6" t="s">
        <v>23</v>
      </c>
      <c r="J180" s="6" t="s">
        <v>46</v>
      </c>
      <c r="K180" s="8"/>
      <c r="L180" s="7" t="s">
        <v>1429</v>
      </c>
      <c r="M180" s="6">
        <v>1180700</v>
      </c>
      <c r="N180" s="8"/>
      <c r="O180" s="8"/>
      <c r="P180" s="6">
        <v>14</v>
      </c>
      <c r="Q180" s="5">
        <v>46297</v>
      </c>
      <c r="R180" s="8"/>
      <c r="S180" s="8"/>
      <c r="T180" s="8"/>
      <c r="U180" s="8"/>
      <c r="V180" s="8"/>
      <c r="W180" s="562" t="s">
        <v>461</v>
      </c>
      <c r="X180" s="6"/>
      <c r="Y180" s="8"/>
    </row>
    <row r="181" spans="1:25" ht="50.1" customHeight="1" thickBot="1" x14ac:dyDescent="0.3">
      <c r="A181" s="872" t="s">
        <v>1430</v>
      </c>
      <c r="B181" s="6" t="s">
        <v>1431</v>
      </c>
      <c r="C181" s="5">
        <v>46279</v>
      </c>
      <c r="D181" s="6" t="s">
        <v>28</v>
      </c>
      <c r="E181" s="6" t="s">
        <v>460</v>
      </c>
      <c r="F181" s="7" t="s">
        <v>1432</v>
      </c>
      <c r="G181" s="6" t="s">
        <v>22</v>
      </c>
      <c r="H181" s="6">
        <v>316</v>
      </c>
      <c r="I181" s="6" t="s">
        <v>23</v>
      </c>
      <c r="J181" s="6" t="s">
        <v>57</v>
      </c>
      <c r="K181" s="8"/>
      <c r="L181" s="7" t="s">
        <v>1383</v>
      </c>
      <c r="M181" s="8"/>
      <c r="N181" s="8"/>
      <c r="O181" s="8"/>
      <c r="P181" s="6">
        <v>14</v>
      </c>
      <c r="Q181" s="5">
        <v>46297</v>
      </c>
      <c r="R181" s="8"/>
      <c r="S181" s="8"/>
      <c r="T181" s="8"/>
      <c r="U181" s="8"/>
      <c r="V181" s="8"/>
      <c r="W181" s="562" t="s">
        <v>461</v>
      </c>
      <c r="X181" s="6"/>
      <c r="Y181" s="8"/>
    </row>
    <row r="182" spans="1:25" ht="50.1" customHeight="1" thickBot="1" x14ac:dyDescent="0.3">
      <c r="A182" s="872" t="s">
        <v>1433</v>
      </c>
      <c r="B182" s="6" t="s">
        <v>1434</v>
      </c>
      <c r="C182" s="5">
        <v>46279</v>
      </c>
      <c r="D182" s="6" t="s">
        <v>33</v>
      </c>
      <c r="E182" s="6" t="s">
        <v>460</v>
      </c>
      <c r="F182" s="7" t="s">
        <v>1435</v>
      </c>
      <c r="G182" s="6" t="s">
        <v>22</v>
      </c>
      <c r="H182" s="6">
        <v>316</v>
      </c>
      <c r="I182" s="6" t="s">
        <v>23</v>
      </c>
      <c r="J182" s="6" t="s">
        <v>173</v>
      </c>
      <c r="K182" s="6" t="s">
        <v>25</v>
      </c>
      <c r="L182" s="7" t="s">
        <v>1301</v>
      </c>
      <c r="M182" s="8"/>
      <c r="N182" s="8"/>
      <c r="O182" s="8"/>
      <c r="P182" s="6">
        <v>14</v>
      </c>
      <c r="Q182" s="5">
        <v>46297</v>
      </c>
      <c r="R182" s="5">
        <v>46279</v>
      </c>
      <c r="S182" s="6" t="s">
        <v>26</v>
      </c>
      <c r="T182" s="6" t="s">
        <v>26</v>
      </c>
      <c r="U182" s="5">
        <v>46294</v>
      </c>
      <c r="V182" s="6" t="s">
        <v>1436</v>
      </c>
      <c r="W182" s="9" t="s">
        <v>27</v>
      </c>
      <c r="X182" s="10" t="s">
        <v>25</v>
      </c>
      <c r="Y182" s="8"/>
    </row>
    <row r="183" spans="1:25" ht="50.1" customHeight="1" thickBot="1" x14ac:dyDescent="0.3">
      <c r="A183" s="872" t="s">
        <v>1437</v>
      </c>
      <c r="B183" s="6" t="s">
        <v>1438</v>
      </c>
      <c r="C183" s="5">
        <v>46279</v>
      </c>
      <c r="D183" s="6" t="s">
        <v>19</v>
      </c>
      <c r="E183" s="6" t="s">
        <v>20</v>
      </c>
      <c r="F183" s="7" t="s">
        <v>1439</v>
      </c>
      <c r="G183" s="6" t="s">
        <v>22</v>
      </c>
      <c r="H183" s="6">
        <v>304</v>
      </c>
      <c r="I183" s="6" t="s">
        <v>43</v>
      </c>
      <c r="J183" s="12" t="s">
        <v>44</v>
      </c>
      <c r="K183" s="8"/>
      <c r="L183" s="7" t="s">
        <v>1440</v>
      </c>
      <c r="M183" s="6">
        <v>1238512</v>
      </c>
      <c r="N183" s="8"/>
      <c r="O183" s="8"/>
      <c r="P183" s="6">
        <v>14</v>
      </c>
      <c r="Q183" s="5">
        <v>46297</v>
      </c>
      <c r="R183" s="8"/>
      <c r="S183" s="8"/>
      <c r="T183" s="8"/>
      <c r="U183" s="8"/>
      <c r="V183" s="8"/>
      <c r="W183" s="562" t="s">
        <v>461</v>
      </c>
      <c r="X183" s="6"/>
      <c r="Y183" s="8"/>
    </row>
    <row r="184" spans="1:25" ht="50.1" customHeight="1" thickBot="1" x14ac:dyDescent="0.3">
      <c r="A184" s="872" t="s">
        <v>1441</v>
      </c>
      <c r="B184" s="6" t="s">
        <v>1442</v>
      </c>
      <c r="C184" s="5">
        <v>46279</v>
      </c>
      <c r="D184" s="6" t="s">
        <v>19</v>
      </c>
      <c r="E184" s="6" t="s">
        <v>20</v>
      </c>
      <c r="F184" s="7" t="s">
        <v>1443</v>
      </c>
      <c r="G184" s="6" t="s">
        <v>22</v>
      </c>
      <c r="H184" s="6">
        <v>304</v>
      </c>
      <c r="I184" s="6" t="s">
        <v>43</v>
      </c>
      <c r="J184" s="12" t="s">
        <v>44</v>
      </c>
      <c r="K184" s="8"/>
      <c r="L184" s="7" t="s">
        <v>640</v>
      </c>
      <c r="M184" s="6">
        <v>1156300</v>
      </c>
      <c r="N184" s="8"/>
      <c r="O184" s="8"/>
      <c r="P184" s="6">
        <v>14</v>
      </c>
      <c r="Q184" s="5">
        <v>46297</v>
      </c>
      <c r="R184" s="8"/>
      <c r="S184" s="8"/>
      <c r="T184" s="8"/>
      <c r="U184" s="8"/>
      <c r="V184" s="8"/>
      <c r="W184" s="562" t="s">
        <v>461</v>
      </c>
      <c r="X184" s="6"/>
      <c r="Y184" s="8"/>
    </row>
    <row r="185" spans="1:25" ht="50.1" customHeight="1" thickBot="1" x14ac:dyDescent="0.3">
      <c r="A185" s="872" t="s">
        <v>1444</v>
      </c>
      <c r="B185" s="6" t="s">
        <v>1445</v>
      </c>
      <c r="C185" s="5">
        <v>46279</v>
      </c>
      <c r="D185" s="6" t="s">
        <v>19</v>
      </c>
      <c r="E185" s="6" t="s">
        <v>20</v>
      </c>
      <c r="F185" s="7" t="s">
        <v>505</v>
      </c>
      <c r="G185" s="6" t="s">
        <v>22</v>
      </c>
      <c r="H185" s="6">
        <v>316</v>
      </c>
      <c r="I185" s="6" t="s">
        <v>23</v>
      </c>
      <c r="J185" s="6" t="s">
        <v>24</v>
      </c>
      <c r="K185" s="8"/>
      <c r="L185" s="7" t="s">
        <v>1446</v>
      </c>
      <c r="M185" s="8"/>
      <c r="N185" s="8"/>
      <c r="O185" s="8"/>
      <c r="P185" s="6">
        <v>14</v>
      </c>
      <c r="Q185" s="5">
        <v>46297</v>
      </c>
      <c r="R185" s="8"/>
      <c r="S185" s="8"/>
      <c r="T185" s="8"/>
      <c r="U185" s="8"/>
      <c r="V185" s="8"/>
      <c r="W185" s="562" t="s">
        <v>461</v>
      </c>
      <c r="X185" s="6"/>
      <c r="Y185" s="8"/>
    </row>
    <row r="186" spans="1:25" ht="50.1" customHeight="1" thickBot="1" x14ac:dyDescent="0.3">
      <c r="A186" s="4" t="s">
        <v>1447</v>
      </c>
      <c r="B186" s="6" t="s">
        <v>1448</v>
      </c>
      <c r="C186" s="5">
        <v>46279</v>
      </c>
      <c r="D186" s="6" t="s">
        <v>19</v>
      </c>
      <c r="E186" s="6" t="s">
        <v>39</v>
      </c>
      <c r="F186" s="7" t="s">
        <v>1449</v>
      </c>
      <c r="G186" s="6" t="s">
        <v>30</v>
      </c>
      <c r="H186" s="6">
        <v>503</v>
      </c>
      <c r="I186" s="6" t="s">
        <v>31</v>
      </c>
      <c r="J186" s="6" t="s">
        <v>93</v>
      </c>
      <c r="K186" s="8"/>
      <c r="L186" s="7" t="s">
        <v>1450</v>
      </c>
      <c r="M186" s="6">
        <v>1147440</v>
      </c>
      <c r="N186" s="8"/>
      <c r="O186" s="8"/>
      <c r="P186" s="6">
        <v>14</v>
      </c>
      <c r="Q186" s="5">
        <v>46297</v>
      </c>
      <c r="R186" s="8"/>
      <c r="S186" s="8"/>
      <c r="T186" s="8"/>
      <c r="U186" s="8"/>
      <c r="V186" s="8"/>
      <c r="W186" s="562" t="s">
        <v>461</v>
      </c>
      <c r="X186" s="6"/>
      <c r="Y186" s="8"/>
    </row>
    <row r="187" spans="1:25" ht="50.1" customHeight="1" thickBot="1" x14ac:dyDescent="0.3">
      <c r="A187" s="4" t="s">
        <v>1451</v>
      </c>
      <c r="B187" s="6" t="s">
        <v>1452</v>
      </c>
      <c r="C187" s="5">
        <v>46279</v>
      </c>
      <c r="D187" s="6" t="s">
        <v>19</v>
      </c>
      <c r="E187" s="6" t="s">
        <v>39</v>
      </c>
      <c r="F187" s="7" t="s">
        <v>1453</v>
      </c>
      <c r="G187" s="6" t="s">
        <v>30</v>
      </c>
      <c r="H187" s="6">
        <v>503</v>
      </c>
      <c r="I187" s="6" t="s">
        <v>31</v>
      </c>
      <c r="J187" s="6" t="s">
        <v>93</v>
      </c>
      <c r="K187" s="8"/>
      <c r="L187" s="7" t="s">
        <v>1454</v>
      </c>
      <c r="M187" s="6">
        <v>1116260</v>
      </c>
      <c r="N187" s="8"/>
      <c r="O187" s="8"/>
      <c r="P187" s="6">
        <v>14</v>
      </c>
      <c r="Q187" s="5">
        <v>46297</v>
      </c>
      <c r="R187" s="8"/>
      <c r="S187" s="8"/>
      <c r="T187" s="8"/>
      <c r="U187" s="8"/>
      <c r="V187" s="8"/>
      <c r="W187" s="562" t="s">
        <v>461</v>
      </c>
      <c r="X187" s="6"/>
      <c r="Y187" s="8"/>
    </row>
    <row r="188" spans="1:25" ht="50.1" customHeight="1" thickBot="1" x14ac:dyDescent="0.3">
      <c r="A188" s="872" t="s">
        <v>1455</v>
      </c>
      <c r="B188" s="6" t="s">
        <v>1456</v>
      </c>
      <c r="C188" s="5">
        <v>46279</v>
      </c>
      <c r="D188" s="6" t="s">
        <v>19</v>
      </c>
      <c r="E188" s="6" t="s">
        <v>460</v>
      </c>
      <c r="F188" s="7" t="s">
        <v>1457</v>
      </c>
      <c r="G188" s="6" t="s">
        <v>34</v>
      </c>
      <c r="H188" s="6">
        <v>127</v>
      </c>
      <c r="I188" s="6" t="s">
        <v>88</v>
      </c>
      <c r="J188" s="6" t="s">
        <v>71</v>
      </c>
      <c r="K188" s="8"/>
      <c r="L188" s="7" t="s">
        <v>598</v>
      </c>
      <c r="M188" s="8"/>
      <c r="N188" s="8"/>
      <c r="O188" s="8"/>
      <c r="P188" s="6">
        <v>14</v>
      </c>
      <c r="Q188" s="5">
        <v>46297</v>
      </c>
      <c r="R188" s="8"/>
      <c r="S188" s="8"/>
      <c r="T188" s="8"/>
      <c r="U188" s="8"/>
      <c r="V188" s="8"/>
      <c r="W188" s="562" t="s">
        <v>461</v>
      </c>
      <c r="X188" s="6"/>
      <c r="Y188" s="8"/>
    </row>
    <row r="189" spans="1:25" ht="50.1" customHeight="1" thickBot="1" x14ac:dyDescent="0.3">
      <c r="A189" s="872" t="s">
        <v>1458</v>
      </c>
      <c r="B189" s="6" t="s">
        <v>1459</v>
      </c>
      <c r="C189" s="5">
        <v>46279</v>
      </c>
      <c r="D189" s="6" t="s">
        <v>19</v>
      </c>
      <c r="E189" s="6" t="s">
        <v>39</v>
      </c>
      <c r="F189" s="7" t="s">
        <v>1460</v>
      </c>
      <c r="G189" s="6" t="s">
        <v>34</v>
      </c>
      <c r="H189" s="6">
        <v>114</v>
      </c>
      <c r="I189" s="6" t="s">
        <v>41</v>
      </c>
      <c r="J189" s="6" t="s">
        <v>42</v>
      </c>
      <c r="K189" s="8"/>
      <c r="L189" s="7" t="s">
        <v>489</v>
      </c>
      <c r="M189" s="6">
        <v>1203060</v>
      </c>
      <c r="N189" s="8"/>
      <c r="O189" s="8"/>
      <c r="P189" s="6">
        <v>14</v>
      </c>
      <c r="Q189" s="5">
        <v>46297</v>
      </c>
      <c r="R189" s="8"/>
      <c r="S189" s="8"/>
      <c r="T189" s="8"/>
      <c r="U189" s="8"/>
      <c r="V189" s="8"/>
      <c r="W189" s="562" t="s">
        <v>461</v>
      </c>
      <c r="X189" s="6"/>
      <c r="Y189" s="8"/>
    </row>
    <row r="190" spans="1:25" ht="50.1" customHeight="1" thickBot="1" x14ac:dyDescent="0.3">
      <c r="A190" s="872" t="s">
        <v>1461</v>
      </c>
      <c r="B190" s="6" t="s">
        <v>1462</v>
      </c>
      <c r="C190" s="5">
        <v>46279</v>
      </c>
      <c r="D190" s="6" t="s">
        <v>33</v>
      </c>
      <c r="E190" s="6" t="s">
        <v>61</v>
      </c>
      <c r="F190" s="7" t="s">
        <v>1463</v>
      </c>
      <c r="G190" s="6" t="s">
        <v>22</v>
      </c>
      <c r="H190" s="6">
        <v>316</v>
      </c>
      <c r="I190" s="6" t="s">
        <v>23</v>
      </c>
      <c r="J190" s="6" t="s">
        <v>173</v>
      </c>
      <c r="K190" s="8"/>
      <c r="L190" s="7" t="s">
        <v>1464</v>
      </c>
      <c r="M190" s="8"/>
      <c r="N190" s="8"/>
      <c r="O190" s="8"/>
      <c r="P190" s="6">
        <v>14</v>
      </c>
      <c r="Q190" s="5">
        <v>46297</v>
      </c>
      <c r="R190" s="8"/>
      <c r="S190" s="8"/>
      <c r="T190" s="8"/>
      <c r="U190" s="8"/>
      <c r="V190" s="8"/>
      <c r="W190" s="562" t="s">
        <v>461</v>
      </c>
      <c r="X190" s="6"/>
      <c r="Y190" s="8"/>
    </row>
    <row r="191" spans="1:25" ht="50.1" customHeight="1" thickBot="1" x14ac:dyDescent="0.3">
      <c r="A191" s="872" t="s">
        <v>1465</v>
      </c>
      <c r="B191" s="6" t="s">
        <v>1466</v>
      </c>
      <c r="C191" s="5">
        <v>46279</v>
      </c>
      <c r="D191" s="6" t="s">
        <v>28</v>
      </c>
      <c r="E191" s="6" t="s">
        <v>29</v>
      </c>
      <c r="F191" s="7" t="s">
        <v>1467</v>
      </c>
      <c r="G191" s="6" t="s">
        <v>30</v>
      </c>
      <c r="H191" s="6">
        <v>503</v>
      </c>
      <c r="I191" s="6" t="s">
        <v>31</v>
      </c>
      <c r="J191" s="6" t="s">
        <v>32</v>
      </c>
      <c r="K191" s="8"/>
      <c r="L191" s="7" t="s">
        <v>591</v>
      </c>
      <c r="M191" s="8"/>
      <c r="N191" s="8"/>
      <c r="O191" s="8"/>
      <c r="P191" s="6">
        <v>14</v>
      </c>
      <c r="Q191" s="5">
        <v>46297</v>
      </c>
      <c r="R191" s="8"/>
      <c r="S191" s="8"/>
      <c r="T191" s="8"/>
      <c r="U191" s="8"/>
      <c r="V191" s="8"/>
      <c r="W191" s="562" t="s">
        <v>461</v>
      </c>
      <c r="X191" s="6"/>
      <c r="Y191" s="8"/>
    </row>
    <row r="192" spans="1:25" ht="50.1" customHeight="1" thickBot="1" x14ac:dyDescent="0.3">
      <c r="A192" s="4" t="s">
        <v>1468</v>
      </c>
      <c r="B192" s="6" t="s">
        <v>1469</v>
      </c>
      <c r="C192" s="5">
        <v>46279</v>
      </c>
      <c r="D192" s="6" t="s">
        <v>28</v>
      </c>
      <c r="E192" s="6" t="s">
        <v>39</v>
      </c>
      <c r="F192" s="7" t="s">
        <v>1470</v>
      </c>
      <c r="G192" s="6" t="s">
        <v>30</v>
      </c>
      <c r="H192" s="6">
        <v>503</v>
      </c>
      <c r="I192" s="6" t="s">
        <v>31</v>
      </c>
      <c r="J192" s="6" t="s">
        <v>93</v>
      </c>
      <c r="K192" s="8"/>
      <c r="L192" s="7" t="s">
        <v>1471</v>
      </c>
      <c r="M192" s="8"/>
      <c r="N192" s="8"/>
      <c r="O192" s="8"/>
      <c r="P192" s="6">
        <v>14</v>
      </c>
      <c r="Q192" s="5">
        <v>46297</v>
      </c>
      <c r="R192" s="8"/>
      <c r="S192" s="8"/>
      <c r="T192" s="8"/>
      <c r="U192" s="8"/>
      <c r="V192" s="8"/>
      <c r="W192" s="562" t="s">
        <v>461</v>
      </c>
      <c r="X192" s="6"/>
      <c r="Y192" s="8"/>
    </row>
    <row r="193" spans="1:25" ht="50.1" customHeight="1" thickBot="1" x14ac:dyDescent="0.3">
      <c r="A193" s="872" t="s">
        <v>1472</v>
      </c>
      <c r="B193" s="6" t="s">
        <v>1473</v>
      </c>
      <c r="C193" s="5">
        <v>46279</v>
      </c>
      <c r="D193" s="6" t="s">
        <v>28</v>
      </c>
      <c r="E193" s="6" t="s">
        <v>29</v>
      </c>
      <c r="F193" s="7" t="s">
        <v>1474</v>
      </c>
      <c r="G193" s="6" t="s">
        <v>30</v>
      </c>
      <c r="H193" s="6">
        <v>503</v>
      </c>
      <c r="I193" s="6" t="s">
        <v>31</v>
      </c>
      <c r="J193" s="6" t="s">
        <v>32</v>
      </c>
      <c r="K193" s="8"/>
      <c r="L193" s="7" t="s">
        <v>547</v>
      </c>
      <c r="M193" s="8"/>
      <c r="N193" s="8"/>
      <c r="O193" s="8"/>
      <c r="P193" s="6">
        <v>14</v>
      </c>
      <c r="Q193" s="5">
        <v>46297</v>
      </c>
      <c r="R193" s="8"/>
      <c r="S193" s="8"/>
      <c r="T193" s="8"/>
      <c r="U193" s="8"/>
      <c r="V193" s="8"/>
      <c r="W193" s="562" t="s">
        <v>461</v>
      </c>
      <c r="X193" s="6"/>
      <c r="Y193" s="8"/>
    </row>
    <row r="194" spans="1:25" ht="50.1" customHeight="1" thickBot="1" x14ac:dyDescent="0.3">
      <c r="A194" s="13"/>
      <c r="B194" s="6" t="s">
        <v>1475</v>
      </c>
      <c r="C194" s="5">
        <v>46280</v>
      </c>
      <c r="D194" s="6" t="s">
        <v>28</v>
      </c>
      <c r="E194" s="6" t="s">
        <v>29</v>
      </c>
      <c r="F194" s="7" t="s">
        <v>1476</v>
      </c>
      <c r="G194" s="6" t="s">
        <v>34</v>
      </c>
      <c r="H194" s="6">
        <v>118</v>
      </c>
      <c r="I194" s="6" t="s">
        <v>492</v>
      </c>
      <c r="J194" s="6" t="s">
        <v>1477</v>
      </c>
      <c r="K194" s="8"/>
      <c r="L194" s="7" t="s">
        <v>613</v>
      </c>
      <c r="M194" s="8"/>
      <c r="N194" s="8"/>
      <c r="O194" s="8"/>
      <c r="P194" s="6">
        <v>14</v>
      </c>
      <c r="Q194" s="5">
        <v>46297</v>
      </c>
      <c r="R194" s="8"/>
      <c r="S194" s="8"/>
      <c r="T194" s="8"/>
      <c r="U194" s="8"/>
      <c r="V194" s="8"/>
      <c r="W194" s="562" t="s">
        <v>461</v>
      </c>
      <c r="X194" s="6"/>
      <c r="Y194" s="8"/>
    </row>
    <row r="195" spans="1:25" ht="50.1" customHeight="1" thickBot="1" x14ac:dyDescent="0.3">
      <c r="A195" s="872" t="s">
        <v>1478</v>
      </c>
      <c r="B195" s="6" t="s">
        <v>1479</v>
      </c>
      <c r="C195" s="5">
        <v>46280</v>
      </c>
      <c r="D195" s="6" t="s">
        <v>19</v>
      </c>
      <c r="E195" s="6" t="s">
        <v>460</v>
      </c>
      <c r="F195" s="7" t="s">
        <v>1480</v>
      </c>
      <c r="G195" s="6" t="s">
        <v>34</v>
      </c>
      <c r="H195" s="6">
        <v>127</v>
      </c>
      <c r="I195" s="6" t="s">
        <v>88</v>
      </c>
      <c r="J195" s="6" t="s">
        <v>71</v>
      </c>
      <c r="K195" s="8"/>
      <c r="L195" s="7" t="s">
        <v>1481</v>
      </c>
      <c r="M195" s="6">
        <v>1114740</v>
      </c>
      <c r="N195" s="8"/>
      <c r="O195" s="8"/>
      <c r="P195" s="6">
        <v>14</v>
      </c>
      <c r="Q195" s="5">
        <v>46300</v>
      </c>
      <c r="R195" s="8"/>
      <c r="S195" s="8"/>
      <c r="T195" s="8"/>
      <c r="U195" s="8"/>
      <c r="V195" s="8"/>
      <c r="W195" s="14" t="s">
        <v>83</v>
      </c>
      <c r="X195" s="6"/>
      <c r="Y195" s="8"/>
    </row>
    <row r="196" spans="1:25" ht="50.1" customHeight="1" thickBot="1" x14ac:dyDescent="0.3">
      <c r="A196" s="872" t="s">
        <v>1482</v>
      </c>
      <c r="B196" s="6" t="s">
        <v>1483</v>
      </c>
      <c r="C196" s="5">
        <v>46280</v>
      </c>
      <c r="D196" s="6" t="s">
        <v>19</v>
      </c>
      <c r="E196" s="6" t="s">
        <v>20</v>
      </c>
      <c r="F196" s="7" t="s">
        <v>1484</v>
      </c>
      <c r="G196" s="6" t="s">
        <v>22</v>
      </c>
      <c r="H196" s="6">
        <v>316</v>
      </c>
      <c r="I196" s="6" t="s">
        <v>23</v>
      </c>
      <c r="J196" s="6" t="s">
        <v>46</v>
      </c>
      <c r="K196" s="8"/>
      <c r="L196" s="7" t="s">
        <v>1485</v>
      </c>
      <c r="M196" s="8"/>
      <c r="N196" s="8"/>
      <c r="O196" s="8"/>
      <c r="P196" s="6">
        <v>14</v>
      </c>
      <c r="Q196" s="5">
        <v>46300</v>
      </c>
      <c r="R196" s="8"/>
      <c r="S196" s="8"/>
      <c r="T196" s="8"/>
      <c r="U196" s="8"/>
      <c r="V196" s="8"/>
      <c r="W196" s="14" t="s">
        <v>83</v>
      </c>
      <c r="X196" s="6"/>
      <c r="Y196" s="8"/>
    </row>
    <row r="197" spans="1:25" ht="50.1" customHeight="1" thickBot="1" x14ac:dyDescent="0.3">
      <c r="A197" s="872" t="s">
        <v>1486</v>
      </c>
      <c r="B197" s="6" t="s">
        <v>1487</v>
      </c>
      <c r="C197" s="5">
        <v>46280</v>
      </c>
      <c r="D197" s="6" t="s">
        <v>33</v>
      </c>
      <c r="E197" s="6" t="s">
        <v>29</v>
      </c>
      <c r="F197" s="7" t="s">
        <v>1488</v>
      </c>
      <c r="G197" s="6" t="s">
        <v>30</v>
      </c>
      <c r="H197" s="6">
        <v>502</v>
      </c>
      <c r="I197" s="6" t="s">
        <v>37</v>
      </c>
      <c r="J197" s="6" t="s">
        <v>38</v>
      </c>
      <c r="K197" s="8"/>
      <c r="L197" s="7" t="s">
        <v>1489</v>
      </c>
      <c r="M197" s="8"/>
      <c r="N197" s="8"/>
      <c r="O197" s="8"/>
      <c r="P197" s="6">
        <v>14</v>
      </c>
      <c r="Q197" s="5">
        <v>46300</v>
      </c>
      <c r="R197" s="8"/>
      <c r="S197" s="8"/>
      <c r="T197" s="8"/>
      <c r="U197" s="8"/>
      <c r="V197" s="8"/>
      <c r="W197" s="14" t="s">
        <v>83</v>
      </c>
      <c r="X197" s="6"/>
      <c r="Y197" s="8"/>
    </row>
    <row r="198" spans="1:25" ht="50.1" customHeight="1" thickBot="1" x14ac:dyDescent="0.3">
      <c r="A198" s="872" t="s">
        <v>1490</v>
      </c>
      <c r="B198" s="6" t="s">
        <v>1491</v>
      </c>
      <c r="C198" s="5">
        <v>46280</v>
      </c>
      <c r="D198" s="6" t="s">
        <v>19</v>
      </c>
      <c r="E198" s="6" t="s">
        <v>460</v>
      </c>
      <c r="F198" s="7" t="s">
        <v>1492</v>
      </c>
      <c r="G198" s="6" t="s">
        <v>22</v>
      </c>
      <c r="H198" s="6">
        <v>316</v>
      </c>
      <c r="I198" s="6" t="s">
        <v>23</v>
      </c>
      <c r="J198" s="6" t="s">
        <v>167</v>
      </c>
      <c r="K198" s="8"/>
      <c r="L198" s="7" t="s">
        <v>1493</v>
      </c>
      <c r="M198" s="8"/>
      <c r="N198" s="8"/>
      <c r="O198" s="8"/>
      <c r="P198" s="6">
        <v>14</v>
      </c>
      <c r="Q198" s="5">
        <v>46300</v>
      </c>
      <c r="R198" s="8"/>
      <c r="S198" s="8"/>
      <c r="T198" s="8"/>
      <c r="U198" s="8"/>
      <c r="V198" s="8"/>
      <c r="W198" s="14" t="s">
        <v>83</v>
      </c>
      <c r="X198" s="6"/>
      <c r="Y198" s="8"/>
    </row>
    <row r="199" spans="1:25" ht="50.1" customHeight="1" thickBot="1" x14ac:dyDescent="0.3">
      <c r="A199" s="872" t="s">
        <v>1494</v>
      </c>
      <c r="B199" s="6" t="s">
        <v>1495</v>
      </c>
      <c r="C199" s="5">
        <v>46280</v>
      </c>
      <c r="D199" s="6" t="s">
        <v>19</v>
      </c>
      <c r="E199" s="6" t="s">
        <v>460</v>
      </c>
      <c r="F199" s="7" t="s">
        <v>1496</v>
      </c>
      <c r="G199" s="6" t="s">
        <v>34</v>
      </c>
      <c r="H199" s="6">
        <v>127</v>
      </c>
      <c r="I199" s="6" t="s">
        <v>88</v>
      </c>
      <c r="J199" s="6" t="s">
        <v>71</v>
      </c>
      <c r="K199" s="8"/>
      <c r="L199" s="7" t="s">
        <v>1497</v>
      </c>
      <c r="M199" s="6">
        <v>1254711</v>
      </c>
      <c r="N199" s="8"/>
      <c r="O199" s="8"/>
      <c r="P199" s="6">
        <v>14</v>
      </c>
      <c r="Q199" s="5">
        <v>46300</v>
      </c>
      <c r="R199" s="8"/>
      <c r="S199" s="8"/>
      <c r="T199" s="8"/>
      <c r="U199" s="8"/>
      <c r="V199" s="8"/>
      <c r="W199" s="14" t="s">
        <v>83</v>
      </c>
      <c r="X199" s="6"/>
      <c r="Y199" s="8"/>
    </row>
    <row r="200" spans="1:25" ht="50.1" customHeight="1" thickBot="1" x14ac:dyDescent="0.3">
      <c r="A200" s="872" t="s">
        <v>1498</v>
      </c>
      <c r="B200" s="6" t="s">
        <v>1499</v>
      </c>
      <c r="C200" s="5">
        <v>46280</v>
      </c>
      <c r="D200" s="6" t="s">
        <v>19</v>
      </c>
      <c r="E200" s="6" t="s">
        <v>460</v>
      </c>
      <c r="F200" s="7" t="s">
        <v>1500</v>
      </c>
      <c r="G200" s="6" t="s">
        <v>34</v>
      </c>
      <c r="H200" s="6">
        <v>127</v>
      </c>
      <c r="I200" s="6" t="s">
        <v>88</v>
      </c>
      <c r="J200" s="6" t="s">
        <v>71</v>
      </c>
      <c r="K200" s="8"/>
      <c r="L200" s="7" t="s">
        <v>1501</v>
      </c>
      <c r="M200" s="8"/>
      <c r="N200" s="8"/>
      <c r="O200" s="8"/>
      <c r="P200" s="6">
        <v>14</v>
      </c>
      <c r="Q200" s="5">
        <v>46300</v>
      </c>
      <c r="R200" s="8"/>
      <c r="S200" s="8"/>
      <c r="T200" s="8"/>
      <c r="U200" s="8"/>
      <c r="V200" s="8"/>
      <c r="W200" s="14" t="s">
        <v>83</v>
      </c>
      <c r="X200" s="6"/>
      <c r="Y200" s="8"/>
    </row>
    <row r="201" spans="1:25" ht="50.1" customHeight="1" thickBot="1" x14ac:dyDescent="0.3">
      <c r="A201" s="872" t="s">
        <v>1502</v>
      </c>
      <c r="B201" s="6" t="s">
        <v>1503</v>
      </c>
      <c r="C201" s="5">
        <v>46280</v>
      </c>
      <c r="D201" s="6" t="s">
        <v>28</v>
      </c>
      <c r="E201" s="6" t="s">
        <v>20</v>
      </c>
      <c r="F201" s="7" t="s">
        <v>1504</v>
      </c>
      <c r="G201" s="6" t="s">
        <v>34</v>
      </c>
      <c r="H201" s="6">
        <v>113</v>
      </c>
      <c r="I201" s="6" t="s">
        <v>35</v>
      </c>
      <c r="J201" s="6" t="s">
        <v>36</v>
      </c>
      <c r="K201" s="8"/>
      <c r="L201" s="7" t="s">
        <v>1505</v>
      </c>
      <c r="M201" s="8"/>
      <c r="N201" s="8"/>
      <c r="O201" s="8"/>
      <c r="P201" s="6">
        <v>14</v>
      </c>
      <c r="Q201" s="5">
        <v>46300</v>
      </c>
      <c r="R201" s="8"/>
      <c r="S201" s="8"/>
      <c r="T201" s="8"/>
      <c r="U201" s="8"/>
      <c r="V201" s="8"/>
      <c r="W201" s="14" t="s">
        <v>83</v>
      </c>
      <c r="X201" s="6"/>
      <c r="Y201" s="8"/>
    </row>
    <row r="202" spans="1:25" ht="50.1" customHeight="1" thickBot="1" x14ac:dyDescent="0.3">
      <c r="A202" s="4" t="s">
        <v>1506</v>
      </c>
      <c r="B202" s="6" t="s">
        <v>1507</v>
      </c>
      <c r="C202" s="5">
        <v>46280</v>
      </c>
      <c r="D202" s="6" t="s">
        <v>33</v>
      </c>
      <c r="E202" s="6" t="s">
        <v>63</v>
      </c>
      <c r="F202" s="7" t="s">
        <v>1508</v>
      </c>
      <c r="G202" s="6" t="s">
        <v>34</v>
      </c>
      <c r="H202" s="6">
        <v>119</v>
      </c>
      <c r="I202" s="6" t="s">
        <v>51</v>
      </c>
      <c r="J202" s="6" t="s">
        <v>52</v>
      </c>
      <c r="K202" s="8"/>
      <c r="L202" s="7" t="s">
        <v>1509</v>
      </c>
      <c r="M202" s="8"/>
      <c r="N202" s="8"/>
      <c r="O202" s="8"/>
      <c r="P202" s="6">
        <v>14</v>
      </c>
      <c r="Q202" s="5">
        <v>46300</v>
      </c>
      <c r="R202" s="8"/>
      <c r="S202" s="8"/>
      <c r="T202" s="8"/>
      <c r="U202" s="8"/>
      <c r="V202" s="8"/>
      <c r="W202" s="14" t="s">
        <v>83</v>
      </c>
      <c r="X202" s="6"/>
      <c r="Y202" s="8"/>
    </row>
    <row r="203" spans="1:25" ht="50.1" customHeight="1" thickBot="1" x14ac:dyDescent="0.3">
      <c r="A203" s="4" t="s">
        <v>1510</v>
      </c>
      <c r="B203" s="6" t="s">
        <v>1511</v>
      </c>
      <c r="C203" s="5">
        <v>46280</v>
      </c>
      <c r="D203" s="6" t="s">
        <v>33</v>
      </c>
      <c r="E203" s="6" t="s">
        <v>63</v>
      </c>
      <c r="F203" s="7" t="s">
        <v>1512</v>
      </c>
      <c r="G203" s="6" t="s">
        <v>22</v>
      </c>
      <c r="H203" s="6">
        <v>316</v>
      </c>
      <c r="I203" s="6" t="s">
        <v>23</v>
      </c>
      <c r="J203" s="6" t="s">
        <v>62</v>
      </c>
      <c r="K203" s="8"/>
      <c r="L203" s="7" t="s">
        <v>1509</v>
      </c>
      <c r="M203" s="8"/>
      <c r="N203" s="8"/>
      <c r="O203" s="8"/>
      <c r="P203" s="6">
        <v>14</v>
      </c>
      <c r="Q203" s="5">
        <v>46300</v>
      </c>
      <c r="R203" s="8"/>
      <c r="S203" s="8"/>
      <c r="T203" s="8"/>
      <c r="U203" s="8"/>
      <c r="V203" s="8"/>
      <c r="W203" s="14" t="s">
        <v>83</v>
      </c>
      <c r="X203" s="6"/>
      <c r="Y203" s="8"/>
    </row>
    <row r="204" spans="1:25" ht="50.1" customHeight="1" thickBot="1" x14ac:dyDescent="0.3">
      <c r="A204" s="872" t="s">
        <v>1513</v>
      </c>
      <c r="B204" s="6" t="s">
        <v>1514</v>
      </c>
      <c r="C204" s="5">
        <v>46280</v>
      </c>
      <c r="D204" s="6" t="s">
        <v>19</v>
      </c>
      <c r="E204" s="6" t="s">
        <v>20</v>
      </c>
      <c r="F204" s="7" t="s">
        <v>1515</v>
      </c>
      <c r="G204" s="6" t="s">
        <v>22</v>
      </c>
      <c r="H204" s="6">
        <v>316</v>
      </c>
      <c r="I204" s="6" t="s">
        <v>23</v>
      </c>
      <c r="J204" s="6" t="s">
        <v>24</v>
      </c>
      <c r="K204" s="8"/>
      <c r="L204" s="7" t="s">
        <v>1516</v>
      </c>
      <c r="M204" s="8"/>
      <c r="N204" s="8"/>
      <c r="O204" s="8"/>
      <c r="P204" s="6">
        <v>14</v>
      </c>
      <c r="Q204" s="5">
        <v>46300</v>
      </c>
      <c r="R204" s="8"/>
      <c r="S204" s="8"/>
      <c r="T204" s="8"/>
      <c r="U204" s="8"/>
      <c r="V204" s="8"/>
      <c r="W204" s="14" t="s">
        <v>83</v>
      </c>
      <c r="X204" s="6"/>
      <c r="Y204" s="8"/>
    </row>
    <row r="205" spans="1:25" ht="50.1" customHeight="1" thickBot="1" x14ac:dyDescent="0.3">
      <c r="A205" s="872" t="s">
        <v>1517</v>
      </c>
      <c r="B205" s="6" t="s">
        <v>1518</v>
      </c>
      <c r="C205" s="5">
        <v>46280</v>
      </c>
      <c r="D205" s="6" t="s">
        <v>28</v>
      </c>
      <c r="E205" s="6" t="s">
        <v>29</v>
      </c>
      <c r="F205" s="7" t="s">
        <v>1519</v>
      </c>
      <c r="G205" s="6" t="s">
        <v>30</v>
      </c>
      <c r="H205" s="6">
        <v>503</v>
      </c>
      <c r="I205" s="6" t="s">
        <v>31</v>
      </c>
      <c r="J205" s="6" t="s">
        <v>32</v>
      </c>
      <c r="K205" s="8"/>
      <c r="L205" s="7" t="s">
        <v>1520</v>
      </c>
      <c r="M205" s="8"/>
      <c r="N205" s="8"/>
      <c r="O205" s="6" t="s">
        <v>1521</v>
      </c>
      <c r="P205" s="6">
        <v>14</v>
      </c>
      <c r="Q205" s="5">
        <v>46300</v>
      </c>
      <c r="R205" s="8"/>
      <c r="S205" s="8"/>
      <c r="T205" s="8"/>
      <c r="U205" s="8"/>
      <c r="V205" s="8"/>
      <c r="W205" s="14" t="s">
        <v>83</v>
      </c>
      <c r="X205" s="6"/>
      <c r="Y205" s="8"/>
    </row>
    <row r="206" spans="1:25" ht="50.1" customHeight="1" thickBot="1" x14ac:dyDescent="0.3">
      <c r="A206" s="13"/>
      <c r="B206" s="6" t="s">
        <v>1522</v>
      </c>
      <c r="C206" s="5">
        <v>46280</v>
      </c>
      <c r="D206" s="6" t="s">
        <v>33</v>
      </c>
      <c r="E206" s="6" t="s">
        <v>20</v>
      </c>
      <c r="F206" s="7" t="s">
        <v>1504</v>
      </c>
      <c r="G206" s="6" t="s">
        <v>34</v>
      </c>
      <c r="H206" s="6">
        <v>113</v>
      </c>
      <c r="I206" s="6" t="s">
        <v>35</v>
      </c>
      <c r="J206" s="6" t="s">
        <v>36</v>
      </c>
      <c r="K206" s="8"/>
      <c r="L206" s="7" t="s">
        <v>1505</v>
      </c>
      <c r="M206" s="8"/>
      <c r="N206" s="8"/>
      <c r="O206" s="8"/>
      <c r="P206" s="6">
        <v>14</v>
      </c>
      <c r="Q206" s="5">
        <v>46300</v>
      </c>
      <c r="R206" s="8"/>
      <c r="S206" s="8"/>
      <c r="T206" s="8"/>
      <c r="U206" s="8"/>
      <c r="V206" s="8"/>
      <c r="W206" s="14" t="s">
        <v>83</v>
      </c>
      <c r="X206" s="6"/>
      <c r="Y206" s="8"/>
    </row>
    <row r="207" spans="1:25" ht="50.1" customHeight="1" thickBot="1" x14ac:dyDescent="0.3">
      <c r="A207" s="872" t="s">
        <v>1523</v>
      </c>
      <c r="B207" s="6" t="s">
        <v>1524</v>
      </c>
      <c r="C207" s="5">
        <v>46280</v>
      </c>
      <c r="D207" s="6" t="s">
        <v>19</v>
      </c>
      <c r="E207" s="6" t="s">
        <v>460</v>
      </c>
      <c r="F207" s="7" t="s">
        <v>1525</v>
      </c>
      <c r="G207" s="6" t="s">
        <v>34</v>
      </c>
      <c r="H207" s="6">
        <v>127</v>
      </c>
      <c r="I207" s="6" t="s">
        <v>88</v>
      </c>
      <c r="J207" s="6" t="s">
        <v>71</v>
      </c>
      <c r="K207" s="8"/>
      <c r="L207" s="7" t="s">
        <v>1526</v>
      </c>
      <c r="M207" s="8"/>
      <c r="N207" s="8"/>
      <c r="O207" s="8"/>
      <c r="P207" s="6">
        <v>14</v>
      </c>
      <c r="Q207" s="5">
        <v>46300</v>
      </c>
      <c r="R207" s="8"/>
      <c r="S207" s="8"/>
      <c r="T207" s="8"/>
      <c r="U207" s="8"/>
      <c r="V207" s="8"/>
      <c r="W207" s="14" t="s">
        <v>83</v>
      </c>
      <c r="X207" s="6"/>
      <c r="Y207" s="8"/>
    </row>
    <row r="208" spans="1:25" ht="50.1" customHeight="1" thickBot="1" x14ac:dyDescent="0.3">
      <c r="A208" s="872" t="s">
        <v>1527</v>
      </c>
      <c r="B208" s="6" t="s">
        <v>1528</v>
      </c>
      <c r="C208" s="5">
        <v>46280</v>
      </c>
      <c r="D208" s="6" t="s">
        <v>19</v>
      </c>
      <c r="E208" s="6" t="s">
        <v>39</v>
      </c>
      <c r="F208" s="7" t="s">
        <v>40</v>
      </c>
      <c r="G208" s="6" t="s">
        <v>34</v>
      </c>
      <c r="H208" s="6">
        <v>114</v>
      </c>
      <c r="I208" s="6" t="s">
        <v>41</v>
      </c>
      <c r="J208" s="6" t="s">
        <v>42</v>
      </c>
      <c r="K208" s="8"/>
      <c r="L208" s="7" t="s">
        <v>1529</v>
      </c>
      <c r="M208" s="6">
        <v>1207840</v>
      </c>
      <c r="N208" s="8"/>
      <c r="O208" s="8"/>
      <c r="P208" s="6">
        <v>14</v>
      </c>
      <c r="Q208" s="5">
        <v>46300</v>
      </c>
      <c r="R208" s="8"/>
      <c r="S208" s="8"/>
      <c r="T208" s="8"/>
      <c r="U208" s="8"/>
      <c r="V208" s="8"/>
      <c r="W208" s="14" t="s">
        <v>83</v>
      </c>
      <c r="X208" s="6"/>
      <c r="Y208" s="8"/>
    </row>
    <row r="209" spans="1:25" ht="50.1" customHeight="1" thickBot="1" x14ac:dyDescent="0.3">
      <c r="A209" s="872" t="s">
        <v>1530</v>
      </c>
      <c r="B209" s="6" t="s">
        <v>1531</v>
      </c>
      <c r="C209" s="5">
        <v>46280</v>
      </c>
      <c r="D209" s="6" t="s">
        <v>19</v>
      </c>
      <c r="E209" s="6" t="s">
        <v>20</v>
      </c>
      <c r="F209" s="7" t="s">
        <v>1532</v>
      </c>
      <c r="G209" s="6" t="s">
        <v>22</v>
      </c>
      <c r="H209" s="6">
        <v>316</v>
      </c>
      <c r="I209" s="6" t="s">
        <v>23</v>
      </c>
      <c r="J209" s="12" t="s">
        <v>173</v>
      </c>
      <c r="K209" s="8"/>
      <c r="L209" s="7" t="s">
        <v>648</v>
      </c>
      <c r="M209" s="8"/>
      <c r="N209" s="8"/>
      <c r="O209" s="8"/>
      <c r="P209" s="6">
        <v>14</v>
      </c>
      <c r="Q209" s="5">
        <v>46300</v>
      </c>
      <c r="R209" s="8"/>
      <c r="S209" s="8"/>
      <c r="T209" s="8"/>
      <c r="U209" s="8"/>
      <c r="V209" s="8"/>
      <c r="W209" s="14" t="s">
        <v>83</v>
      </c>
      <c r="X209" s="6"/>
      <c r="Y209" s="8"/>
    </row>
    <row r="210" spans="1:25" ht="50.1" customHeight="1" thickBot="1" x14ac:dyDescent="0.3">
      <c r="A210" s="872" t="s">
        <v>1533</v>
      </c>
      <c r="B210" s="6" t="s">
        <v>1534</v>
      </c>
      <c r="C210" s="5">
        <v>46280</v>
      </c>
      <c r="D210" s="6" t="s">
        <v>19</v>
      </c>
      <c r="E210" s="6" t="s">
        <v>20</v>
      </c>
      <c r="F210" s="7" t="s">
        <v>581</v>
      </c>
      <c r="G210" s="6" t="s">
        <v>22</v>
      </c>
      <c r="H210" s="6">
        <v>316</v>
      </c>
      <c r="I210" s="6" t="s">
        <v>23</v>
      </c>
      <c r="J210" s="6" t="s">
        <v>46</v>
      </c>
      <c r="K210" s="8"/>
      <c r="L210" s="7" t="s">
        <v>1535</v>
      </c>
      <c r="M210" s="8"/>
      <c r="N210" s="8"/>
      <c r="O210" s="8"/>
      <c r="P210" s="6">
        <v>14</v>
      </c>
      <c r="Q210" s="5">
        <v>46300</v>
      </c>
      <c r="R210" s="8"/>
      <c r="S210" s="8"/>
      <c r="T210" s="8"/>
      <c r="U210" s="8"/>
      <c r="V210" s="8"/>
      <c r="W210" s="14" t="s">
        <v>83</v>
      </c>
      <c r="X210" s="6"/>
      <c r="Y210" s="8"/>
    </row>
    <row r="211" spans="1:25" ht="50.1" customHeight="1" thickBot="1" x14ac:dyDescent="0.3">
      <c r="A211" s="872" t="s">
        <v>1536</v>
      </c>
      <c r="B211" s="6" t="s">
        <v>1537</v>
      </c>
      <c r="C211" s="5">
        <v>46280</v>
      </c>
      <c r="D211" s="6" t="s">
        <v>19</v>
      </c>
      <c r="E211" s="6" t="s">
        <v>460</v>
      </c>
      <c r="F211" s="7" t="s">
        <v>1538</v>
      </c>
      <c r="G211" s="6" t="s">
        <v>34</v>
      </c>
      <c r="H211" s="6">
        <v>127</v>
      </c>
      <c r="I211" s="6" t="s">
        <v>88</v>
      </c>
      <c r="J211" s="6" t="s">
        <v>71</v>
      </c>
      <c r="K211" s="8"/>
      <c r="L211" s="7" t="s">
        <v>1539</v>
      </c>
      <c r="M211" s="8"/>
      <c r="N211" s="8"/>
      <c r="O211" s="8"/>
      <c r="P211" s="6">
        <v>14</v>
      </c>
      <c r="Q211" s="5">
        <v>46300</v>
      </c>
      <c r="R211" s="8"/>
      <c r="S211" s="8"/>
      <c r="T211" s="8"/>
      <c r="U211" s="8"/>
      <c r="V211" s="8"/>
      <c r="W211" s="14" t="s">
        <v>83</v>
      </c>
      <c r="X211" s="6"/>
      <c r="Y211" s="8"/>
    </row>
    <row r="212" spans="1:25" ht="50.1" customHeight="1" thickBot="1" x14ac:dyDescent="0.3">
      <c r="A212" s="872" t="s">
        <v>1540</v>
      </c>
      <c r="B212" s="6" t="s">
        <v>1541</v>
      </c>
      <c r="C212" s="5">
        <v>46280</v>
      </c>
      <c r="D212" s="6" t="s">
        <v>19</v>
      </c>
      <c r="E212" s="6" t="s">
        <v>39</v>
      </c>
      <c r="F212" s="7" t="s">
        <v>58</v>
      </c>
      <c r="G212" s="6" t="s">
        <v>34</v>
      </c>
      <c r="H212" s="6">
        <v>114</v>
      </c>
      <c r="I212" s="6" t="s">
        <v>41</v>
      </c>
      <c r="J212" s="6" t="s">
        <v>42</v>
      </c>
      <c r="K212" s="8"/>
      <c r="L212" s="7" t="s">
        <v>1542</v>
      </c>
      <c r="M212" s="6">
        <v>1202640</v>
      </c>
      <c r="N212" s="8"/>
      <c r="O212" s="8"/>
      <c r="P212" s="6">
        <v>14</v>
      </c>
      <c r="Q212" s="5">
        <v>46300</v>
      </c>
      <c r="R212" s="8"/>
      <c r="S212" s="8"/>
      <c r="T212" s="8"/>
      <c r="U212" s="8"/>
      <c r="V212" s="8"/>
      <c r="W212" s="14" t="s">
        <v>83</v>
      </c>
      <c r="X212" s="6"/>
      <c r="Y212" s="8"/>
    </row>
    <row r="213" spans="1:25" ht="50.1" customHeight="1" thickBot="1" x14ac:dyDescent="0.3">
      <c r="A213" s="4" t="s">
        <v>1543</v>
      </c>
      <c r="B213" s="6" t="s">
        <v>1544</v>
      </c>
      <c r="C213" s="5">
        <v>46280</v>
      </c>
      <c r="D213" s="6" t="s">
        <v>103</v>
      </c>
      <c r="E213" s="6" t="s">
        <v>39</v>
      </c>
      <c r="F213" s="7" t="s">
        <v>462</v>
      </c>
      <c r="G213" s="6" t="s">
        <v>30</v>
      </c>
      <c r="H213" s="6">
        <v>503</v>
      </c>
      <c r="I213" s="6" t="s">
        <v>31</v>
      </c>
      <c r="J213" s="6" t="s">
        <v>93</v>
      </c>
      <c r="K213" s="8"/>
      <c r="L213" s="7" t="s">
        <v>1545</v>
      </c>
      <c r="M213" s="8"/>
      <c r="N213" s="8"/>
      <c r="O213" s="8"/>
      <c r="P213" s="6">
        <v>14</v>
      </c>
      <c r="Q213" s="5">
        <v>46300</v>
      </c>
      <c r="R213" s="8"/>
      <c r="S213" s="8"/>
      <c r="T213" s="8"/>
      <c r="U213" s="8"/>
      <c r="V213" s="8"/>
      <c r="W213" s="14" t="s">
        <v>83</v>
      </c>
      <c r="X213" s="6"/>
      <c r="Y213" s="8"/>
    </row>
    <row r="214" spans="1:25" ht="50.1" customHeight="1" thickBot="1" x14ac:dyDescent="0.3">
      <c r="A214" s="4" t="s">
        <v>1546</v>
      </c>
      <c r="B214" s="6" t="s">
        <v>1547</v>
      </c>
      <c r="C214" s="5">
        <v>46280</v>
      </c>
      <c r="D214" s="6" t="s">
        <v>28</v>
      </c>
      <c r="E214" s="6" t="s">
        <v>39</v>
      </c>
      <c r="F214" s="7" t="s">
        <v>1548</v>
      </c>
      <c r="G214" s="6" t="s">
        <v>30</v>
      </c>
      <c r="H214" s="6">
        <v>503</v>
      </c>
      <c r="I214" s="6" t="s">
        <v>31</v>
      </c>
      <c r="J214" s="6" t="s">
        <v>93</v>
      </c>
      <c r="K214" s="8"/>
      <c r="L214" s="7" t="s">
        <v>407</v>
      </c>
      <c r="M214" s="8"/>
      <c r="N214" s="8"/>
      <c r="O214" s="8"/>
      <c r="P214" s="6">
        <v>14</v>
      </c>
      <c r="Q214" s="5">
        <v>46300</v>
      </c>
      <c r="R214" s="8"/>
      <c r="S214" s="8"/>
      <c r="T214" s="8"/>
      <c r="U214" s="8"/>
      <c r="V214" s="8"/>
      <c r="W214" s="14" t="s">
        <v>83</v>
      </c>
      <c r="X214" s="6"/>
      <c r="Y214" s="8"/>
    </row>
    <row r="215" spans="1:25" ht="50.1" customHeight="1" thickBot="1" x14ac:dyDescent="0.3">
      <c r="A215" s="872" t="s">
        <v>1549</v>
      </c>
      <c r="B215" s="6" t="s">
        <v>1550</v>
      </c>
      <c r="C215" s="5">
        <v>46280</v>
      </c>
      <c r="D215" s="6" t="s">
        <v>19</v>
      </c>
      <c r="E215" s="6" t="s">
        <v>460</v>
      </c>
      <c r="F215" s="7" t="s">
        <v>1496</v>
      </c>
      <c r="G215" s="6" t="s">
        <v>34</v>
      </c>
      <c r="H215" s="6">
        <v>127</v>
      </c>
      <c r="I215" s="6" t="s">
        <v>88</v>
      </c>
      <c r="J215" s="6" t="s">
        <v>71</v>
      </c>
      <c r="K215" s="8"/>
      <c r="L215" s="7" t="s">
        <v>549</v>
      </c>
      <c r="M215" s="6">
        <v>1116360</v>
      </c>
      <c r="N215" s="8"/>
      <c r="O215" s="8"/>
      <c r="P215" s="6">
        <v>14</v>
      </c>
      <c r="Q215" s="5">
        <v>46300</v>
      </c>
      <c r="R215" s="8"/>
      <c r="S215" s="8"/>
      <c r="T215" s="8"/>
      <c r="U215" s="8"/>
      <c r="V215" s="8"/>
      <c r="W215" s="14" t="s">
        <v>83</v>
      </c>
      <c r="X215" s="6"/>
      <c r="Y215" s="8"/>
    </row>
    <row r="216" spans="1:25" ht="50.1" customHeight="1" thickBot="1" x14ac:dyDescent="0.3">
      <c r="A216" s="872" t="s">
        <v>1551</v>
      </c>
      <c r="B216" s="6" t="s">
        <v>1552</v>
      </c>
      <c r="C216" s="5">
        <v>46280</v>
      </c>
      <c r="D216" s="6" t="s">
        <v>19</v>
      </c>
      <c r="E216" s="6" t="s">
        <v>39</v>
      </c>
      <c r="F216" s="7" t="s">
        <v>40</v>
      </c>
      <c r="G216" s="6" t="s">
        <v>34</v>
      </c>
      <c r="H216" s="6">
        <v>114</v>
      </c>
      <c r="I216" s="6" t="s">
        <v>41</v>
      </c>
      <c r="J216" s="6" t="s">
        <v>42</v>
      </c>
      <c r="K216" s="8"/>
      <c r="L216" s="7" t="s">
        <v>1553</v>
      </c>
      <c r="M216" s="8"/>
      <c r="N216" s="8"/>
      <c r="O216" s="8"/>
      <c r="P216" s="6">
        <v>14</v>
      </c>
      <c r="Q216" s="5">
        <v>46300</v>
      </c>
      <c r="R216" s="8"/>
      <c r="S216" s="8"/>
      <c r="T216" s="8"/>
      <c r="U216" s="8"/>
      <c r="V216" s="8"/>
      <c r="W216" s="14" t="s">
        <v>83</v>
      </c>
      <c r="X216" s="6"/>
      <c r="Y216" s="8"/>
    </row>
    <row r="217" spans="1:25" ht="50.1" customHeight="1" thickBot="1" x14ac:dyDescent="0.3">
      <c r="A217" s="872" t="s">
        <v>1554</v>
      </c>
      <c r="B217" s="6" t="s">
        <v>1555</v>
      </c>
      <c r="C217" s="5">
        <v>46280</v>
      </c>
      <c r="D217" s="6" t="s">
        <v>33</v>
      </c>
      <c r="E217" s="6" t="s">
        <v>20</v>
      </c>
      <c r="F217" s="7" t="s">
        <v>1556</v>
      </c>
      <c r="G217" s="6" t="s">
        <v>34</v>
      </c>
      <c r="H217" s="6">
        <v>102</v>
      </c>
      <c r="I217" s="6" t="s">
        <v>70</v>
      </c>
      <c r="J217" s="6" t="s">
        <v>71</v>
      </c>
      <c r="K217" s="8"/>
      <c r="L217" s="7" t="s">
        <v>540</v>
      </c>
      <c r="M217" s="8"/>
      <c r="N217" s="8"/>
      <c r="O217" s="8"/>
      <c r="P217" s="6">
        <v>14</v>
      </c>
      <c r="Q217" s="5">
        <v>46300</v>
      </c>
      <c r="R217" s="8"/>
      <c r="S217" s="8"/>
      <c r="T217" s="8"/>
      <c r="U217" s="8"/>
      <c r="V217" s="8"/>
      <c r="W217" s="14" t="s">
        <v>83</v>
      </c>
      <c r="X217" s="6"/>
      <c r="Y217" s="8"/>
    </row>
    <row r="218" spans="1:25" ht="50.1" customHeight="1" thickBot="1" x14ac:dyDescent="0.3">
      <c r="A218" s="872" t="s">
        <v>1557</v>
      </c>
      <c r="B218" s="6" t="s">
        <v>1558</v>
      </c>
      <c r="C218" s="5">
        <v>46280</v>
      </c>
      <c r="D218" s="6" t="s">
        <v>33</v>
      </c>
      <c r="E218" s="6" t="s">
        <v>29</v>
      </c>
      <c r="F218" s="7" t="s">
        <v>1559</v>
      </c>
      <c r="G218" s="6" t="s">
        <v>34</v>
      </c>
      <c r="H218" s="6">
        <v>118</v>
      </c>
      <c r="I218" s="6" t="s">
        <v>492</v>
      </c>
      <c r="J218" s="6" t="s">
        <v>493</v>
      </c>
      <c r="K218" s="8"/>
      <c r="L218" s="7" t="s">
        <v>1560</v>
      </c>
      <c r="M218" s="8"/>
      <c r="N218" s="8"/>
      <c r="O218" s="8"/>
      <c r="P218" s="6">
        <v>14</v>
      </c>
      <c r="Q218" s="5">
        <v>46300</v>
      </c>
      <c r="R218" s="8"/>
      <c r="S218" s="8"/>
      <c r="T218" s="8"/>
      <c r="U218" s="8"/>
      <c r="V218" s="8"/>
      <c r="W218" s="14" t="s">
        <v>83</v>
      </c>
      <c r="X218" s="6"/>
      <c r="Y218" s="8"/>
    </row>
    <row r="219" spans="1:25" ht="50.1" customHeight="1" thickBot="1" x14ac:dyDescent="0.3">
      <c r="A219" s="4" t="s">
        <v>1561</v>
      </c>
      <c r="B219" s="6" t="s">
        <v>1562</v>
      </c>
      <c r="C219" s="5">
        <v>46280</v>
      </c>
      <c r="D219" s="6" t="s">
        <v>33</v>
      </c>
      <c r="E219" s="6" t="s">
        <v>39</v>
      </c>
      <c r="F219" s="7" t="s">
        <v>1563</v>
      </c>
      <c r="G219" s="6" t="s">
        <v>30</v>
      </c>
      <c r="H219" s="6">
        <v>503</v>
      </c>
      <c r="I219" s="6" t="s">
        <v>31</v>
      </c>
      <c r="J219" s="6" t="s">
        <v>512</v>
      </c>
      <c r="K219" s="8"/>
      <c r="L219" s="7" t="s">
        <v>1564</v>
      </c>
      <c r="M219" s="8"/>
      <c r="N219" s="8"/>
      <c r="O219" s="8"/>
      <c r="P219" s="6">
        <v>14</v>
      </c>
      <c r="Q219" s="5">
        <v>46300</v>
      </c>
      <c r="R219" s="8"/>
      <c r="S219" s="8"/>
      <c r="T219" s="8"/>
      <c r="U219" s="8"/>
      <c r="V219" s="8"/>
      <c r="W219" s="14" t="s">
        <v>83</v>
      </c>
      <c r="X219" s="6"/>
      <c r="Y219" s="8"/>
    </row>
    <row r="220" spans="1:25" ht="50.1" customHeight="1" thickBot="1" x14ac:dyDescent="0.3">
      <c r="A220" s="872" t="s">
        <v>1565</v>
      </c>
      <c r="B220" s="6" t="s">
        <v>1566</v>
      </c>
      <c r="C220" s="5">
        <v>46280</v>
      </c>
      <c r="D220" s="6" t="s">
        <v>28</v>
      </c>
      <c r="E220" s="6" t="s">
        <v>20</v>
      </c>
      <c r="F220" s="7" t="s">
        <v>1567</v>
      </c>
      <c r="G220" s="6" t="s">
        <v>22</v>
      </c>
      <c r="H220" s="6">
        <v>304</v>
      </c>
      <c r="I220" s="6" t="s">
        <v>43</v>
      </c>
      <c r="J220" s="12" t="s">
        <v>44</v>
      </c>
      <c r="K220" s="8"/>
      <c r="L220" s="7" t="s">
        <v>627</v>
      </c>
      <c r="M220" s="8"/>
      <c r="N220" s="8"/>
      <c r="O220" s="6" t="s">
        <v>776</v>
      </c>
      <c r="P220" s="6">
        <v>14</v>
      </c>
      <c r="Q220" s="5">
        <v>46300</v>
      </c>
      <c r="R220" s="8"/>
      <c r="S220" s="8"/>
      <c r="T220" s="8"/>
      <c r="U220" s="8"/>
      <c r="V220" s="8"/>
      <c r="W220" s="14" t="s">
        <v>83</v>
      </c>
      <c r="X220" s="6"/>
      <c r="Y220" s="8"/>
    </row>
    <row r="221" spans="1:25" ht="50.1" customHeight="1" thickBot="1" x14ac:dyDescent="0.3">
      <c r="A221" s="4" t="s">
        <v>1568</v>
      </c>
      <c r="B221" s="6" t="s">
        <v>1569</v>
      </c>
      <c r="C221" s="5">
        <v>46281</v>
      </c>
      <c r="D221" s="6" t="s">
        <v>28</v>
      </c>
      <c r="E221" s="6" t="s">
        <v>460</v>
      </c>
      <c r="F221" s="7" t="s">
        <v>1570</v>
      </c>
      <c r="G221" s="6" t="s">
        <v>30</v>
      </c>
      <c r="H221" s="6">
        <v>503</v>
      </c>
      <c r="I221" s="6" t="s">
        <v>31</v>
      </c>
      <c r="J221" s="6" t="s">
        <v>81</v>
      </c>
      <c r="K221" s="6" t="s">
        <v>25</v>
      </c>
      <c r="L221" s="147" t="s">
        <v>490</v>
      </c>
      <c r="M221" s="8"/>
      <c r="N221" s="8"/>
      <c r="O221" s="8"/>
      <c r="P221" s="6">
        <v>14</v>
      </c>
      <c r="Q221" s="5">
        <v>46300</v>
      </c>
      <c r="R221" s="6" t="s">
        <v>26</v>
      </c>
      <c r="S221" s="6" t="s">
        <v>26</v>
      </c>
      <c r="T221" s="6" t="s">
        <v>26</v>
      </c>
      <c r="U221" s="5">
        <v>46283</v>
      </c>
      <c r="V221" s="6" t="s">
        <v>1571</v>
      </c>
      <c r="W221" s="9" t="s">
        <v>27</v>
      </c>
      <c r="X221" s="6" t="s">
        <v>1572</v>
      </c>
      <c r="Y221" s="8"/>
    </row>
    <row r="222" spans="1:25" ht="50.1" customHeight="1" thickBot="1" x14ac:dyDescent="0.3">
      <c r="A222" s="872" t="s">
        <v>1573</v>
      </c>
      <c r="B222" s="6" t="s">
        <v>1574</v>
      </c>
      <c r="C222" s="5">
        <v>46281</v>
      </c>
      <c r="D222" s="6" t="s">
        <v>19</v>
      </c>
      <c r="E222" s="6" t="s">
        <v>39</v>
      </c>
      <c r="F222" s="7" t="s">
        <v>40</v>
      </c>
      <c r="G222" s="6" t="s">
        <v>34</v>
      </c>
      <c r="H222" s="6">
        <v>114</v>
      </c>
      <c r="I222" s="6" t="s">
        <v>41</v>
      </c>
      <c r="J222" s="6" t="s">
        <v>42</v>
      </c>
      <c r="K222" s="8"/>
      <c r="L222" s="7" t="s">
        <v>1575</v>
      </c>
      <c r="M222" s="8"/>
      <c r="N222" s="8"/>
      <c r="O222" s="8"/>
      <c r="P222" s="6">
        <v>14</v>
      </c>
      <c r="Q222" s="5">
        <v>46301</v>
      </c>
      <c r="R222" s="8"/>
      <c r="S222" s="8"/>
      <c r="T222" s="8"/>
      <c r="U222" s="8"/>
      <c r="V222" s="8"/>
      <c r="W222" s="15" t="s">
        <v>89</v>
      </c>
      <c r="X222" s="6"/>
      <c r="Y222" s="8"/>
    </row>
    <row r="223" spans="1:25" ht="50.1" customHeight="1" thickBot="1" x14ac:dyDescent="0.3">
      <c r="A223" s="872" t="s">
        <v>1576</v>
      </c>
      <c r="B223" s="6" t="s">
        <v>1577</v>
      </c>
      <c r="C223" s="5">
        <v>46281</v>
      </c>
      <c r="D223" s="6" t="s">
        <v>19</v>
      </c>
      <c r="E223" s="6" t="s">
        <v>468</v>
      </c>
      <c r="F223" s="7" t="s">
        <v>92</v>
      </c>
      <c r="G223" s="6" t="s">
        <v>34</v>
      </c>
      <c r="H223" s="6">
        <v>106</v>
      </c>
      <c r="I223" s="6" t="s">
        <v>112</v>
      </c>
      <c r="J223" s="6" t="s">
        <v>53</v>
      </c>
      <c r="K223" s="8"/>
      <c r="L223" s="7" t="s">
        <v>1578</v>
      </c>
      <c r="M223" s="6">
        <v>6025572</v>
      </c>
      <c r="N223" s="8"/>
      <c r="O223" s="8"/>
      <c r="P223" s="6">
        <v>14</v>
      </c>
      <c r="Q223" s="5">
        <v>46301</v>
      </c>
      <c r="R223" s="8"/>
      <c r="S223" s="8"/>
      <c r="T223" s="8"/>
      <c r="U223" s="8"/>
      <c r="V223" s="8"/>
      <c r="W223" s="15" t="s">
        <v>89</v>
      </c>
      <c r="X223" s="6"/>
      <c r="Y223" s="8"/>
    </row>
    <row r="224" spans="1:25" ht="50.1" customHeight="1" thickBot="1" x14ac:dyDescent="0.3">
      <c r="A224" s="872" t="s">
        <v>1579</v>
      </c>
      <c r="B224" s="6" t="s">
        <v>1580</v>
      </c>
      <c r="C224" s="5">
        <v>46281</v>
      </c>
      <c r="D224" s="6" t="s">
        <v>28</v>
      </c>
      <c r="E224" s="6" t="s">
        <v>29</v>
      </c>
      <c r="F224" s="7" t="s">
        <v>1581</v>
      </c>
      <c r="G224" s="6" t="s">
        <v>30</v>
      </c>
      <c r="H224" s="6">
        <v>503</v>
      </c>
      <c r="I224" s="6" t="s">
        <v>31</v>
      </c>
      <c r="J224" s="6" t="s">
        <v>1582</v>
      </c>
      <c r="K224" s="8"/>
      <c r="L224" s="7" t="s">
        <v>1309</v>
      </c>
      <c r="M224" s="8"/>
      <c r="N224" s="8"/>
      <c r="O224" s="8"/>
      <c r="P224" s="6">
        <v>14</v>
      </c>
      <c r="Q224" s="5">
        <v>46301</v>
      </c>
      <c r="R224" s="8"/>
      <c r="S224" s="8"/>
      <c r="T224" s="8"/>
      <c r="U224" s="8"/>
      <c r="V224" s="8"/>
      <c r="W224" s="15" t="s">
        <v>89</v>
      </c>
      <c r="X224" s="6"/>
      <c r="Y224" s="8"/>
    </row>
    <row r="225" spans="1:25" ht="50.1" customHeight="1" thickBot="1" x14ac:dyDescent="0.3">
      <c r="A225" s="872" t="s">
        <v>1583</v>
      </c>
      <c r="B225" s="6" t="s">
        <v>1584</v>
      </c>
      <c r="C225" s="5">
        <v>46281</v>
      </c>
      <c r="D225" s="6" t="s">
        <v>28</v>
      </c>
      <c r="E225" s="6" t="s">
        <v>29</v>
      </c>
      <c r="F225" s="7" t="s">
        <v>1585</v>
      </c>
      <c r="G225" s="6" t="s">
        <v>34</v>
      </c>
      <c r="H225" s="6">
        <v>113</v>
      </c>
      <c r="I225" s="6" t="s">
        <v>35</v>
      </c>
      <c r="J225" s="6" t="s">
        <v>36</v>
      </c>
      <c r="K225" s="8"/>
      <c r="L225" s="7" t="s">
        <v>1586</v>
      </c>
      <c r="M225" s="8"/>
      <c r="N225" s="8"/>
      <c r="O225" s="8"/>
      <c r="P225" s="6">
        <v>14</v>
      </c>
      <c r="Q225" s="5">
        <v>46301</v>
      </c>
      <c r="R225" s="8"/>
      <c r="S225" s="8"/>
      <c r="T225" s="8"/>
      <c r="U225" s="8"/>
      <c r="V225" s="8"/>
      <c r="W225" s="15" t="s">
        <v>89</v>
      </c>
      <c r="X225" s="6"/>
      <c r="Y225" s="8"/>
    </row>
    <row r="226" spans="1:25" ht="50.1" customHeight="1" thickBot="1" x14ac:dyDescent="0.3">
      <c r="A226" s="872" t="s">
        <v>1587</v>
      </c>
      <c r="B226" s="6" t="s">
        <v>1588</v>
      </c>
      <c r="C226" s="5">
        <v>46281</v>
      </c>
      <c r="D226" s="6" t="s">
        <v>33</v>
      </c>
      <c r="E226" s="6" t="s">
        <v>20</v>
      </c>
      <c r="F226" s="7" t="s">
        <v>1589</v>
      </c>
      <c r="G226" s="6" t="s">
        <v>22</v>
      </c>
      <c r="H226" s="6">
        <v>304</v>
      </c>
      <c r="I226" s="6" t="s">
        <v>43</v>
      </c>
      <c r="J226" s="6" t="s">
        <v>44</v>
      </c>
      <c r="K226" s="8"/>
      <c r="L226" s="7" t="s">
        <v>1590</v>
      </c>
      <c r="M226" s="8"/>
      <c r="N226" s="8"/>
      <c r="O226" s="8"/>
      <c r="P226" s="6">
        <v>14</v>
      </c>
      <c r="Q226" s="5">
        <v>46301</v>
      </c>
      <c r="R226" s="8"/>
      <c r="S226" s="8"/>
      <c r="T226" s="8"/>
      <c r="U226" s="8"/>
      <c r="V226" s="8"/>
      <c r="W226" s="15" t="s">
        <v>89</v>
      </c>
      <c r="X226" s="6"/>
      <c r="Y226" s="8"/>
    </row>
    <row r="227" spans="1:25" ht="50.1" customHeight="1" thickBot="1" x14ac:dyDescent="0.3">
      <c r="A227" s="872" t="s">
        <v>1591</v>
      </c>
      <c r="B227" s="6" t="s">
        <v>1592</v>
      </c>
      <c r="C227" s="5">
        <v>46281</v>
      </c>
      <c r="D227" s="6" t="s">
        <v>33</v>
      </c>
      <c r="E227" s="6" t="s">
        <v>29</v>
      </c>
      <c r="F227" s="7" t="s">
        <v>1593</v>
      </c>
      <c r="G227" s="6" t="s">
        <v>34</v>
      </c>
      <c r="H227" s="6">
        <v>106</v>
      </c>
      <c r="I227" s="6" t="s">
        <v>112</v>
      </c>
      <c r="J227" s="6" t="s">
        <v>53</v>
      </c>
      <c r="K227" s="8"/>
      <c r="L227" s="7" t="s">
        <v>1594</v>
      </c>
      <c r="M227" s="8"/>
      <c r="N227" s="8"/>
      <c r="O227" s="8"/>
      <c r="P227" s="6">
        <v>14</v>
      </c>
      <c r="Q227" s="5">
        <v>46301</v>
      </c>
      <c r="R227" s="8"/>
      <c r="S227" s="8"/>
      <c r="T227" s="8"/>
      <c r="U227" s="8"/>
      <c r="V227" s="8"/>
      <c r="W227" s="15" t="s">
        <v>89</v>
      </c>
      <c r="X227" s="6"/>
      <c r="Y227" s="8"/>
    </row>
    <row r="228" spans="1:25" ht="50.1" customHeight="1" thickBot="1" x14ac:dyDescent="0.3">
      <c r="A228" s="872" t="s">
        <v>1595</v>
      </c>
      <c r="B228" s="6" t="s">
        <v>1596</v>
      </c>
      <c r="C228" s="5">
        <v>46281</v>
      </c>
      <c r="D228" s="6" t="s">
        <v>28</v>
      </c>
      <c r="E228" s="6" t="s">
        <v>29</v>
      </c>
      <c r="F228" s="7" t="s">
        <v>1597</v>
      </c>
      <c r="G228" s="6" t="s">
        <v>34</v>
      </c>
      <c r="H228" s="6">
        <v>106</v>
      </c>
      <c r="I228" s="6" t="s">
        <v>112</v>
      </c>
      <c r="J228" s="6" t="s">
        <v>53</v>
      </c>
      <c r="K228" s="8"/>
      <c r="L228" s="7" t="s">
        <v>1598</v>
      </c>
      <c r="M228" s="8"/>
      <c r="N228" s="8"/>
      <c r="O228" s="8"/>
      <c r="P228" s="6">
        <v>14</v>
      </c>
      <c r="Q228" s="5">
        <v>46301</v>
      </c>
      <c r="R228" s="8"/>
      <c r="S228" s="8"/>
      <c r="T228" s="8"/>
      <c r="U228" s="8"/>
      <c r="V228" s="8"/>
      <c r="W228" s="15" t="s">
        <v>89</v>
      </c>
      <c r="X228" s="6"/>
      <c r="Y228" s="8"/>
    </row>
    <row r="229" spans="1:25" ht="50.1" customHeight="1" thickBot="1" x14ac:dyDescent="0.3">
      <c r="A229" s="4" t="s">
        <v>1599</v>
      </c>
      <c r="B229" s="6" t="s">
        <v>1600</v>
      </c>
      <c r="C229" s="5">
        <v>46281</v>
      </c>
      <c r="D229" s="6" t="s">
        <v>28</v>
      </c>
      <c r="E229" s="6" t="s">
        <v>84</v>
      </c>
      <c r="F229" s="7" t="s">
        <v>1601</v>
      </c>
      <c r="G229" s="6" t="s">
        <v>30</v>
      </c>
      <c r="H229" s="6">
        <v>503</v>
      </c>
      <c r="I229" s="6" t="s">
        <v>31</v>
      </c>
      <c r="J229" s="6" t="s">
        <v>59</v>
      </c>
      <c r="K229" s="8"/>
      <c r="L229" s="7" t="s">
        <v>1602</v>
      </c>
      <c r="M229" s="8"/>
      <c r="N229" s="8"/>
      <c r="O229" s="8"/>
      <c r="P229" s="6">
        <v>14</v>
      </c>
      <c r="Q229" s="5">
        <v>46301</v>
      </c>
      <c r="R229" s="6" t="s">
        <v>26</v>
      </c>
      <c r="S229" s="6" t="s">
        <v>26</v>
      </c>
      <c r="T229" s="6" t="s">
        <v>26</v>
      </c>
      <c r="U229" s="5">
        <v>46283</v>
      </c>
      <c r="V229" s="6" t="s">
        <v>1603</v>
      </c>
      <c r="W229" s="9" t="s">
        <v>27</v>
      </c>
      <c r="X229" s="10" t="s">
        <v>25</v>
      </c>
      <c r="Y229" s="8"/>
    </row>
    <row r="230" spans="1:25" ht="50.1" customHeight="1" thickBot="1" x14ac:dyDescent="0.3">
      <c r="A230" s="4" t="s">
        <v>1604</v>
      </c>
      <c r="B230" s="6" t="s">
        <v>1605</v>
      </c>
      <c r="C230" s="5">
        <v>46281</v>
      </c>
      <c r="D230" s="6" t="s">
        <v>33</v>
      </c>
      <c r="E230" s="6" t="s">
        <v>29</v>
      </c>
      <c r="F230" s="7" t="s">
        <v>1606</v>
      </c>
      <c r="G230" s="6" t="s">
        <v>30</v>
      </c>
      <c r="H230" s="6">
        <v>502</v>
      </c>
      <c r="I230" s="6" t="s">
        <v>37</v>
      </c>
      <c r="J230" s="6" t="s">
        <v>38</v>
      </c>
      <c r="K230" s="8"/>
      <c r="L230" s="7" t="s">
        <v>1607</v>
      </c>
      <c r="M230" s="8"/>
      <c r="N230" s="8"/>
      <c r="O230" s="8"/>
      <c r="P230" s="6">
        <v>14</v>
      </c>
      <c r="Q230" s="5">
        <v>46301</v>
      </c>
      <c r="R230" s="8"/>
      <c r="S230" s="8"/>
      <c r="T230" s="8"/>
      <c r="U230" s="8"/>
      <c r="V230" s="8"/>
      <c r="W230" s="15" t="s">
        <v>89</v>
      </c>
      <c r="X230" s="6"/>
      <c r="Y230" s="8"/>
    </row>
    <row r="231" spans="1:25" ht="50.1" customHeight="1" thickBot="1" x14ac:dyDescent="0.3">
      <c r="A231" s="872" t="s">
        <v>1608</v>
      </c>
      <c r="B231" s="6" t="s">
        <v>1609</v>
      </c>
      <c r="C231" s="5">
        <v>46281</v>
      </c>
      <c r="D231" s="6" t="s">
        <v>33</v>
      </c>
      <c r="E231" s="6" t="s">
        <v>39</v>
      </c>
      <c r="F231" s="7" t="s">
        <v>1610</v>
      </c>
      <c r="G231" s="6" t="s">
        <v>34</v>
      </c>
      <c r="H231" s="6">
        <v>114</v>
      </c>
      <c r="I231" s="6" t="s">
        <v>41</v>
      </c>
      <c r="J231" s="6" t="s">
        <v>42</v>
      </c>
      <c r="K231" s="8"/>
      <c r="L231" s="7" t="s">
        <v>1611</v>
      </c>
      <c r="M231" s="8"/>
      <c r="N231" s="8"/>
      <c r="O231" s="8"/>
      <c r="P231" s="6">
        <v>14</v>
      </c>
      <c r="Q231" s="5">
        <v>46301</v>
      </c>
      <c r="R231" s="8"/>
      <c r="S231" s="8"/>
      <c r="T231" s="8"/>
      <c r="U231" s="8"/>
      <c r="V231" s="8"/>
      <c r="W231" s="15" t="s">
        <v>89</v>
      </c>
      <c r="X231" s="6"/>
      <c r="Y231" s="8"/>
    </row>
    <row r="232" spans="1:25" ht="50.1" customHeight="1" thickBot="1" x14ac:dyDescent="0.3">
      <c r="A232" s="872" t="s">
        <v>1612</v>
      </c>
      <c r="B232" s="6" t="s">
        <v>1613</v>
      </c>
      <c r="C232" s="5">
        <v>46281</v>
      </c>
      <c r="D232" s="6" t="s">
        <v>19</v>
      </c>
      <c r="E232" s="6" t="s">
        <v>460</v>
      </c>
      <c r="F232" s="7" t="s">
        <v>1614</v>
      </c>
      <c r="G232" s="6" t="s">
        <v>22</v>
      </c>
      <c r="H232" s="6">
        <v>316</v>
      </c>
      <c r="I232" s="6" t="s">
        <v>23</v>
      </c>
      <c r="J232" s="6" t="s">
        <v>56</v>
      </c>
      <c r="K232" s="8"/>
      <c r="L232" s="7" t="s">
        <v>909</v>
      </c>
      <c r="M232" s="8"/>
      <c r="N232" s="8"/>
      <c r="O232" s="8"/>
      <c r="P232" s="6">
        <v>14</v>
      </c>
      <c r="Q232" s="5">
        <v>46301</v>
      </c>
      <c r="R232" s="8"/>
      <c r="S232" s="8"/>
      <c r="T232" s="8"/>
      <c r="U232" s="8"/>
      <c r="V232" s="8"/>
      <c r="W232" s="15" t="s">
        <v>89</v>
      </c>
      <c r="X232" s="6"/>
      <c r="Y232" s="8"/>
    </row>
    <row r="233" spans="1:25" ht="50.1" customHeight="1" thickBot="1" x14ac:dyDescent="0.3">
      <c r="A233" s="872" t="s">
        <v>1615</v>
      </c>
      <c r="B233" s="6" t="s">
        <v>1616</v>
      </c>
      <c r="C233" s="5">
        <v>46281</v>
      </c>
      <c r="D233" s="6" t="s">
        <v>19</v>
      </c>
      <c r="E233" s="6" t="s">
        <v>29</v>
      </c>
      <c r="F233" s="7" t="s">
        <v>92</v>
      </c>
      <c r="G233" s="6" t="s">
        <v>34</v>
      </c>
      <c r="H233" s="6">
        <v>106</v>
      </c>
      <c r="I233" s="6" t="s">
        <v>112</v>
      </c>
      <c r="J233" s="6" t="s">
        <v>53</v>
      </c>
      <c r="K233" s="8"/>
      <c r="L233" s="7" t="s">
        <v>1617</v>
      </c>
      <c r="M233" s="8"/>
      <c r="N233" s="8"/>
      <c r="O233" s="8"/>
      <c r="P233" s="6">
        <v>14</v>
      </c>
      <c r="Q233" s="5">
        <v>46301</v>
      </c>
      <c r="R233" s="8"/>
      <c r="S233" s="8"/>
      <c r="T233" s="8"/>
      <c r="U233" s="8"/>
      <c r="V233" s="8"/>
      <c r="W233" s="15" t="s">
        <v>89</v>
      </c>
      <c r="X233" s="6"/>
      <c r="Y233" s="8"/>
    </row>
    <row r="234" spans="1:25" ht="50.1" customHeight="1" thickBot="1" x14ac:dyDescent="0.3">
      <c r="A234" s="872" t="s">
        <v>1618</v>
      </c>
      <c r="B234" s="6" t="s">
        <v>1619</v>
      </c>
      <c r="C234" s="5">
        <v>46281</v>
      </c>
      <c r="D234" s="6" t="s">
        <v>19</v>
      </c>
      <c r="E234" s="6" t="s">
        <v>29</v>
      </c>
      <c r="F234" s="7" t="s">
        <v>92</v>
      </c>
      <c r="G234" s="6" t="s">
        <v>34</v>
      </c>
      <c r="H234" s="6">
        <v>106</v>
      </c>
      <c r="I234" s="6" t="s">
        <v>112</v>
      </c>
      <c r="J234" s="6" t="s">
        <v>53</v>
      </c>
      <c r="K234" s="8"/>
      <c r="L234" s="7" t="s">
        <v>1620</v>
      </c>
      <c r="M234" s="6">
        <v>1084000</v>
      </c>
      <c r="N234" s="8"/>
      <c r="O234" s="8"/>
      <c r="P234" s="6">
        <v>14</v>
      </c>
      <c r="Q234" s="5">
        <v>46301</v>
      </c>
      <c r="R234" s="8"/>
      <c r="S234" s="8"/>
      <c r="T234" s="8"/>
      <c r="U234" s="8"/>
      <c r="V234" s="8"/>
      <c r="W234" s="15" t="s">
        <v>89</v>
      </c>
      <c r="X234" s="6"/>
      <c r="Y234" s="8"/>
    </row>
    <row r="235" spans="1:25" ht="50.1" customHeight="1" thickBot="1" x14ac:dyDescent="0.3">
      <c r="A235" s="872" t="s">
        <v>1621</v>
      </c>
      <c r="B235" s="6" t="s">
        <v>1622</v>
      </c>
      <c r="C235" s="5">
        <v>46281</v>
      </c>
      <c r="D235" s="6" t="s">
        <v>19</v>
      </c>
      <c r="E235" s="6" t="s">
        <v>39</v>
      </c>
      <c r="F235" s="7" t="s">
        <v>553</v>
      </c>
      <c r="G235" s="6" t="s">
        <v>34</v>
      </c>
      <c r="H235" s="6">
        <v>114</v>
      </c>
      <c r="I235" s="6" t="s">
        <v>41</v>
      </c>
      <c r="J235" s="6" t="s">
        <v>42</v>
      </c>
      <c r="K235" s="8"/>
      <c r="L235" s="7" t="s">
        <v>1623</v>
      </c>
      <c r="M235" s="8"/>
      <c r="N235" s="8"/>
      <c r="O235" s="8"/>
      <c r="P235" s="6">
        <v>14</v>
      </c>
      <c r="Q235" s="5">
        <v>46301</v>
      </c>
      <c r="R235" s="8"/>
      <c r="S235" s="8"/>
      <c r="T235" s="8"/>
      <c r="U235" s="8"/>
      <c r="V235" s="8"/>
      <c r="W235" s="15" t="s">
        <v>89</v>
      </c>
      <c r="X235" s="6"/>
      <c r="Y235" s="8"/>
    </row>
    <row r="236" spans="1:25" ht="50.1" customHeight="1" thickBot="1" x14ac:dyDescent="0.3">
      <c r="A236" s="872" t="s">
        <v>1624</v>
      </c>
      <c r="B236" s="6" t="s">
        <v>1625</v>
      </c>
      <c r="C236" s="5">
        <v>46281</v>
      </c>
      <c r="D236" s="6" t="s">
        <v>19</v>
      </c>
      <c r="E236" s="6" t="s">
        <v>20</v>
      </c>
      <c r="F236" s="7" t="s">
        <v>380</v>
      </c>
      <c r="G236" s="6" t="s">
        <v>22</v>
      </c>
      <c r="H236" s="6">
        <v>316</v>
      </c>
      <c r="I236" s="6" t="s">
        <v>23</v>
      </c>
      <c r="J236" s="12" t="s">
        <v>24</v>
      </c>
      <c r="K236" s="8"/>
      <c r="L236" s="7" t="s">
        <v>1626</v>
      </c>
      <c r="M236" s="6">
        <v>1024020</v>
      </c>
      <c r="N236" s="8"/>
      <c r="O236" s="8"/>
      <c r="P236" s="6">
        <v>14</v>
      </c>
      <c r="Q236" s="5">
        <v>46301</v>
      </c>
      <c r="R236" s="8"/>
      <c r="S236" s="8"/>
      <c r="T236" s="8"/>
      <c r="U236" s="8"/>
      <c r="V236" s="8"/>
      <c r="W236" s="15" t="s">
        <v>89</v>
      </c>
      <c r="X236" s="6"/>
      <c r="Y236" s="8"/>
    </row>
    <row r="237" spans="1:25" ht="50.1" customHeight="1" thickBot="1" x14ac:dyDescent="0.3">
      <c r="A237" s="4" t="s">
        <v>1627</v>
      </c>
      <c r="B237" s="6" t="s">
        <v>1628</v>
      </c>
      <c r="C237" s="5">
        <v>46281</v>
      </c>
      <c r="D237" s="6" t="s">
        <v>33</v>
      </c>
      <c r="E237" s="6" t="s">
        <v>29</v>
      </c>
      <c r="F237" s="7" t="s">
        <v>1629</v>
      </c>
      <c r="G237" s="6" t="s">
        <v>30</v>
      </c>
      <c r="H237" s="6">
        <v>502</v>
      </c>
      <c r="I237" s="6" t="s">
        <v>37</v>
      </c>
      <c r="J237" s="6" t="s">
        <v>38</v>
      </c>
      <c r="K237" s="8"/>
      <c r="L237" s="7" t="s">
        <v>1630</v>
      </c>
      <c r="M237" s="8"/>
      <c r="N237" s="8"/>
      <c r="O237" s="8"/>
      <c r="P237" s="6">
        <v>14</v>
      </c>
      <c r="Q237" s="5">
        <v>46301</v>
      </c>
      <c r="R237" s="8"/>
      <c r="S237" s="8"/>
      <c r="T237" s="8"/>
      <c r="U237" s="8"/>
      <c r="V237" s="8"/>
      <c r="W237" s="15" t="s">
        <v>89</v>
      </c>
      <c r="X237" s="6"/>
      <c r="Y237" s="8"/>
    </row>
    <row r="238" spans="1:25" ht="50.1" customHeight="1" thickBot="1" x14ac:dyDescent="0.3">
      <c r="A238" s="872" t="s">
        <v>1631</v>
      </c>
      <c r="B238" s="6" t="s">
        <v>1632</v>
      </c>
      <c r="C238" s="5">
        <v>46281</v>
      </c>
      <c r="D238" s="6" t="s">
        <v>33</v>
      </c>
      <c r="E238" s="6" t="s">
        <v>460</v>
      </c>
      <c r="F238" s="7" t="s">
        <v>1633</v>
      </c>
      <c r="G238" s="6" t="s">
        <v>34</v>
      </c>
      <c r="H238" s="6">
        <v>113</v>
      </c>
      <c r="I238" s="6" t="s">
        <v>35</v>
      </c>
      <c r="J238" s="6" t="s">
        <v>36</v>
      </c>
      <c r="K238" s="8"/>
      <c r="L238" s="7" t="s">
        <v>623</v>
      </c>
      <c r="M238" s="8"/>
      <c r="N238" s="8"/>
      <c r="O238" s="8"/>
      <c r="P238" s="6">
        <v>14</v>
      </c>
      <c r="Q238" s="5">
        <v>46301</v>
      </c>
      <c r="R238" s="8"/>
      <c r="S238" s="8"/>
      <c r="T238" s="8"/>
      <c r="U238" s="8"/>
      <c r="V238" s="8"/>
      <c r="W238" s="15" t="s">
        <v>89</v>
      </c>
      <c r="X238" s="6"/>
      <c r="Y238" s="8"/>
    </row>
    <row r="239" spans="1:25" ht="50.1" customHeight="1" thickBot="1" x14ac:dyDescent="0.3">
      <c r="A239" s="872" t="s">
        <v>1634</v>
      </c>
      <c r="B239" s="6" t="s">
        <v>1635</v>
      </c>
      <c r="C239" s="5">
        <v>46281</v>
      </c>
      <c r="D239" s="6" t="s">
        <v>19</v>
      </c>
      <c r="E239" s="6" t="s">
        <v>460</v>
      </c>
      <c r="F239" s="7" t="s">
        <v>1636</v>
      </c>
      <c r="G239" s="6" t="s">
        <v>34</v>
      </c>
      <c r="H239" s="6">
        <v>127</v>
      </c>
      <c r="I239" s="6" t="s">
        <v>88</v>
      </c>
      <c r="J239" s="6" t="s">
        <v>71</v>
      </c>
      <c r="K239" s="8"/>
      <c r="L239" s="7" t="s">
        <v>1637</v>
      </c>
      <c r="M239" s="8"/>
      <c r="N239" s="8"/>
      <c r="O239" s="8"/>
      <c r="P239" s="6">
        <v>14</v>
      </c>
      <c r="Q239" s="5">
        <v>46301</v>
      </c>
      <c r="R239" s="8"/>
      <c r="S239" s="8"/>
      <c r="T239" s="8"/>
      <c r="U239" s="8"/>
      <c r="V239" s="8"/>
      <c r="W239" s="15" t="s">
        <v>89</v>
      </c>
      <c r="X239" s="6"/>
      <c r="Y239" s="8"/>
    </row>
    <row r="240" spans="1:25" ht="50.1" customHeight="1" thickBot="1" x14ac:dyDescent="0.3">
      <c r="A240" s="872" t="s">
        <v>1638</v>
      </c>
      <c r="B240" s="6" t="s">
        <v>1639</v>
      </c>
      <c r="C240" s="5">
        <v>46281</v>
      </c>
      <c r="D240" s="6" t="s">
        <v>19</v>
      </c>
      <c r="E240" s="6" t="s">
        <v>20</v>
      </c>
      <c r="F240" s="7" t="s">
        <v>1640</v>
      </c>
      <c r="G240" s="6" t="s">
        <v>22</v>
      </c>
      <c r="H240" s="6">
        <v>316</v>
      </c>
      <c r="I240" s="6" t="s">
        <v>23</v>
      </c>
      <c r="J240" s="12" t="s">
        <v>24</v>
      </c>
      <c r="K240" s="8"/>
      <c r="L240" s="7" t="s">
        <v>1641</v>
      </c>
      <c r="M240" s="6">
        <v>1238178</v>
      </c>
      <c r="N240" s="8"/>
      <c r="O240" s="8"/>
      <c r="P240" s="6">
        <v>14</v>
      </c>
      <c r="Q240" s="5">
        <v>46301</v>
      </c>
      <c r="R240" s="8"/>
      <c r="S240" s="8"/>
      <c r="T240" s="8"/>
      <c r="U240" s="8"/>
      <c r="V240" s="8"/>
      <c r="W240" s="15" t="s">
        <v>89</v>
      </c>
      <c r="X240" s="6"/>
      <c r="Y240" s="8"/>
    </row>
    <row r="241" spans="1:25" ht="50.1" customHeight="1" thickBot="1" x14ac:dyDescent="0.3">
      <c r="A241" s="4" t="s">
        <v>1642</v>
      </c>
      <c r="B241" s="6" t="s">
        <v>1643</v>
      </c>
      <c r="C241" s="5">
        <v>46281</v>
      </c>
      <c r="D241" s="6" t="s">
        <v>28</v>
      </c>
      <c r="E241" s="6" t="s">
        <v>39</v>
      </c>
      <c r="F241" s="7" t="s">
        <v>1644</v>
      </c>
      <c r="G241" s="6" t="s">
        <v>22</v>
      </c>
      <c r="H241" s="6">
        <v>311</v>
      </c>
      <c r="I241" s="6" t="s">
        <v>64</v>
      </c>
      <c r="J241" s="6" t="s">
        <v>473</v>
      </c>
      <c r="K241" s="8"/>
      <c r="L241" s="7" t="s">
        <v>1645</v>
      </c>
      <c r="M241" s="8"/>
      <c r="N241" s="8"/>
      <c r="O241" s="8"/>
      <c r="P241" s="6">
        <v>14</v>
      </c>
      <c r="Q241" s="5">
        <v>46301</v>
      </c>
      <c r="R241" s="8"/>
      <c r="S241" s="8"/>
      <c r="T241" s="8"/>
      <c r="U241" s="8"/>
      <c r="V241" s="8"/>
      <c r="W241" s="15" t="s">
        <v>89</v>
      </c>
      <c r="X241" s="6"/>
      <c r="Y241" s="8"/>
    </row>
    <row r="242" spans="1:25" ht="50.1" customHeight="1" thickBot="1" x14ac:dyDescent="0.3">
      <c r="A242" s="4" t="s">
        <v>1646</v>
      </c>
      <c r="B242" s="6" t="s">
        <v>1647</v>
      </c>
      <c r="C242" s="5">
        <v>46282</v>
      </c>
      <c r="D242" s="6" t="s">
        <v>28</v>
      </c>
      <c r="E242" s="6" t="s">
        <v>39</v>
      </c>
      <c r="F242" s="7" t="s">
        <v>1648</v>
      </c>
      <c r="G242" s="6" t="s">
        <v>34</v>
      </c>
      <c r="H242" s="6">
        <v>114</v>
      </c>
      <c r="I242" s="6" t="s">
        <v>41</v>
      </c>
      <c r="J242" s="6" t="s">
        <v>42</v>
      </c>
      <c r="K242" s="8"/>
      <c r="L242" s="7" t="s">
        <v>1649</v>
      </c>
      <c r="M242" s="8"/>
      <c r="N242" s="8"/>
      <c r="O242" s="8"/>
      <c r="P242" s="6">
        <v>14</v>
      </c>
      <c r="Q242" s="5">
        <v>46301</v>
      </c>
      <c r="R242" s="8"/>
      <c r="S242" s="8"/>
      <c r="T242" s="8"/>
      <c r="U242" s="8"/>
      <c r="V242" s="8"/>
      <c r="W242" s="15" t="s">
        <v>89</v>
      </c>
      <c r="X242" s="6"/>
      <c r="Y242" s="8"/>
    </row>
    <row r="243" spans="1:25" ht="50.1" customHeight="1" thickBot="1" x14ac:dyDescent="0.3">
      <c r="A243" s="4" t="s">
        <v>1650</v>
      </c>
      <c r="B243" s="6" t="s">
        <v>1651</v>
      </c>
      <c r="C243" s="5">
        <v>46282</v>
      </c>
      <c r="D243" s="6" t="s">
        <v>19</v>
      </c>
      <c r="E243" s="6" t="s">
        <v>39</v>
      </c>
      <c r="F243" s="7" t="s">
        <v>1652</v>
      </c>
      <c r="G243" s="6" t="s">
        <v>34</v>
      </c>
      <c r="H243" s="6">
        <v>114</v>
      </c>
      <c r="I243" s="6" t="s">
        <v>41</v>
      </c>
      <c r="J243" s="6" t="s">
        <v>42</v>
      </c>
      <c r="K243" s="8"/>
      <c r="L243" s="7" t="s">
        <v>497</v>
      </c>
      <c r="M243" s="8"/>
      <c r="N243" s="8"/>
      <c r="O243" s="8"/>
      <c r="P243" s="6">
        <v>14</v>
      </c>
      <c r="Q243" s="5">
        <v>46302</v>
      </c>
      <c r="R243" s="8"/>
      <c r="S243" s="8"/>
      <c r="T243" s="8"/>
      <c r="U243" s="8"/>
      <c r="V243" s="8"/>
      <c r="W243" s="15" t="s">
        <v>89</v>
      </c>
      <c r="X243" s="6"/>
      <c r="Y243" s="8"/>
    </row>
    <row r="244" spans="1:25" ht="50.1" customHeight="1" thickBot="1" x14ac:dyDescent="0.3">
      <c r="A244" s="4" t="s">
        <v>1653</v>
      </c>
      <c r="B244" s="6" t="s">
        <v>1654</v>
      </c>
      <c r="C244" s="5">
        <v>46282</v>
      </c>
      <c r="D244" s="6" t="s">
        <v>19</v>
      </c>
      <c r="E244" s="6" t="s">
        <v>39</v>
      </c>
      <c r="F244" s="7" t="s">
        <v>1655</v>
      </c>
      <c r="G244" s="6" t="s">
        <v>34</v>
      </c>
      <c r="H244" s="6">
        <v>114</v>
      </c>
      <c r="I244" s="6" t="s">
        <v>41</v>
      </c>
      <c r="J244" s="6" t="s">
        <v>42</v>
      </c>
      <c r="K244" s="8"/>
      <c r="L244" s="7" t="s">
        <v>1656</v>
      </c>
      <c r="M244" s="8"/>
      <c r="N244" s="8"/>
      <c r="O244" s="8"/>
      <c r="P244" s="6">
        <v>14</v>
      </c>
      <c r="Q244" s="5">
        <v>46302</v>
      </c>
      <c r="R244" s="8"/>
      <c r="S244" s="8"/>
      <c r="T244" s="8"/>
      <c r="U244" s="8"/>
      <c r="V244" s="8"/>
      <c r="W244" s="15" t="s">
        <v>89</v>
      </c>
      <c r="X244" s="6"/>
      <c r="Y244" s="8"/>
    </row>
    <row r="245" spans="1:25" ht="50.1" customHeight="1" thickBot="1" x14ac:dyDescent="0.3">
      <c r="A245" s="4" t="s">
        <v>1657</v>
      </c>
      <c r="B245" s="6" t="s">
        <v>1658</v>
      </c>
      <c r="C245" s="5">
        <v>46282</v>
      </c>
      <c r="D245" s="6" t="s">
        <v>103</v>
      </c>
      <c r="E245" s="6" t="s">
        <v>39</v>
      </c>
      <c r="F245" s="7" t="s">
        <v>1659</v>
      </c>
      <c r="G245" s="6" t="s">
        <v>30</v>
      </c>
      <c r="H245" s="6">
        <v>503</v>
      </c>
      <c r="I245" s="6" t="s">
        <v>31</v>
      </c>
      <c r="J245" s="6" t="s">
        <v>93</v>
      </c>
      <c r="K245" s="8"/>
      <c r="L245" s="7" t="s">
        <v>1660</v>
      </c>
      <c r="M245" s="8"/>
      <c r="N245" s="8"/>
      <c r="O245" s="8"/>
      <c r="P245" s="6">
        <v>14</v>
      </c>
      <c r="Q245" s="5">
        <v>46302</v>
      </c>
      <c r="R245" s="8"/>
      <c r="S245" s="8"/>
      <c r="T245" s="8"/>
      <c r="U245" s="8"/>
      <c r="V245" s="8"/>
      <c r="W245" s="15" t="s">
        <v>89</v>
      </c>
      <c r="X245" s="6"/>
      <c r="Y245" s="8"/>
    </row>
    <row r="246" spans="1:25" ht="50.1" customHeight="1" thickBot="1" x14ac:dyDescent="0.3">
      <c r="A246" s="4" t="s">
        <v>1661</v>
      </c>
      <c r="B246" s="6" t="s">
        <v>1662</v>
      </c>
      <c r="C246" s="5">
        <v>46282</v>
      </c>
      <c r="D246" s="6" t="s">
        <v>19</v>
      </c>
      <c r="E246" s="6" t="s">
        <v>460</v>
      </c>
      <c r="F246" s="7" t="s">
        <v>1663</v>
      </c>
      <c r="G246" s="6" t="s">
        <v>22</v>
      </c>
      <c r="H246" s="6">
        <v>316</v>
      </c>
      <c r="I246" s="6" t="s">
        <v>23</v>
      </c>
      <c r="J246" s="6" t="s">
        <v>46</v>
      </c>
      <c r="K246" s="8"/>
      <c r="L246" s="7" t="s">
        <v>1664</v>
      </c>
      <c r="M246" s="8"/>
      <c r="N246" s="8"/>
      <c r="O246" s="8"/>
      <c r="P246" s="6">
        <v>14</v>
      </c>
      <c r="Q246" s="5">
        <v>46302</v>
      </c>
      <c r="R246" s="8"/>
      <c r="S246" s="8"/>
      <c r="T246" s="8"/>
      <c r="U246" s="8"/>
      <c r="V246" s="8"/>
      <c r="W246" s="15" t="s">
        <v>89</v>
      </c>
      <c r="X246" s="6"/>
      <c r="Y246" s="8"/>
    </row>
    <row r="247" spans="1:25" ht="50.1" customHeight="1" thickBot="1" x14ac:dyDescent="0.3">
      <c r="A247" s="4" t="s">
        <v>1665</v>
      </c>
      <c r="B247" s="6" t="s">
        <v>1666</v>
      </c>
      <c r="C247" s="5">
        <v>46282</v>
      </c>
      <c r="D247" s="6" t="s">
        <v>19</v>
      </c>
      <c r="E247" s="6" t="s">
        <v>39</v>
      </c>
      <c r="F247" s="7" t="s">
        <v>1667</v>
      </c>
      <c r="G247" s="6" t="s">
        <v>34</v>
      </c>
      <c r="H247" s="6">
        <v>114</v>
      </c>
      <c r="I247" s="6" t="s">
        <v>41</v>
      </c>
      <c r="J247" s="6" t="s">
        <v>42</v>
      </c>
      <c r="K247" s="8"/>
      <c r="L247" s="7" t="s">
        <v>1668</v>
      </c>
      <c r="M247" s="8"/>
      <c r="N247" s="8"/>
      <c r="O247" s="8"/>
      <c r="P247" s="6">
        <v>14</v>
      </c>
      <c r="Q247" s="5">
        <v>46302</v>
      </c>
      <c r="R247" s="8"/>
      <c r="S247" s="8"/>
      <c r="T247" s="8"/>
      <c r="U247" s="8"/>
      <c r="V247" s="8"/>
      <c r="W247" s="15" t="s">
        <v>89</v>
      </c>
      <c r="X247" s="6"/>
      <c r="Y247" s="8"/>
    </row>
    <row r="248" spans="1:25" ht="50.1" customHeight="1" thickBot="1" x14ac:dyDescent="0.3">
      <c r="A248" s="4" t="s">
        <v>1669</v>
      </c>
      <c r="B248" s="6" t="s">
        <v>1670</v>
      </c>
      <c r="C248" s="5">
        <v>46282</v>
      </c>
      <c r="D248" s="6" t="s">
        <v>33</v>
      </c>
      <c r="E248" s="6" t="s">
        <v>460</v>
      </c>
      <c r="F248" s="7" t="s">
        <v>1671</v>
      </c>
      <c r="G248" s="6" t="s">
        <v>34</v>
      </c>
      <c r="H248" s="6">
        <v>316</v>
      </c>
      <c r="I248" s="6" t="s">
        <v>23</v>
      </c>
      <c r="J248" s="6" t="s">
        <v>46</v>
      </c>
      <c r="K248" s="8"/>
      <c r="L248" s="7" t="s">
        <v>489</v>
      </c>
      <c r="M248" s="8"/>
      <c r="N248" s="8"/>
      <c r="O248" s="8"/>
      <c r="P248" s="6">
        <v>14</v>
      </c>
      <c r="Q248" s="5">
        <v>46302</v>
      </c>
      <c r="R248" s="6" t="s">
        <v>26</v>
      </c>
      <c r="S248" s="6" t="s">
        <v>26</v>
      </c>
      <c r="T248" s="6" t="s">
        <v>26</v>
      </c>
      <c r="U248" s="5">
        <v>46286</v>
      </c>
      <c r="V248" s="6" t="s">
        <v>1672</v>
      </c>
      <c r="W248" s="9" t="s">
        <v>27</v>
      </c>
      <c r="X248" s="10" t="s">
        <v>25</v>
      </c>
      <c r="Y248" s="8"/>
    </row>
    <row r="249" spans="1:25" ht="50.1" customHeight="1" thickBot="1" x14ac:dyDescent="0.3">
      <c r="A249" s="4" t="s">
        <v>1673</v>
      </c>
      <c r="B249" s="6" t="s">
        <v>1674</v>
      </c>
      <c r="C249" s="5">
        <v>46282</v>
      </c>
      <c r="D249" s="6" t="s">
        <v>33</v>
      </c>
      <c r="E249" s="6" t="s">
        <v>29</v>
      </c>
      <c r="F249" s="7" t="s">
        <v>1675</v>
      </c>
      <c r="G249" s="6" t="s">
        <v>34</v>
      </c>
      <c r="H249" s="6">
        <v>503</v>
      </c>
      <c r="I249" s="6" t="s">
        <v>31</v>
      </c>
      <c r="J249" s="6" t="s">
        <v>1676</v>
      </c>
      <c r="K249" s="8"/>
      <c r="L249" s="7" t="s">
        <v>1677</v>
      </c>
      <c r="M249" s="8"/>
      <c r="N249" s="8"/>
      <c r="O249" s="8"/>
      <c r="P249" s="6">
        <v>14</v>
      </c>
      <c r="Q249" s="5">
        <v>46302</v>
      </c>
      <c r="R249" s="8"/>
      <c r="S249" s="8"/>
      <c r="T249" s="8"/>
      <c r="U249" s="8"/>
      <c r="V249" s="8"/>
      <c r="W249" s="15" t="s">
        <v>89</v>
      </c>
      <c r="X249" s="6"/>
      <c r="Y249" s="8"/>
    </row>
    <row r="250" spans="1:25" ht="50.1" customHeight="1" thickBot="1" x14ac:dyDescent="0.3">
      <c r="A250" s="4" t="s">
        <v>1678</v>
      </c>
      <c r="B250" s="6" t="s">
        <v>1679</v>
      </c>
      <c r="C250" s="5">
        <v>46282</v>
      </c>
      <c r="D250" s="6" t="s">
        <v>19</v>
      </c>
      <c r="E250" s="6" t="s">
        <v>39</v>
      </c>
      <c r="F250" s="7" t="s">
        <v>553</v>
      </c>
      <c r="G250" s="6" t="s">
        <v>34</v>
      </c>
      <c r="H250" s="6">
        <v>114</v>
      </c>
      <c r="I250" s="6" t="s">
        <v>41</v>
      </c>
      <c r="J250" s="6" t="s">
        <v>42</v>
      </c>
      <c r="K250" s="8"/>
      <c r="L250" s="7" t="s">
        <v>1680</v>
      </c>
      <c r="M250" s="8"/>
      <c r="N250" s="8"/>
      <c r="O250" s="8"/>
      <c r="P250" s="6">
        <v>14</v>
      </c>
      <c r="Q250" s="5">
        <v>46302</v>
      </c>
      <c r="R250" s="8"/>
      <c r="S250" s="8"/>
      <c r="T250" s="8"/>
      <c r="U250" s="8"/>
      <c r="V250" s="8"/>
      <c r="W250" s="15" t="s">
        <v>89</v>
      </c>
      <c r="X250" s="6"/>
      <c r="Y250" s="8"/>
    </row>
    <row r="251" spans="1:25" ht="50.1" customHeight="1" thickBot="1" x14ac:dyDescent="0.3">
      <c r="A251" s="4" t="s">
        <v>1681</v>
      </c>
      <c r="B251" s="6" t="s">
        <v>1682</v>
      </c>
      <c r="C251" s="5">
        <v>46282</v>
      </c>
      <c r="D251" s="6" t="s">
        <v>19</v>
      </c>
      <c r="E251" s="6" t="s">
        <v>39</v>
      </c>
      <c r="F251" s="7" t="s">
        <v>1683</v>
      </c>
      <c r="G251" s="6" t="s">
        <v>34</v>
      </c>
      <c r="H251" s="6">
        <v>114</v>
      </c>
      <c r="I251" s="6" t="s">
        <v>42</v>
      </c>
      <c r="J251" s="6" t="s">
        <v>42</v>
      </c>
      <c r="K251" s="8"/>
      <c r="L251" s="7" t="s">
        <v>1684</v>
      </c>
      <c r="M251" s="8"/>
      <c r="N251" s="8"/>
      <c r="O251" s="8"/>
      <c r="P251" s="6">
        <v>14</v>
      </c>
      <c r="Q251" s="5">
        <v>46302</v>
      </c>
      <c r="R251" s="8"/>
      <c r="S251" s="8"/>
      <c r="T251" s="8"/>
      <c r="U251" s="8"/>
      <c r="V251" s="8"/>
      <c r="W251" s="15" t="s">
        <v>89</v>
      </c>
      <c r="X251" s="6"/>
      <c r="Y251" s="8"/>
    </row>
    <row r="252" spans="1:25" ht="50.1" customHeight="1" thickBot="1" x14ac:dyDescent="0.3">
      <c r="A252" s="4" t="s">
        <v>1685</v>
      </c>
      <c r="B252" s="6" t="s">
        <v>1686</v>
      </c>
      <c r="C252" s="5">
        <v>46282</v>
      </c>
      <c r="D252" s="6" t="s">
        <v>28</v>
      </c>
      <c r="E252" s="6" t="s">
        <v>20</v>
      </c>
      <c r="F252" s="7" t="s">
        <v>1687</v>
      </c>
      <c r="G252" s="6" t="s">
        <v>30</v>
      </c>
      <c r="H252" s="6">
        <v>503</v>
      </c>
      <c r="I252" s="6" t="s">
        <v>31</v>
      </c>
      <c r="J252" s="6" t="s">
        <v>93</v>
      </c>
      <c r="K252" s="8"/>
      <c r="L252" s="7" t="s">
        <v>627</v>
      </c>
      <c r="M252" s="8"/>
      <c r="N252" s="8"/>
      <c r="O252" s="8"/>
      <c r="P252" s="6">
        <v>14</v>
      </c>
      <c r="Q252" s="5">
        <v>46302</v>
      </c>
      <c r="R252" s="8"/>
      <c r="S252" s="8"/>
      <c r="T252" s="8"/>
      <c r="U252" s="8"/>
      <c r="V252" s="8"/>
      <c r="W252" s="15" t="s">
        <v>89</v>
      </c>
      <c r="X252" s="6"/>
      <c r="Y252" s="8"/>
    </row>
    <row r="253" spans="1:25" ht="50.1" customHeight="1" thickBot="1" x14ac:dyDescent="0.3">
      <c r="A253" s="4" t="s">
        <v>1688</v>
      </c>
      <c r="B253" s="6" t="s">
        <v>1689</v>
      </c>
      <c r="C253" s="5">
        <v>46282</v>
      </c>
      <c r="D253" s="6" t="s">
        <v>33</v>
      </c>
      <c r="E253" s="6" t="s">
        <v>29</v>
      </c>
      <c r="F253" s="7" t="s">
        <v>1690</v>
      </c>
      <c r="G253" s="6" t="s">
        <v>30</v>
      </c>
      <c r="H253" s="6">
        <v>503</v>
      </c>
      <c r="I253" s="6" t="s">
        <v>31</v>
      </c>
      <c r="J253" s="6" t="s">
        <v>32</v>
      </c>
      <c r="K253" s="8"/>
      <c r="L253" s="7" t="s">
        <v>626</v>
      </c>
      <c r="M253" s="8"/>
      <c r="N253" s="8"/>
      <c r="O253" s="8"/>
      <c r="P253" s="6">
        <v>14</v>
      </c>
      <c r="Q253" s="5">
        <v>46302</v>
      </c>
      <c r="R253" s="8"/>
      <c r="S253" s="8"/>
      <c r="T253" s="8"/>
      <c r="U253" s="8"/>
      <c r="V253" s="8"/>
      <c r="W253" s="15" t="s">
        <v>89</v>
      </c>
      <c r="X253" s="6"/>
      <c r="Y253" s="8"/>
    </row>
    <row r="254" spans="1:25" ht="50.1" customHeight="1" thickBot="1" x14ac:dyDescent="0.3">
      <c r="A254" s="4" t="s">
        <v>1691</v>
      </c>
      <c r="B254" s="6" t="s">
        <v>1692</v>
      </c>
      <c r="C254" s="5">
        <v>46282</v>
      </c>
      <c r="D254" s="6" t="s">
        <v>33</v>
      </c>
      <c r="E254" s="6" t="s">
        <v>460</v>
      </c>
      <c r="F254" s="7" t="s">
        <v>1693</v>
      </c>
      <c r="G254" s="6" t="s">
        <v>30</v>
      </c>
      <c r="H254" s="6">
        <v>316</v>
      </c>
      <c r="I254" s="6" t="s">
        <v>23</v>
      </c>
      <c r="J254" s="6" t="s">
        <v>46</v>
      </c>
      <c r="K254" s="8"/>
      <c r="L254" s="7" t="s">
        <v>1694</v>
      </c>
      <c r="M254" s="8"/>
      <c r="N254" s="8"/>
      <c r="O254" s="8"/>
      <c r="P254" s="6">
        <v>14</v>
      </c>
      <c r="Q254" s="5">
        <v>46302</v>
      </c>
      <c r="R254" s="5">
        <v>46282</v>
      </c>
      <c r="S254" s="6" t="s">
        <v>26</v>
      </c>
      <c r="T254" s="5">
        <v>46282</v>
      </c>
      <c r="U254" s="5">
        <v>46293</v>
      </c>
      <c r="V254" s="6" t="s">
        <v>1695</v>
      </c>
      <c r="W254" s="9" t="s">
        <v>27</v>
      </c>
      <c r="X254" s="10" t="s">
        <v>25</v>
      </c>
      <c r="Y254" s="8"/>
    </row>
    <row r="255" spans="1:25" ht="50.1" customHeight="1" thickBot="1" x14ac:dyDescent="0.3">
      <c r="A255" s="4" t="s">
        <v>1696</v>
      </c>
      <c r="B255" s="6" t="s">
        <v>1697</v>
      </c>
      <c r="C255" s="5">
        <v>46282</v>
      </c>
      <c r="D255" s="6" t="s">
        <v>28</v>
      </c>
      <c r="E255" s="6" t="s">
        <v>460</v>
      </c>
      <c r="F255" s="7" t="s">
        <v>1698</v>
      </c>
      <c r="G255" s="6" t="s">
        <v>30</v>
      </c>
      <c r="H255" s="6">
        <v>316</v>
      </c>
      <c r="I255" s="6" t="s">
        <v>23</v>
      </c>
      <c r="J255" s="6" t="s">
        <v>46</v>
      </c>
      <c r="K255" s="6" t="s">
        <v>25</v>
      </c>
      <c r="L255" s="7" t="s">
        <v>627</v>
      </c>
      <c r="M255" s="8"/>
      <c r="N255" s="8"/>
      <c r="O255" s="8"/>
      <c r="P255" s="6">
        <v>14</v>
      </c>
      <c r="Q255" s="5">
        <v>46302</v>
      </c>
      <c r="R255" s="5">
        <v>46282</v>
      </c>
      <c r="S255" s="6" t="s">
        <v>26</v>
      </c>
      <c r="T255" s="6" t="s">
        <v>26</v>
      </c>
      <c r="U255" s="5">
        <v>46294</v>
      </c>
      <c r="V255" s="6" t="s">
        <v>1699</v>
      </c>
      <c r="W255" s="9" t="s">
        <v>27</v>
      </c>
      <c r="X255" s="10" t="s">
        <v>25</v>
      </c>
      <c r="Y255" s="8"/>
    </row>
    <row r="256" spans="1:25" ht="50.1" customHeight="1" thickBot="1" x14ac:dyDescent="0.3">
      <c r="A256" s="4" t="s">
        <v>1700</v>
      </c>
      <c r="B256" s="6" t="s">
        <v>1701</v>
      </c>
      <c r="C256" s="5">
        <v>46282</v>
      </c>
      <c r="D256" s="6" t="s">
        <v>19</v>
      </c>
      <c r="E256" s="6" t="s">
        <v>39</v>
      </c>
      <c r="F256" s="7" t="s">
        <v>1702</v>
      </c>
      <c r="G256" s="6" t="s">
        <v>34</v>
      </c>
      <c r="H256" s="6">
        <v>114</v>
      </c>
      <c r="I256" s="6" t="s">
        <v>42</v>
      </c>
      <c r="J256" s="6" t="s">
        <v>42</v>
      </c>
      <c r="K256" s="8"/>
      <c r="L256" s="7" t="s">
        <v>1703</v>
      </c>
      <c r="M256" s="8"/>
      <c r="N256" s="8"/>
      <c r="O256" s="8"/>
      <c r="P256" s="6">
        <v>14</v>
      </c>
      <c r="Q256" s="5">
        <v>46302</v>
      </c>
      <c r="R256" s="8"/>
      <c r="S256" s="8"/>
      <c r="T256" s="8"/>
      <c r="U256" s="8"/>
      <c r="V256" s="8"/>
      <c r="W256" s="15" t="s">
        <v>89</v>
      </c>
      <c r="X256" s="6"/>
      <c r="Y256" s="8"/>
    </row>
    <row r="257" spans="1:25" ht="50.1" customHeight="1" thickBot="1" x14ac:dyDescent="0.3">
      <c r="A257" s="4" t="s">
        <v>1704</v>
      </c>
      <c r="B257" s="6" t="s">
        <v>1705</v>
      </c>
      <c r="C257" s="5">
        <v>46282</v>
      </c>
      <c r="D257" s="6" t="s">
        <v>28</v>
      </c>
      <c r="E257" s="6" t="s">
        <v>29</v>
      </c>
      <c r="F257" s="7" t="s">
        <v>593</v>
      </c>
      <c r="G257" s="6" t="s">
        <v>30</v>
      </c>
      <c r="H257" s="6">
        <v>503</v>
      </c>
      <c r="I257" s="6" t="s">
        <v>31</v>
      </c>
      <c r="J257" s="6" t="s">
        <v>32</v>
      </c>
      <c r="K257" s="8"/>
      <c r="L257" s="7" t="s">
        <v>1706</v>
      </c>
      <c r="M257" s="8"/>
      <c r="N257" s="8"/>
      <c r="O257" s="8"/>
      <c r="P257" s="6">
        <v>14</v>
      </c>
      <c r="Q257" s="5">
        <v>46302</v>
      </c>
      <c r="R257" s="8"/>
      <c r="S257" s="8"/>
      <c r="T257" s="8"/>
      <c r="U257" s="8"/>
      <c r="V257" s="8"/>
      <c r="W257" s="15" t="s">
        <v>89</v>
      </c>
      <c r="X257" s="6"/>
      <c r="Y257" s="8"/>
    </row>
    <row r="258" spans="1:25" ht="50.1" customHeight="1" thickBot="1" x14ac:dyDescent="0.3">
      <c r="A258" s="4" t="s">
        <v>1707</v>
      </c>
      <c r="B258" s="6" t="s">
        <v>1708</v>
      </c>
      <c r="C258" s="5">
        <v>46282</v>
      </c>
      <c r="D258" s="6" t="s">
        <v>33</v>
      </c>
      <c r="E258" s="6" t="s">
        <v>29</v>
      </c>
      <c r="F258" s="7" t="s">
        <v>1709</v>
      </c>
      <c r="G258" s="6" t="s">
        <v>30</v>
      </c>
      <c r="H258" s="6">
        <v>502</v>
      </c>
      <c r="I258" s="6" t="s">
        <v>37</v>
      </c>
      <c r="J258" s="6" t="s">
        <v>38</v>
      </c>
      <c r="K258" s="8"/>
      <c r="L258" s="7" t="s">
        <v>1710</v>
      </c>
      <c r="M258" s="8"/>
      <c r="N258" s="8"/>
      <c r="O258" s="8"/>
      <c r="P258" s="6">
        <v>14</v>
      </c>
      <c r="Q258" s="5">
        <v>46302</v>
      </c>
      <c r="R258" s="8"/>
      <c r="S258" s="8"/>
      <c r="T258" s="8"/>
      <c r="U258" s="8"/>
      <c r="V258" s="8"/>
      <c r="W258" s="15" t="s">
        <v>89</v>
      </c>
      <c r="X258" s="6"/>
      <c r="Y258" s="8"/>
    </row>
    <row r="259" spans="1:25" ht="50.1" customHeight="1" thickBot="1" x14ac:dyDescent="0.3">
      <c r="A259" s="4" t="s">
        <v>1711</v>
      </c>
      <c r="B259" s="6" t="s">
        <v>1712</v>
      </c>
      <c r="C259" s="5">
        <v>46282</v>
      </c>
      <c r="D259" s="6" t="s">
        <v>33</v>
      </c>
      <c r="E259" s="6" t="s">
        <v>29</v>
      </c>
      <c r="F259" s="7" t="s">
        <v>1713</v>
      </c>
      <c r="G259" s="6" t="s">
        <v>30</v>
      </c>
      <c r="H259" s="6">
        <v>502</v>
      </c>
      <c r="I259" s="6" t="s">
        <v>37</v>
      </c>
      <c r="J259" s="6" t="s">
        <v>38</v>
      </c>
      <c r="K259" s="8"/>
      <c r="L259" s="7" t="s">
        <v>491</v>
      </c>
      <c r="M259" s="8"/>
      <c r="N259" s="8"/>
      <c r="O259" s="8"/>
      <c r="P259" s="6">
        <v>14</v>
      </c>
      <c r="Q259" s="5">
        <v>46302</v>
      </c>
      <c r="R259" s="8"/>
      <c r="S259" s="8"/>
      <c r="T259" s="8"/>
      <c r="U259" s="8"/>
      <c r="V259" s="8"/>
      <c r="W259" s="15" t="s">
        <v>89</v>
      </c>
      <c r="X259" s="6"/>
      <c r="Y259" s="8"/>
    </row>
    <row r="260" spans="1:25" ht="50.1" customHeight="1" thickBot="1" x14ac:dyDescent="0.3">
      <c r="A260" s="4" t="s">
        <v>1714</v>
      </c>
      <c r="B260" s="6" t="s">
        <v>1715</v>
      </c>
      <c r="C260" s="5">
        <v>46282</v>
      </c>
      <c r="D260" s="6" t="s">
        <v>33</v>
      </c>
      <c r="E260" s="6" t="s">
        <v>39</v>
      </c>
      <c r="F260" s="7" t="s">
        <v>1716</v>
      </c>
      <c r="G260" s="6" t="s">
        <v>30</v>
      </c>
      <c r="H260" s="6">
        <v>503</v>
      </c>
      <c r="I260" s="6" t="s">
        <v>31</v>
      </c>
      <c r="J260" s="6" t="s">
        <v>93</v>
      </c>
      <c r="K260" s="8"/>
      <c r="L260" s="7" t="s">
        <v>1717</v>
      </c>
      <c r="M260" s="8"/>
      <c r="N260" s="8"/>
      <c r="O260" s="8"/>
      <c r="P260" s="6">
        <v>14</v>
      </c>
      <c r="Q260" s="5">
        <v>46302</v>
      </c>
      <c r="R260" s="8"/>
      <c r="S260" s="8"/>
      <c r="T260" s="8"/>
      <c r="U260" s="8"/>
      <c r="V260" s="8"/>
      <c r="W260" s="15" t="s">
        <v>89</v>
      </c>
      <c r="X260" s="6"/>
      <c r="Y260" s="8"/>
    </row>
    <row r="261" spans="1:25" ht="50.1" customHeight="1" thickBot="1" x14ac:dyDescent="0.3">
      <c r="A261" s="4" t="s">
        <v>1718</v>
      </c>
      <c r="B261" s="6" t="s">
        <v>1719</v>
      </c>
      <c r="C261" s="5">
        <v>46283</v>
      </c>
      <c r="D261" s="6" t="s">
        <v>19</v>
      </c>
      <c r="E261" s="6" t="s">
        <v>61</v>
      </c>
      <c r="F261" s="7" t="s">
        <v>1720</v>
      </c>
      <c r="G261" s="6" t="s">
        <v>22</v>
      </c>
      <c r="H261" s="6">
        <v>316</v>
      </c>
      <c r="I261" s="6" t="s">
        <v>23</v>
      </c>
      <c r="J261" s="6" t="s">
        <v>1721</v>
      </c>
      <c r="K261" s="8"/>
      <c r="L261" s="7" t="s">
        <v>1387</v>
      </c>
      <c r="M261" s="8"/>
      <c r="N261" s="8"/>
      <c r="O261" s="8"/>
      <c r="P261" s="6">
        <v>14</v>
      </c>
      <c r="Q261" s="5">
        <v>46302</v>
      </c>
      <c r="R261" s="8"/>
      <c r="S261" s="8"/>
      <c r="T261" s="8"/>
      <c r="U261" s="8"/>
      <c r="V261" s="8"/>
      <c r="W261" s="15" t="s">
        <v>89</v>
      </c>
      <c r="X261" s="8"/>
      <c r="Y261" s="8"/>
    </row>
    <row r="262" spans="1:25" ht="50.1" customHeight="1" thickBot="1" x14ac:dyDescent="0.3">
      <c r="A262" s="4" t="s">
        <v>1722</v>
      </c>
      <c r="B262" s="6" t="s">
        <v>1723</v>
      </c>
      <c r="C262" s="5">
        <v>46283</v>
      </c>
      <c r="D262" s="6" t="s">
        <v>19</v>
      </c>
      <c r="E262" s="6" t="s">
        <v>20</v>
      </c>
      <c r="F262" s="7" t="s">
        <v>505</v>
      </c>
      <c r="G262" s="6" t="s">
        <v>22</v>
      </c>
      <c r="H262" s="6">
        <v>316</v>
      </c>
      <c r="I262" s="6" t="s">
        <v>23</v>
      </c>
      <c r="J262" s="6" t="s">
        <v>595</v>
      </c>
      <c r="K262" s="8"/>
      <c r="L262" s="7" t="s">
        <v>1724</v>
      </c>
      <c r="M262" s="8"/>
      <c r="N262" s="8"/>
      <c r="O262" s="8"/>
      <c r="P262" s="6">
        <v>14</v>
      </c>
      <c r="Q262" s="5">
        <v>46303</v>
      </c>
      <c r="R262" s="8"/>
      <c r="S262" s="8"/>
      <c r="T262" s="8"/>
      <c r="U262" s="8"/>
      <c r="V262" s="8"/>
      <c r="W262" s="15" t="s">
        <v>89</v>
      </c>
      <c r="X262" s="8"/>
      <c r="Y262" s="8"/>
    </row>
    <row r="263" spans="1:25" ht="50.1" customHeight="1" thickBot="1" x14ac:dyDescent="0.3">
      <c r="A263" s="4" t="s">
        <v>1725</v>
      </c>
      <c r="B263" s="6" t="s">
        <v>1726</v>
      </c>
      <c r="C263" s="5">
        <v>46283</v>
      </c>
      <c r="D263" s="6" t="s">
        <v>19</v>
      </c>
      <c r="E263" s="6" t="s">
        <v>39</v>
      </c>
      <c r="F263" s="7" t="s">
        <v>1727</v>
      </c>
      <c r="G263" s="6" t="s">
        <v>34</v>
      </c>
      <c r="H263" s="6">
        <v>114</v>
      </c>
      <c r="I263" s="6" t="s">
        <v>41</v>
      </c>
      <c r="J263" s="6" t="s">
        <v>42</v>
      </c>
      <c r="K263" s="8"/>
      <c r="L263" s="7" t="s">
        <v>1728</v>
      </c>
      <c r="M263" s="8"/>
      <c r="N263" s="8"/>
      <c r="O263" s="8"/>
      <c r="P263" s="6">
        <v>14</v>
      </c>
      <c r="Q263" s="5">
        <v>46303</v>
      </c>
      <c r="R263" s="8"/>
      <c r="S263" s="8"/>
      <c r="T263" s="8"/>
      <c r="U263" s="8"/>
      <c r="V263" s="8"/>
      <c r="W263" s="15" t="s">
        <v>89</v>
      </c>
      <c r="X263" s="8"/>
      <c r="Y263" s="8"/>
    </row>
    <row r="264" spans="1:25" ht="50.1" customHeight="1" thickBot="1" x14ac:dyDescent="0.3">
      <c r="A264" s="4" t="s">
        <v>1729</v>
      </c>
      <c r="B264" s="6" t="s">
        <v>1730</v>
      </c>
      <c r="C264" s="5">
        <v>46283</v>
      </c>
      <c r="D264" s="6" t="s">
        <v>33</v>
      </c>
      <c r="E264" s="6" t="s">
        <v>29</v>
      </c>
      <c r="F264" s="7" t="s">
        <v>1731</v>
      </c>
      <c r="G264" s="6" t="s">
        <v>34</v>
      </c>
      <c r="H264" s="6">
        <v>127</v>
      </c>
      <c r="I264" s="6" t="s">
        <v>88</v>
      </c>
      <c r="J264" s="6" t="s">
        <v>71</v>
      </c>
      <c r="K264" s="8"/>
      <c r="L264" s="7" t="s">
        <v>1732</v>
      </c>
      <c r="M264" s="8"/>
      <c r="N264" s="8"/>
      <c r="O264" s="8"/>
      <c r="P264" s="6">
        <v>14</v>
      </c>
      <c r="Q264" s="5">
        <v>46303</v>
      </c>
      <c r="R264" s="8"/>
      <c r="S264" s="8"/>
      <c r="T264" s="8"/>
      <c r="U264" s="8"/>
      <c r="V264" s="8"/>
      <c r="W264" s="15" t="s">
        <v>89</v>
      </c>
      <c r="X264" s="8"/>
      <c r="Y264" s="8"/>
    </row>
    <row r="265" spans="1:25" ht="50.1" customHeight="1" thickBot="1" x14ac:dyDescent="0.3">
      <c r="A265" s="4" t="s">
        <v>1733</v>
      </c>
      <c r="B265" s="6" t="s">
        <v>1734</v>
      </c>
      <c r="C265" s="5">
        <v>46283</v>
      </c>
      <c r="D265" s="6" t="s">
        <v>33</v>
      </c>
      <c r="E265" s="6" t="s">
        <v>20</v>
      </c>
      <c r="F265" s="7" t="s">
        <v>1735</v>
      </c>
      <c r="G265" s="6" t="s">
        <v>22</v>
      </c>
      <c r="H265" s="6">
        <v>316</v>
      </c>
      <c r="I265" s="6" t="s">
        <v>23</v>
      </c>
      <c r="J265" s="6" t="s">
        <v>595</v>
      </c>
      <c r="K265" s="8"/>
      <c r="L265" s="7" t="s">
        <v>1736</v>
      </c>
      <c r="M265" s="8"/>
      <c r="N265" s="8"/>
      <c r="O265" s="8"/>
      <c r="P265" s="6">
        <v>14</v>
      </c>
      <c r="Q265" s="5">
        <v>46303</v>
      </c>
      <c r="R265" s="8"/>
      <c r="S265" s="8"/>
      <c r="T265" s="8"/>
      <c r="U265" s="8"/>
      <c r="V265" s="8"/>
      <c r="W265" s="15" t="s">
        <v>89</v>
      </c>
      <c r="X265" s="8"/>
      <c r="Y265" s="8"/>
    </row>
    <row r="266" spans="1:25" ht="50.1" customHeight="1" thickBot="1" x14ac:dyDescent="0.3">
      <c r="A266" s="4" t="s">
        <v>1737</v>
      </c>
      <c r="B266" s="6" t="s">
        <v>1738</v>
      </c>
      <c r="C266" s="5">
        <v>46283</v>
      </c>
      <c r="D266" s="6" t="s">
        <v>33</v>
      </c>
      <c r="E266" s="6" t="s">
        <v>39</v>
      </c>
      <c r="F266" s="7" t="s">
        <v>1739</v>
      </c>
      <c r="G266" s="6" t="s">
        <v>30</v>
      </c>
      <c r="H266" s="6">
        <v>503</v>
      </c>
      <c r="I266" s="6" t="s">
        <v>31</v>
      </c>
      <c r="J266" s="6" t="s">
        <v>1740</v>
      </c>
      <c r="K266" s="8"/>
      <c r="L266" s="7" t="s">
        <v>1741</v>
      </c>
      <c r="M266" s="8"/>
      <c r="N266" s="8"/>
      <c r="O266" s="8"/>
      <c r="P266" s="6">
        <v>14</v>
      </c>
      <c r="Q266" s="5">
        <v>46303</v>
      </c>
      <c r="R266" s="8"/>
      <c r="S266" s="8"/>
      <c r="T266" s="8"/>
      <c r="U266" s="8"/>
      <c r="V266" s="8"/>
      <c r="W266" s="15" t="s">
        <v>89</v>
      </c>
      <c r="X266" s="8"/>
      <c r="Y266" s="8"/>
    </row>
    <row r="267" spans="1:25" ht="50.1" customHeight="1" thickBot="1" x14ac:dyDescent="0.3">
      <c r="A267" s="4" t="s">
        <v>1742</v>
      </c>
      <c r="B267" s="6" t="s">
        <v>1743</v>
      </c>
      <c r="C267" s="5">
        <v>46283</v>
      </c>
      <c r="D267" s="6" t="s">
        <v>19</v>
      </c>
      <c r="E267" s="6" t="s">
        <v>460</v>
      </c>
      <c r="F267" s="7" t="s">
        <v>48</v>
      </c>
      <c r="G267" s="6" t="s">
        <v>22</v>
      </c>
      <c r="H267" s="6">
        <v>316</v>
      </c>
      <c r="I267" s="6" t="s">
        <v>23</v>
      </c>
      <c r="J267" s="6" t="s">
        <v>46</v>
      </c>
      <c r="K267" s="8"/>
      <c r="L267" s="7" t="s">
        <v>1744</v>
      </c>
      <c r="M267" s="8"/>
      <c r="N267" s="8"/>
      <c r="O267" s="8"/>
      <c r="P267" s="6">
        <v>14</v>
      </c>
      <c r="Q267" s="5">
        <v>46303</v>
      </c>
      <c r="R267" s="8"/>
      <c r="S267" s="8"/>
      <c r="T267" s="8"/>
      <c r="U267" s="8"/>
      <c r="V267" s="8"/>
      <c r="W267" s="15" t="s">
        <v>89</v>
      </c>
      <c r="X267" s="8"/>
      <c r="Y267" s="8"/>
    </row>
    <row r="268" spans="1:25" ht="50.1" customHeight="1" thickBot="1" x14ac:dyDescent="0.3">
      <c r="A268" s="4" t="s">
        <v>1745</v>
      </c>
      <c r="B268" s="6" t="s">
        <v>1746</v>
      </c>
      <c r="C268" s="5">
        <v>46283</v>
      </c>
      <c r="D268" s="6" t="s">
        <v>19</v>
      </c>
      <c r="E268" s="6" t="s">
        <v>39</v>
      </c>
      <c r="F268" s="7" t="s">
        <v>58</v>
      </c>
      <c r="G268" s="6" t="s">
        <v>34</v>
      </c>
      <c r="H268" s="6">
        <v>114</v>
      </c>
      <c r="I268" s="6" t="s">
        <v>41</v>
      </c>
      <c r="J268" s="6" t="s">
        <v>42</v>
      </c>
      <c r="K268" s="8"/>
      <c r="L268" s="7" t="s">
        <v>472</v>
      </c>
      <c r="M268" s="8"/>
      <c r="N268" s="8"/>
      <c r="O268" s="6" t="s">
        <v>1747</v>
      </c>
      <c r="P268" s="6">
        <v>14</v>
      </c>
      <c r="Q268" s="5">
        <v>46303</v>
      </c>
      <c r="R268" s="8"/>
      <c r="S268" s="8"/>
      <c r="T268" s="8"/>
      <c r="U268" s="8"/>
      <c r="V268" s="8"/>
      <c r="W268" s="15" t="s">
        <v>89</v>
      </c>
      <c r="X268" s="8"/>
      <c r="Y268" s="8"/>
    </row>
    <row r="269" spans="1:25" ht="50.1" customHeight="1" thickBot="1" x14ac:dyDescent="0.3">
      <c r="A269" s="4" t="s">
        <v>1748</v>
      </c>
      <c r="B269" s="6" t="s">
        <v>1749</v>
      </c>
      <c r="C269" s="5">
        <v>46283</v>
      </c>
      <c r="D269" s="6" t="s">
        <v>19</v>
      </c>
      <c r="E269" s="6" t="s">
        <v>39</v>
      </c>
      <c r="F269" s="7" t="s">
        <v>1750</v>
      </c>
      <c r="G269" s="6" t="s">
        <v>34</v>
      </c>
      <c r="H269" s="6">
        <v>114</v>
      </c>
      <c r="I269" s="6" t="s">
        <v>41</v>
      </c>
      <c r="J269" s="6" t="s">
        <v>42</v>
      </c>
      <c r="K269" s="8"/>
      <c r="L269" s="7" t="s">
        <v>472</v>
      </c>
      <c r="M269" s="8"/>
      <c r="N269" s="8"/>
      <c r="O269" s="2" t="s">
        <v>1747</v>
      </c>
      <c r="P269" s="6">
        <v>14</v>
      </c>
      <c r="Q269" s="5">
        <v>46303</v>
      </c>
      <c r="R269" s="8"/>
      <c r="S269" s="8"/>
      <c r="T269" s="8"/>
      <c r="U269" s="8"/>
      <c r="V269" s="8"/>
      <c r="W269" s="15" t="s">
        <v>89</v>
      </c>
      <c r="X269" s="8"/>
      <c r="Y269" s="8"/>
    </row>
    <row r="270" spans="1:25" ht="50.1" customHeight="1" thickBot="1" x14ac:dyDescent="0.3">
      <c r="A270" s="4" t="s">
        <v>1751</v>
      </c>
      <c r="B270" s="6" t="s">
        <v>1752</v>
      </c>
      <c r="C270" s="5">
        <v>46283</v>
      </c>
      <c r="D270" s="6" t="s">
        <v>33</v>
      </c>
      <c r="E270" s="6" t="s">
        <v>63</v>
      </c>
      <c r="F270" s="7" t="s">
        <v>1753</v>
      </c>
      <c r="G270" s="6" t="s">
        <v>22</v>
      </c>
      <c r="H270" s="6">
        <v>316</v>
      </c>
      <c r="I270" s="6" t="s">
        <v>23</v>
      </c>
      <c r="J270" s="6" t="s">
        <v>75</v>
      </c>
      <c r="K270" s="8"/>
      <c r="L270" s="7" t="s">
        <v>1754</v>
      </c>
      <c r="M270" s="8"/>
      <c r="N270" s="8"/>
      <c r="O270" s="8"/>
      <c r="P270" s="6">
        <v>14</v>
      </c>
      <c r="Q270" s="5">
        <v>46303</v>
      </c>
      <c r="R270" s="8"/>
      <c r="S270" s="8"/>
      <c r="T270" s="8"/>
      <c r="U270" s="8"/>
      <c r="V270" s="8"/>
      <c r="W270" s="15" t="s">
        <v>89</v>
      </c>
      <c r="X270" s="8"/>
      <c r="Y270" s="8"/>
    </row>
    <row r="271" spans="1:25" ht="50.1" customHeight="1" thickBot="1" x14ac:dyDescent="0.3">
      <c r="A271" s="4" t="s">
        <v>1755</v>
      </c>
      <c r="B271" s="6" t="s">
        <v>1756</v>
      </c>
      <c r="C271" s="5">
        <v>46283</v>
      </c>
      <c r="D271" s="6" t="s">
        <v>33</v>
      </c>
      <c r="E271" s="6" t="s">
        <v>460</v>
      </c>
      <c r="F271" s="7" t="s">
        <v>1757</v>
      </c>
      <c r="G271" s="6" t="s">
        <v>30</v>
      </c>
      <c r="H271" s="6">
        <v>503</v>
      </c>
      <c r="I271" s="6" t="s">
        <v>31</v>
      </c>
      <c r="J271" s="6" t="s">
        <v>59</v>
      </c>
      <c r="K271" s="8"/>
      <c r="L271" s="7" t="s">
        <v>491</v>
      </c>
      <c r="M271" s="8"/>
      <c r="N271" s="8"/>
      <c r="O271" s="8"/>
      <c r="P271" s="6">
        <v>14</v>
      </c>
      <c r="Q271" s="5">
        <v>46303</v>
      </c>
      <c r="R271" s="8"/>
      <c r="S271" s="8"/>
      <c r="T271" s="8"/>
      <c r="U271" s="8"/>
      <c r="V271" s="8"/>
      <c r="W271" s="15" t="s">
        <v>89</v>
      </c>
      <c r="X271" s="8"/>
      <c r="Y271" s="8"/>
    </row>
    <row r="272" spans="1:25" ht="50.1" customHeight="1" thickBot="1" x14ac:dyDescent="0.3">
      <c r="A272" s="872" t="s">
        <v>1758</v>
      </c>
      <c r="B272" s="6" t="s">
        <v>1759</v>
      </c>
      <c r="C272" s="5">
        <v>46283</v>
      </c>
      <c r="D272" s="6" t="s">
        <v>28</v>
      </c>
      <c r="E272" s="6" t="s">
        <v>29</v>
      </c>
      <c r="F272" s="7" t="s">
        <v>1760</v>
      </c>
      <c r="G272" s="6" t="s">
        <v>30</v>
      </c>
      <c r="H272" s="6">
        <v>503</v>
      </c>
      <c r="I272" s="6" t="s">
        <v>31</v>
      </c>
      <c r="J272" s="6" t="s">
        <v>32</v>
      </c>
      <c r="K272" s="8"/>
      <c r="L272" s="7" t="s">
        <v>591</v>
      </c>
      <c r="M272" s="8"/>
      <c r="N272" s="8"/>
      <c r="O272" s="8"/>
      <c r="P272" s="6">
        <v>14</v>
      </c>
      <c r="Q272" s="5">
        <v>46303</v>
      </c>
      <c r="R272" s="8"/>
      <c r="S272" s="8"/>
      <c r="T272" s="8"/>
      <c r="U272" s="8"/>
      <c r="V272" s="8"/>
      <c r="W272" s="15" t="s">
        <v>89</v>
      </c>
      <c r="X272" s="8"/>
      <c r="Y272" s="8"/>
    </row>
    <row r="273" spans="1:25" ht="50.1" customHeight="1" thickBot="1" x14ac:dyDescent="0.3">
      <c r="A273" s="4" t="s">
        <v>1761</v>
      </c>
      <c r="B273" s="6" t="s">
        <v>1762</v>
      </c>
      <c r="C273" s="5">
        <v>46283</v>
      </c>
      <c r="D273" s="6" t="s">
        <v>28</v>
      </c>
      <c r="E273" s="6" t="s">
        <v>29</v>
      </c>
      <c r="F273" s="7" t="s">
        <v>1763</v>
      </c>
      <c r="G273" s="6" t="s">
        <v>30</v>
      </c>
      <c r="H273" s="6">
        <v>503</v>
      </c>
      <c r="I273" s="6" t="s">
        <v>31</v>
      </c>
      <c r="J273" s="6" t="s">
        <v>59</v>
      </c>
      <c r="K273" s="8"/>
      <c r="L273" s="7" t="s">
        <v>1764</v>
      </c>
      <c r="M273" s="8"/>
      <c r="N273" s="8"/>
      <c r="O273" s="6" t="s">
        <v>621</v>
      </c>
      <c r="P273" s="6">
        <v>14</v>
      </c>
      <c r="Q273" s="5">
        <v>46303</v>
      </c>
      <c r="R273" s="8"/>
      <c r="S273" s="8"/>
      <c r="T273" s="8"/>
      <c r="U273" s="8"/>
      <c r="V273" s="8"/>
      <c r="W273" s="15" t="s">
        <v>89</v>
      </c>
      <c r="X273" s="8"/>
      <c r="Y273" s="8"/>
    </row>
    <row r="274" spans="1:25" ht="50.1" customHeight="1" thickBot="1" x14ac:dyDescent="0.3">
      <c r="A274" s="4" t="s">
        <v>1765</v>
      </c>
      <c r="B274" s="6" t="s">
        <v>1766</v>
      </c>
      <c r="C274" s="5">
        <v>46283</v>
      </c>
      <c r="D274" s="6" t="s">
        <v>28</v>
      </c>
      <c r="E274" s="6" t="s">
        <v>39</v>
      </c>
      <c r="F274" s="7" t="s">
        <v>1767</v>
      </c>
      <c r="G274" s="6" t="s">
        <v>30</v>
      </c>
      <c r="H274" s="6">
        <v>503</v>
      </c>
      <c r="I274" s="6" t="s">
        <v>31</v>
      </c>
      <c r="J274" s="6" t="s">
        <v>1768</v>
      </c>
      <c r="K274" s="8"/>
      <c r="L274" s="7" t="s">
        <v>1769</v>
      </c>
      <c r="M274" s="8"/>
      <c r="N274" s="3"/>
      <c r="O274" s="876" t="s">
        <v>1770</v>
      </c>
      <c r="P274" s="6">
        <v>14</v>
      </c>
      <c r="Q274" s="5">
        <v>46303</v>
      </c>
      <c r="R274" s="8"/>
      <c r="S274" s="8"/>
      <c r="T274" s="8"/>
      <c r="U274" s="8"/>
      <c r="V274" s="8"/>
      <c r="W274" s="8"/>
      <c r="X274" s="8"/>
      <c r="Y274" s="8"/>
    </row>
    <row r="275" spans="1:25" ht="50.1" customHeight="1" thickBot="1" x14ac:dyDescent="0.3">
      <c r="A275" s="4" t="s">
        <v>1771</v>
      </c>
      <c r="B275" s="6" t="s">
        <v>1772</v>
      </c>
      <c r="C275" s="5">
        <v>46283</v>
      </c>
      <c r="D275" s="6" t="s">
        <v>28</v>
      </c>
      <c r="E275" s="6" t="s">
        <v>39</v>
      </c>
      <c r="F275" s="7" t="s">
        <v>1773</v>
      </c>
      <c r="G275" s="6" t="s">
        <v>30</v>
      </c>
      <c r="H275" s="6">
        <v>503</v>
      </c>
      <c r="I275" s="6" t="s">
        <v>31</v>
      </c>
      <c r="J275" s="6" t="s">
        <v>93</v>
      </c>
      <c r="K275" s="8"/>
      <c r="L275" s="7" t="s">
        <v>1774</v>
      </c>
      <c r="M275" s="8"/>
      <c r="N275" s="8"/>
      <c r="O275" s="8"/>
      <c r="P275" s="6">
        <v>14</v>
      </c>
      <c r="Q275" s="5">
        <v>46303</v>
      </c>
      <c r="R275" s="8"/>
      <c r="S275" s="8"/>
      <c r="T275" s="8"/>
      <c r="U275" s="8"/>
      <c r="V275" s="8"/>
      <c r="W275" s="8"/>
      <c r="X275" s="8"/>
      <c r="Y275" s="8"/>
    </row>
    <row r="276" spans="1:25" ht="50.1" customHeight="1" thickBot="1" x14ac:dyDescent="0.3">
      <c r="A276" s="4" t="s">
        <v>1775</v>
      </c>
      <c r="B276" s="6" t="s">
        <v>1776</v>
      </c>
      <c r="C276" s="5">
        <v>46283</v>
      </c>
      <c r="D276" s="6" t="s">
        <v>28</v>
      </c>
      <c r="E276" s="6" t="s">
        <v>460</v>
      </c>
      <c r="F276" s="7" t="s">
        <v>1777</v>
      </c>
      <c r="G276" s="6" t="s">
        <v>30</v>
      </c>
      <c r="H276" s="6">
        <v>316</v>
      </c>
      <c r="I276" s="6" t="s">
        <v>23</v>
      </c>
      <c r="J276" s="6" t="s">
        <v>1778</v>
      </c>
      <c r="K276" s="8"/>
      <c r="L276" s="7" t="s">
        <v>1779</v>
      </c>
      <c r="M276" s="8"/>
      <c r="N276" s="8"/>
      <c r="O276" s="8"/>
      <c r="P276" s="6">
        <v>14</v>
      </c>
      <c r="Q276" s="5">
        <v>46303</v>
      </c>
      <c r="R276" s="8"/>
      <c r="S276" s="8"/>
      <c r="T276" s="8"/>
      <c r="U276" s="8"/>
      <c r="V276" s="8"/>
      <c r="W276" s="8"/>
      <c r="X276" s="8"/>
      <c r="Y276" s="8"/>
    </row>
    <row r="277" spans="1:25" ht="50.1" customHeight="1" thickBot="1" x14ac:dyDescent="0.3">
      <c r="A277" s="4" t="s">
        <v>1780</v>
      </c>
      <c r="B277" s="6" t="s">
        <v>1781</v>
      </c>
      <c r="C277" s="5">
        <v>46283</v>
      </c>
      <c r="D277" s="6" t="s">
        <v>33</v>
      </c>
      <c r="E277" s="6" t="s">
        <v>29</v>
      </c>
      <c r="F277" s="7" t="s">
        <v>359</v>
      </c>
      <c r="G277" s="6" t="s">
        <v>30</v>
      </c>
      <c r="H277" s="6">
        <v>106</v>
      </c>
      <c r="I277" s="6" t="s">
        <v>112</v>
      </c>
      <c r="J277" s="6" t="s">
        <v>53</v>
      </c>
      <c r="K277" s="8"/>
      <c r="L277" s="7" t="s">
        <v>487</v>
      </c>
      <c r="M277" s="8"/>
      <c r="N277" s="8"/>
      <c r="O277" s="8"/>
      <c r="P277" s="6">
        <v>14</v>
      </c>
      <c r="Q277" s="5">
        <v>46303</v>
      </c>
      <c r="R277" s="8"/>
      <c r="S277" s="8"/>
      <c r="T277" s="8"/>
      <c r="U277" s="8"/>
      <c r="V277" s="8"/>
      <c r="W277" s="8"/>
      <c r="X277" s="8"/>
      <c r="Y277" s="8"/>
    </row>
    <row r="278" spans="1:25" ht="50.1" customHeight="1" thickBot="1" x14ac:dyDescent="0.3">
      <c r="A278" s="4" t="s">
        <v>1782</v>
      </c>
      <c r="B278" s="6" t="s">
        <v>1783</v>
      </c>
      <c r="C278" s="5">
        <v>46283</v>
      </c>
      <c r="D278" s="6" t="s">
        <v>33</v>
      </c>
      <c r="E278" s="6" t="s">
        <v>29</v>
      </c>
      <c r="F278" s="7" t="s">
        <v>1784</v>
      </c>
      <c r="G278" s="6" t="s">
        <v>34</v>
      </c>
      <c r="H278" s="6">
        <v>122</v>
      </c>
      <c r="I278" s="6" t="s">
        <v>50</v>
      </c>
      <c r="J278" s="6" t="s">
        <v>285</v>
      </c>
      <c r="K278" s="8"/>
      <c r="L278" s="7" t="s">
        <v>1785</v>
      </c>
      <c r="M278" s="8"/>
      <c r="N278" s="8"/>
      <c r="O278" s="8"/>
      <c r="P278" s="6">
        <v>14</v>
      </c>
      <c r="Q278" s="5">
        <v>46303</v>
      </c>
      <c r="R278" s="8"/>
      <c r="S278" s="8"/>
      <c r="T278" s="8"/>
      <c r="U278" s="8"/>
      <c r="V278" s="8"/>
      <c r="W278" s="8"/>
      <c r="X278" s="8"/>
      <c r="Y278" s="8"/>
    </row>
    <row r="279" spans="1:25" ht="50.1" customHeight="1" thickBot="1" x14ac:dyDescent="0.3">
      <c r="A279" s="4" t="s">
        <v>1786</v>
      </c>
      <c r="B279" s="6" t="s">
        <v>1787</v>
      </c>
      <c r="C279" s="5">
        <v>46283</v>
      </c>
      <c r="D279" s="6" t="s">
        <v>19</v>
      </c>
      <c r="E279" s="6" t="s">
        <v>460</v>
      </c>
      <c r="F279" s="7" t="s">
        <v>1788</v>
      </c>
      <c r="G279" s="6" t="s">
        <v>22</v>
      </c>
      <c r="H279" s="6">
        <v>316</v>
      </c>
      <c r="I279" s="6" t="s">
        <v>23</v>
      </c>
      <c r="J279" s="6" t="s">
        <v>46</v>
      </c>
      <c r="K279" s="8"/>
      <c r="L279" s="7" t="s">
        <v>1789</v>
      </c>
      <c r="M279" s="8"/>
      <c r="N279" s="8"/>
      <c r="O279" s="8"/>
      <c r="P279" s="6">
        <v>14</v>
      </c>
      <c r="Q279" s="5">
        <v>46303</v>
      </c>
      <c r="R279" s="8"/>
      <c r="S279" s="8"/>
      <c r="T279" s="8"/>
      <c r="U279" s="8"/>
      <c r="V279" s="8"/>
      <c r="W279" s="8"/>
      <c r="X279" s="8"/>
      <c r="Y279" s="8"/>
    </row>
    <row r="280" spans="1:25" ht="50.1" customHeight="1" thickBot="1" x14ac:dyDescent="0.3">
      <c r="A280" s="4" t="s">
        <v>1790</v>
      </c>
      <c r="B280" s="6" t="s">
        <v>1791</v>
      </c>
      <c r="C280" s="5">
        <v>46283</v>
      </c>
      <c r="D280" s="6" t="s">
        <v>19</v>
      </c>
      <c r="E280" s="6" t="s">
        <v>39</v>
      </c>
      <c r="F280" s="7" t="s">
        <v>1792</v>
      </c>
      <c r="G280" s="6" t="s">
        <v>30</v>
      </c>
      <c r="H280" s="6">
        <v>503</v>
      </c>
      <c r="I280" s="6" t="s">
        <v>31</v>
      </c>
      <c r="J280" s="6" t="s">
        <v>93</v>
      </c>
      <c r="K280" s="8"/>
      <c r="L280" s="7" t="s">
        <v>1793</v>
      </c>
      <c r="M280" s="8"/>
      <c r="N280" s="8"/>
      <c r="O280" s="8"/>
      <c r="P280" s="6">
        <v>14</v>
      </c>
      <c r="Q280" s="5">
        <v>46303</v>
      </c>
      <c r="R280" s="8"/>
      <c r="S280" s="8"/>
      <c r="T280" s="8"/>
      <c r="U280" s="8"/>
      <c r="V280" s="8"/>
      <c r="W280" s="8"/>
      <c r="X280" s="8"/>
      <c r="Y280" s="8"/>
    </row>
    <row r="281" spans="1:25" ht="50.1" customHeight="1" thickBot="1" x14ac:dyDescent="0.3">
      <c r="A281" s="4" t="s">
        <v>1794</v>
      </c>
      <c r="B281" s="6" t="s">
        <v>1795</v>
      </c>
      <c r="C281" s="5">
        <v>46284</v>
      </c>
      <c r="D281" s="6" t="s">
        <v>19</v>
      </c>
      <c r="E281" s="6" t="s">
        <v>29</v>
      </c>
      <c r="F281" s="7" t="s">
        <v>92</v>
      </c>
      <c r="G281" s="6" t="s">
        <v>30</v>
      </c>
      <c r="H281" s="6">
        <v>106</v>
      </c>
      <c r="I281" s="6" t="s">
        <v>112</v>
      </c>
      <c r="J281" s="6" t="s">
        <v>53</v>
      </c>
      <c r="K281" s="8"/>
      <c r="L281" s="7" t="s">
        <v>1796</v>
      </c>
      <c r="M281" s="8"/>
      <c r="N281" s="8"/>
      <c r="O281" s="8"/>
      <c r="P281" s="6">
        <v>14</v>
      </c>
      <c r="Q281" s="5">
        <v>46303</v>
      </c>
      <c r="R281" s="8"/>
      <c r="S281" s="8"/>
      <c r="T281" s="8"/>
      <c r="U281" s="8"/>
      <c r="V281" s="8"/>
      <c r="W281" s="8"/>
      <c r="X281" s="8"/>
      <c r="Y281" s="8"/>
    </row>
    <row r="282" spans="1:25" ht="50.1" customHeight="1" thickBot="1" x14ac:dyDescent="0.3">
      <c r="A282" s="4" t="s">
        <v>1797</v>
      </c>
      <c r="B282" s="6" t="s">
        <v>1798</v>
      </c>
      <c r="C282" s="5">
        <v>46284</v>
      </c>
      <c r="D282" s="6" t="s">
        <v>19</v>
      </c>
      <c r="E282" s="6" t="s">
        <v>20</v>
      </c>
      <c r="F282" s="7" t="s">
        <v>21</v>
      </c>
      <c r="G282" s="6" t="s">
        <v>22</v>
      </c>
      <c r="H282" s="6">
        <v>316</v>
      </c>
      <c r="I282" s="6" t="s">
        <v>23</v>
      </c>
      <c r="J282" s="6" t="s">
        <v>595</v>
      </c>
      <c r="K282" s="8"/>
      <c r="L282" s="7" t="s">
        <v>597</v>
      </c>
      <c r="M282" s="8"/>
      <c r="N282" s="8"/>
      <c r="O282" s="8"/>
      <c r="P282" s="6">
        <v>14</v>
      </c>
      <c r="Q282" s="5">
        <v>46303</v>
      </c>
      <c r="R282" s="8"/>
      <c r="S282" s="8"/>
      <c r="T282" s="8"/>
      <c r="U282" s="8"/>
      <c r="V282" s="8"/>
      <c r="W282" s="8"/>
      <c r="X282" s="8"/>
      <c r="Y282" s="8"/>
    </row>
    <row r="283" spans="1:25" ht="50.1" customHeight="1" thickBot="1" x14ac:dyDescent="0.3">
      <c r="A283" s="4" t="s">
        <v>1799</v>
      </c>
      <c r="B283" s="6" t="s">
        <v>1800</v>
      </c>
      <c r="C283" s="5">
        <v>46284</v>
      </c>
      <c r="D283" s="6" t="s">
        <v>19</v>
      </c>
      <c r="E283" s="6" t="s">
        <v>460</v>
      </c>
      <c r="F283" s="7" t="s">
        <v>380</v>
      </c>
      <c r="G283" s="6" t="s">
        <v>22</v>
      </c>
      <c r="H283" s="6">
        <v>316</v>
      </c>
      <c r="I283" s="6" t="s">
        <v>23</v>
      </c>
      <c r="J283" s="6" t="s">
        <v>595</v>
      </c>
      <c r="K283" s="8"/>
      <c r="L283" s="7" t="s">
        <v>1801</v>
      </c>
      <c r="M283" s="8"/>
      <c r="N283" s="8"/>
      <c r="O283" s="8"/>
      <c r="P283" s="6">
        <v>14</v>
      </c>
      <c r="Q283" s="5">
        <v>46303</v>
      </c>
      <c r="R283" s="8"/>
      <c r="S283" s="8"/>
      <c r="T283" s="8"/>
      <c r="U283" s="8"/>
      <c r="V283" s="8"/>
      <c r="W283" s="8"/>
      <c r="X283" s="8"/>
      <c r="Y283" s="8"/>
    </row>
    <row r="284" spans="1:25" ht="50.1" customHeight="1" thickBot="1" x14ac:dyDescent="0.3">
      <c r="A284" s="4" t="s">
        <v>1802</v>
      </c>
      <c r="B284" s="6" t="s">
        <v>1803</v>
      </c>
      <c r="C284" s="5">
        <v>46286</v>
      </c>
      <c r="D284" s="6" t="s">
        <v>33</v>
      </c>
      <c r="E284" s="6" t="s">
        <v>63</v>
      </c>
      <c r="F284" s="7" t="s">
        <v>1804</v>
      </c>
      <c r="G284" s="6" t="s">
        <v>22</v>
      </c>
      <c r="H284" s="6">
        <v>316</v>
      </c>
      <c r="I284" s="6" t="s">
        <v>23</v>
      </c>
      <c r="J284" s="6" t="s">
        <v>74</v>
      </c>
      <c r="K284" s="8"/>
      <c r="L284" s="7" t="s">
        <v>1805</v>
      </c>
      <c r="M284" s="8"/>
      <c r="N284" s="8"/>
      <c r="O284" s="8"/>
      <c r="P284" s="6">
        <v>14</v>
      </c>
      <c r="Q284" s="5">
        <v>46303</v>
      </c>
      <c r="R284" s="8"/>
      <c r="S284" s="8"/>
      <c r="T284" s="8"/>
      <c r="U284" s="8"/>
      <c r="V284" s="8"/>
      <c r="W284" s="8"/>
      <c r="X284" s="8"/>
      <c r="Y284" s="8"/>
    </row>
    <row r="285" spans="1:25" ht="50.1" customHeight="1" thickBot="1" x14ac:dyDescent="0.3">
      <c r="A285" s="4" t="s">
        <v>1806</v>
      </c>
      <c r="B285" s="6" t="s">
        <v>1807</v>
      </c>
      <c r="C285" s="5">
        <v>46286</v>
      </c>
      <c r="D285" s="6" t="s">
        <v>19</v>
      </c>
      <c r="E285" s="6" t="s">
        <v>61</v>
      </c>
      <c r="F285" s="7" t="s">
        <v>466</v>
      </c>
      <c r="G285" s="6" t="s">
        <v>22</v>
      </c>
      <c r="H285" s="6">
        <v>316</v>
      </c>
      <c r="I285" s="6" t="s">
        <v>23</v>
      </c>
      <c r="J285" s="6" t="s">
        <v>62</v>
      </c>
      <c r="K285" s="8"/>
      <c r="L285" s="7" t="s">
        <v>1808</v>
      </c>
      <c r="M285" s="8"/>
      <c r="N285" s="8"/>
      <c r="O285" s="8"/>
      <c r="P285" s="6">
        <v>14</v>
      </c>
      <c r="Q285" s="5">
        <v>46304</v>
      </c>
      <c r="R285" s="8"/>
      <c r="S285" s="8"/>
      <c r="T285" s="8"/>
      <c r="U285" s="8"/>
      <c r="V285" s="8"/>
      <c r="W285" s="8"/>
      <c r="X285" s="8"/>
      <c r="Y285" s="8"/>
    </row>
    <row r="286" spans="1:25" ht="50.1" customHeight="1" thickBot="1" x14ac:dyDescent="0.3">
      <c r="A286" s="4" t="s">
        <v>1809</v>
      </c>
      <c r="B286" s="6" t="s">
        <v>1810</v>
      </c>
      <c r="C286" s="5">
        <v>46286</v>
      </c>
      <c r="D286" s="6" t="s">
        <v>19</v>
      </c>
      <c r="E286" s="6" t="s">
        <v>20</v>
      </c>
      <c r="F286" s="7" t="s">
        <v>1811</v>
      </c>
      <c r="G286" s="6" t="s">
        <v>22</v>
      </c>
      <c r="H286" s="6">
        <v>304</v>
      </c>
      <c r="I286" s="6" t="s">
        <v>43</v>
      </c>
      <c r="J286" s="6" t="s">
        <v>44</v>
      </c>
      <c r="K286" s="8"/>
      <c r="L286" s="7" t="s">
        <v>1812</v>
      </c>
      <c r="M286" s="8"/>
      <c r="N286" s="8"/>
      <c r="O286" s="8"/>
      <c r="P286" s="6">
        <v>14</v>
      </c>
      <c r="Q286" s="5">
        <v>46304</v>
      </c>
      <c r="R286" s="8"/>
      <c r="S286" s="8"/>
      <c r="T286" s="8"/>
      <c r="U286" s="8"/>
      <c r="V286" s="8"/>
      <c r="W286" s="8"/>
      <c r="X286" s="8"/>
      <c r="Y286" s="8"/>
    </row>
    <row r="287" spans="1:25" ht="50.1" customHeight="1" thickBot="1" x14ac:dyDescent="0.3">
      <c r="A287" s="4" t="s">
        <v>1813</v>
      </c>
      <c r="B287" s="6" t="s">
        <v>1814</v>
      </c>
      <c r="C287" s="5">
        <v>46286</v>
      </c>
      <c r="D287" s="6" t="s">
        <v>19</v>
      </c>
      <c r="E287" s="6" t="s">
        <v>63</v>
      </c>
      <c r="F287" s="7" t="s">
        <v>1815</v>
      </c>
      <c r="G287" s="6" t="s">
        <v>22</v>
      </c>
      <c r="H287" s="6">
        <v>316</v>
      </c>
      <c r="I287" s="6" t="s">
        <v>23</v>
      </c>
      <c r="J287" s="6" t="s">
        <v>75</v>
      </c>
      <c r="K287" s="8"/>
      <c r="L287" s="7" t="s">
        <v>500</v>
      </c>
      <c r="M287" s="6">
        <v>10822260</v>
      </c>
      <c r="N287" s="8"/>
      <c r="O287" s="8"/>
      <c r="P287" s="6">
        <v>14</v>
      </c>
      <c r="Q287" s="5">
        <v>46304</v>
      </c>
      <c r="R287" s="8"/>
      <c r="S287" s="8"/>
      <c r="T287" s="8"/>
      <c r="U287" s="8"/>
      <c r="V287" s="8"/>
      <c r="W287" s="8"/>
      <c r="X287" s="8"/>
      <c r="Y287" s="8"/>
    </row>
    <row r="288" spans="1:25" ht="50.1" customHeight="1" thickBot="1" x14ac:dyDescent="0.3">
      <c r="A288" s="4" t="s">
        <v>1816</v>
      </c>
      <c r="B288" s="6" t="s">
        <v>1817</v>
      </c>
      <c r="C288" s="5">
        <v>46286</v>
      </c>
      <c r="D288" s="6" t="s">
        <v>19</v>
      </c>
      <c r="E288" s="6" t="s">
        <v>39</v>
      </c>
      <c r="F288" s="7" t="s">
        <v>1818</v>
      </c>
      <c r="G288" s="6" t="s">
        <v>22</v>
      </c>
      <c r="H288" s="6">
        <v>311</v>
      </c>
      <c r="I288" s="6" t="s">
        <v>64</v>
      </c>
      <c r="J288" s="6" t="s">
        <v>72</v>
      </c>
      <c r="K288" s="8"/>
      <c r="L288" s="7" t="s">
        <v>1819</v>
      </c>
      <c r="M288" s="8"/>
      <c r="N288" s="8"/>
      <c r="O288" s="8"/>
      <c r="P288" s="6">
        <v>14</v>
      </c>
      <c r="Q288" s="5">
        <v>46304</v>
      </c>
      <c r="R288" s="8"/>
      <c r="S288" s="8"/>
      <c r="T288" s="8"/>
      <c r="U288" s="8"/>
      <c r="V288" s="8"/>
      <c r="W288" s="8"/>
      <c r="X288" s="8"/>
      <c r="Y288" s="8"/>
    </row>
    <row r="289" spans="1:25" ht="50.1" customHeight="1" thickBot="1" x14ac:dyDescent="0.3">
      <c r="A289" s="4" t="s">
        <v>1820</v>
      </c>
      <c r="B289" s="6" t="s">
        <v>1821</v>
      </c>
      <c r="C289" s="5">
        <v>46286</v>
      </c>
      <c r="D289" s="6" t="s">
        <v>19</v>
      </c>
      <c r="E289" s="6" t="s">
        <v>20</v>
      </c>
      <c r="F289" s="7" t="s">
        <v>1822</v>
      </c>
      <c r="G289" s="6" t="s">
        <v>30</v>
      </c>
      <c r="H289" s="6">
        <v>316</v>
      </c>
      <c r="I289" s="6" t="s">
        <v>23</v>
      </c>
      <c r="J289" s="6" t="s">
        <v>46</v>
      </c>
      <c r="K289" s="8"/>
      <c r="L289" s="7" t="s">
        <v>1823</v>
      </c>
      <c r="M289" s="8"/>
      <c r="N289" s="8"/>
      <c r="O289" s="8"/>
      <c r="P289" s="6">
        <v>14</v>
      </c>
      <c r="Q289" s="5">
        <v>46304</v>
      </c>
      <c r="R289" s="8"/>
      <c r="S289" s="8"/>
      <c r="T289" s="8"/>
      <c r="U289" s="8"/>
      <c r="V289" s="8"/>
      <c r="W289" s="8"/>
      <c r="X289" s="8"/>
      <c r="Y289" s="8"/>
    </row>
    <row r="290" spans="1:25" ht="50.1" customHeight="1" thickBot="1" x14ac:dyDescent="0.3">
      <c r="A290" s="4" t="s">
        <v>1824</v>
      </c>
      <c r="B290" s="6" t="s">
        <v>1825</v>
      </c>
      <c r="C290" s="5">
        <v>46286</v>
      </c>
      <c r="D290" s="6" t="s">
        <v>19</v>
      </c>
      <c r="E290" s="6" t="s">
        <v>39</v>
      </c>
      <c r="F290" s="7" t="s">
        <v>1826</v>
      </c>
      <c r="G290" s="6" t="s">
        <v>34</v>
      </c>
      <c r="H290" s="6">
        <v>114</v>
      </c>
      <c r="I290" s="6" t="s">
        <v>41</v>
      </c>
      <c r="J290" s="6" t="s">
        <v>42</v>
      </c>
      <c r="K290" s="8"/>
      <c r="L290" s="7" t="s">
        <v>1827</v>
      </c>
      <c r="M290" s="8"/>
      <c r="N290" s="8"/>
      <c r="O290" s="8"/>
      <c r="P290" s="6">
        <v>14</v>
      </c>
      <c r="Q290" s="5">
        <v>46304</v>
      </c>
      <c r="R290" s="8"/>
      <c r="S290" s="8"/>
      <c r="T290" s="8"/>
      <c r="U290" s="8"/>
      <c r="V290" s="8"/>
      <c r="W290" s="8"/>
      <c r="X290" s="8"/>
      <c r="Y290" s="8"/>
    </row>
    <row r="291" spans="1:25" ht="50.1" customHeight="1" thickBot="1" x14ac:dyDescent="0.3">
      <c r="A291" s="4" t="s">
        <v>1828</v>
      </c>
      <c r="B291" s="6" t="s">
        <v>1829</v>
      </c>
      <c r="C291" s="5">
        <v>46286</v>
      </c>
      <c r="D291" s="6" t="s">
        <v>33</v>
      </c>
      <c r="E291" s="6" t="s">
        <v>61</v>
      </c>
      <c r="F291" s="7" t="s">
        <v>1830</v>
      </c>
      <c r="G291" s="6" t="s">
        <v>22</v>
      </c>
      <c r="H291" s="6">
        <v>316</v>
      </c>
      <c r="I291" s="6" t="s">
        <v>23</v>
      </c>
      <c r="J291" s="6" t="s">
        <v>62</v>
      </c>
      <c r="K291" s="8"/>
      <c r="L291" s="7" t="s">
        <v>1831</v>
      </c>
      <c r="M291" s="8"/>
      <c r="N291" s="8"/>
      <c r="O291" s="8"/>
      <c r="P291" s="6">
        <v>14</v>
      </c>
      <c r="Q291" s="5">
        <v>46304</v>
      </c>
      <c r="R291" s="8"/>
      <c r="S291" s="8"/>
      <c r="T291" s="8"/>
      <c r="U291" s="8"/>
      <c r="V291" s="8"/>
      <c r="W291" s="8"/>
      <c r="X291" s="8"/>
      <c r="Y291" s="8"/>
    </row>
    <row r="292" spans="1:25" ht="50.1" customHeight="1" thickBot="1" x14ac:dyDescent="0.3">
      <c r="A292" s="4" t="s">
        <v>1832</v>
      </c>
      <c r="B292" s="6" t="s">
        <v>1833</v>
      </c>
      <c r="C292" s="5">
        <v>46286</v>
      </c>
      <c r="D292" s="6" t="s">
        <v>33</v>
      </c>
      <c r="E292" s="6" t="s">
        <v>29</v>
      </c>
      <c r="F292" s="7" t="s">
        <v>1834</v>
      </c>
      <c r="G292" s="6" t="s">
        <v>30</v>
      </c>
      <c r="H292" s="6">
        <v>502</v>
      </c>
      <c r="I292" s="6" t="s">
        <v>37</v>
      </c>
      <c r="J292" s="6" t="s">
        <v>38</v>
      </c>
      <c r="K292" s="8"/>
      <c r="L292" s="7" t="s">
        <v>1835</v>
      </c>
      <c r="M292" s="8"/>
      <c r="N292" s="8"/>
      <c r="O292" s="8"/>
      <c r="P292" s="6">
        <v>14</v>
      </c>
      <c r="Q292" s="5">
        <v>46304</v>
      </c>
      <c r="R292" s="8"/>
      <c r="S292" s="8"/>
      <c r="T292" s="8"/>
      <c r="U292" s="8"/>
      <c r="V292" s="8"/>
      <c r="W292" s="8"/>
      <c r="X292" s="8"/>
      <c r="Y292" s="8"/>
    </row>
    <row r="293" spans="1:25" ht="50.1" customHeight="1" thickBot="1" x14ac:dyDescent="0.3">
      <c r="A293" s="4" t="s">
        <v>1836</v>
      </c>
      <c r="B293" s="6" t="s">
        <v>1837</v>
      </c>
      <c r="C293" s="5">
        <v>46286</v>
      </c>
      <c r="D293" s="6" t="s">
        <v>19</v>
      </c>
      <c r="E293" s="6" t="s">
        <v>39</v>
      </c>
      <c r="F293" s="7" t="s">
        <v>58</v>
      </c>
      <c r="G293" s="6" t="s">
        <v>34</v>
      </c>
      <c r="H293" s="6">
        <v>114</v>
      </c>
      <c r="I293" s="6" t="s">
        <v>41</v>
      </c>
      <c r="J293" s="6" t="s">
        <v>42</v>
      </c>
      <c r="K293" s="8"/>
      <c r="L293" s="7" t="s">
        <v>1838</v>
      </c>
      <c r="M293" s="8"/>
      <c r="N293" s="8"/>
      <c r="O293" s="8"/>
      <c r="P293" s="6">
        <v>14</v>
      </c>
      <c r="Q293" s="5">
        <v>46304</v>
      </c>
      <c r="R293" s="8"/>
      <c r="S293" s="8"/>
      <c r="T293" s="8"/>
      <c r="U293" s="8"/>
      <c r="V293" s="8"/>
      <c r="W293" s="8"/>
      <c r="X293" s="8"/>
      <c r="Y293" s="8"/>
    </row>
    <row r="294" spans="1:25" ht="50.1" customHeight="1" thickBot="1" x14ac:dyDescent="0.3">
      <c r="A294" s="4" t="s">
        <v>1839</v>
      </c>
      <c r="B294" s="6" t="s">
        <v>1840</v>
      </c>
      <c r="C294" s="5">
        <v>46286</v>
      </c>
      <c r="D294" s="6" t="s">
        <v>19</v>
      </c>
      <c r="E294" s="6" t="s">
        <v>39</v>
      </c>
      <c r="F294" s="7" t="s">
        <v>58</v>
      </c>
      <c r="G294" s="6" t="s">
        <v>34</v>
      </c>
      <c r="H294" s="6">
        <v>114</v>
      </c>
      <c r="I294" s="6" t="s">
        <v>41</v>
      </c>
      <c r="J294" s="6" t="s">
        <v>42</v>
      </c>
      <c r="K294" s="8"/>
      <c r="L294" s="7" t="s">
        <v>1841</v>
      </c>
      <c r="M294" s="8"/>
      <c r="N294" s="8"/>
      <c r="O294" s="8"/>
      <c r="P294" s="6">
        <v>14</v>
      </c>
      <c r="Q294" s="5">
        <v>46304</v>
      </c>
      <c r="R294" s="8"/>
      <c r="S294" s="8"/>
      <c r="T294" s="8"/>
      <c r="U294" s="8"/>
      <c r="V294" s="8"/>
      <c r="W294" s="8"/>
      <c r="X294" s="8"/>
      <c r="Y294" s="8"/>
    </row>
    <row r="295" spans="1:25" ht="50.1" customHeight="1" thickBot="1" x14ac:dyDescent="0.3">
      <c r="A295" s="4" t="s">
        <v>1842</v>
      </c>
      <c r="B295" s="6" t="s">
        <v>1843</v>
      </c>
      <c r="C295" s="5">
        <v>46286</v>
      </c>
      <c r="D295" s="6" t="s">
        <v>19</v>
      </c>
      <c r="E295" s="6" t="s">
        <v>39</v>
      </c>
      <c r="F295" s="7" t="s">
        <v>1844</v>
      </c>
      <c r="G295" s="6" t="s">
        <v>30</v>
      </c>
      <c r="H295" s="6">
        <v>503</v>
      </c>
      <c r="I295" s="6" t="s">
        <v>31</v>
      </c>
      <c r="J295" s="12" t="s">
        <v>93</v>
      </c>
      <c r="K295" s="8"/>
      <c r="L295" s="7" t="s">
        <v>1845</v>
      </c>
      <c r="M295" s="8"/>
      <c r="N295" s="8"/>
      <c r="O295" s="8"/>
      <c r="P295" s="6">
        <v>14</v>
      </c>
      <c r="Q295" s="5">
        <v>46304</v>
      </c>
      <c r="R295" s="8"/>
      <c r="S295" s="8"/>
      <c r="T295" s="8"/>
      <c r="U295" s="8"/>
      <c r="V295" s="8"/>
      <c r="W295" s="8"/>
      <c r="X295" s="8"/>
      <c r="Y295" s="8"/>
    </row>
    <row r="296" spans="1:25" ht="50.1" customHeight="1" thickBot="1" x14ac:dyDescent="0.3">
      <c r="A296" s="4" t="s">
        <v>1846</v>
      </c>
      <c r="B296" s="6" t="s">
        <v>1847</v>
      </c>
      <c r="C296" s="5">
        <v>46286</v>
      </c>
      <c r="D296" s="6" t="s">
        <v>19</v>
      </c>
      <c r="E296" s="6" t="s">
        <v>61</v>
      </c>
      <c r="F296" s="7" t="s">
        <v>284</v>
      </c>
      <c r="G296" s="6" t="s">
        <v>22</v>
      </c>
      <c r="H296" s="6">
        <v>316</v>
      </c>
      <c r="I296" s="6" t="s">
        <v>23</v>
      </c>
      <c r="J296" s="6" t="s">
        <v>62</v>
      </c>
      <c r="K296" s="8"/>
      <c r="L296" s="7" t="s">
        <v>1848</v>
      </c>
      <c r="M296" s="8"/>
      <c r="N296" s="8"/>
      <c r="O296" s="8"/>
      <c r="P296" s="6">
        <v>14</v>
      </c>
      <c r="Q296" s="5">
        <v>46304</v>
      </c>
      <c r="R296" s="8"/>
      <c r="S296" s="8"/>
      <c r="T296" s="8"/>
      <c r="U296" s="8"/>
      <c r="V296" s="8"/>
      <c r="W296" s="8"/>
      <c r="X296" s="8"/>
      <c r="Y296" s="8"/>
    </row>
    <row r="297" spans="1:25" ht="50.1" customHeight="1" thickBot="1" x14ac:dyDescent="0.3">
      <c r="A297" s="4" t="s">
        <v>1849</v>
      </c>
      <c r="B297" s="6" t="s">
        <v>1850</v>
      </c>
      <c r="C297" s="5">
        <v>46286</v>
      </c>
      <c r="D297" s="6" t="s">
        <v>19</v>
      </c>
      <c r="E297" s="6" t="s">
        <v>20</v>
      </c>
      <c r="F297" s="7" t="s">
        <v>380</v>
      </c>
      <c r="G297" s="6" t="s">
        <v>22</v>
      </c>
      <c r="H297" s="6">
        <v>316</v>
      </c>
      <c r="I297" s="6" t="s">
        <v>23</v>
      </c>
      <c r="J297" s="6" t="s">
        <v>24</v>
      </c>
      <c r="K297" s="8"/>
      <c r="L297" s="7" t="s">
        <v>1851</v>
      </c>
      <c r="M297" s="8"/>
      <c r="N297" s="8"/>
      <c r="O297" s="8"/>
      <c r="P297" s="6">
        <v>14</v>
      </c>
      <c r="Q297" s="5">
        <v>46304</v>
      </c>
      <c r="R297" s="8"/>
      <c r="S297" s="8"/>
      <c r="T297" s="8"/>
      <c r="U297" s="8"/>
      <c r="V297" s="8"/>
      <c r="W297" s="8"/>
      <c r="X297" s="8"/>
      <c r="Y297" s="8"/>
    </row>
    <row r="298" spans="1:25" ht="50.1" customHeight="1" thickBot="1" x14ac:dyDescent="0.3">
      <c r="A298" s="4" t="s">
        <v>1852</v>
      </c>
      <c r="B298" s="6" t="s">
        <v>1853</v>
      </c>
      <c r="C298" s="5">
        <v>46286</v>
      </c>
      <c r="D298" s="6" t="s">
        <v>19</v>
      </c>
      <c r="E298" s="6" t="s">
        <v>61</v>
      </c>
      <c r="F298" s="7" t="s">
        <v>1854</v>
      </c>
      <c r="G298" s="6" t="s">
        <v>22</v>
      </c>
      <c r="H298" s="6">
        <v>316</v>
      </c>
      <c r="I298" s="6" t="s">
        <v>23</v>
      </c>
      <c r="J298" s="6" t="s">
        <v>175</v>
      </c>
      <c r="K298" s="8"/>
      <c r="L298" s="7" t="s">
        <v>1855</v>
      </c>
      <c r="M298" s="6">
        <v>6018260</v>
      </c>
      <c r="N298" s="8"/>
      <c r="O298" s="8"/>
      <c r="P298" s="6">
        <v>14</v>
      </c>
      <c r="Q298" s="5">
        <v>46304</v>
      </c>
      <c r="R298" s="8"/>
      <c r="S298" s="8"/>
      <c r="T298" s="8"/>
      <c r="U298" s="8"/>
      <c r="V298" s="8"/>
      <c r="W298" s="8"/>
      <c r="X298" s="8"/>
      <c r="Y298" s="8"/>
    </row>
    <row r="299" spans="1:25" ht="50.1" customHeight="1" thickBot="1" x14ac:dyDescent="0.3">
      <c r="A299" s="4" t="s">
        <v>1856</v>
      </c>
      <c r="B299" s="6" t="s">
        <v>1857</v>
      </c>
      <c r="C299" s="5">
        <v>46286</v>
      </c>
      <c r="D299" s="6" t="s">
        <v>19</v>
      </c>
      <c r="E299" s="6" t="s">
        <v>61</v>
      </c>
      <c r="F299" s="7" t="s">
        <v>1858</v>
      </c>
      <c r="G299" s="6" t="s">
        <v>22</v>
      </c>
      <c r="H299" s="6">
        <v>316</v>
      </c>
      <c r="I299" s="6" t="s">
        <v>23</v>
      </c>
      <c r="J299" s="6" t="s">
        <v>62</v>
      </c>
      <c r="K299" s="8"/>
      <c r="L299" s="7" t="s">
        <v>1859</v>
      </c>
      <c r="M299" s="8"/>
      <c r="N299" s="8"/>
      <c r="O299" s="8"/>
      <c r="P299" s="6">
        <v>14</v>
      </c>
      <c r="Q299" s="5">
        <v>46304</v>
      </c>
      <c r="R299" s="8"/>
      <c r="S299" s="8"/>
      <c r="T299" s="8"/>
      <c r="U299" s="8"/>
      <c r="V299" s="8"/>
      <c r="W299" s="8"/>
      <c r="X299" s="8"/>
      <c r="Y299" s="8"/>
    </row>
    <row r="300" spans="1:25" ht="50.1" customHeight="1" thickBot="1" x14ac:dyDescent="0.3">
      <c r="A300" s="4" t="s">
        <v>1860</v>
      </c>
      <c r="B300" s="6" t="s">
        <v>1861</v>
      </c>
      <c r="C300" s="5">
        <v>46286</v>
      </c>
      <c r="D300" s="6" t="s">
        <v>19</v>
      </c>
      <c r="E300" s="6" t="s">
        <v>460</v>
      </c>
      <c r="F300" s="878" t="s">
        <v>1862</v>
      </c>
      <c r="G300" s="6" t="s">
        <v>34</v>
      </c>
      <c r="H300" s="6">
        <v>127</v>
      </c>
      <c r="I300" s="6" t="s">
        <v>88</v>
      </c>
      <c r="J300" s="6" t="s">
        <v>71</v>
      </c>
      <c r="K300" s="8"/>
      <c r="L300" s="7" t="s">
        <v>1863</v>
      </c>
      <c r="M300" s="8"/>
      <c r="N300" s="8"/>
      <c r="O300" s="8"/>
      <c r="P300" s="6">
        <v>14</v>
      </c>
      <c r="Q300" s="5">
        <v>46304</v>
      </c>
      <c r="R300" s="8"/>
      <c r="S300" s="8"/>
      <c r="T300" s="8"/>
      <c r="U300" s="8"/>
      <c r="V300" s="8"/>
      <c r="W300" s="8"/>
      <c r="X300" s="8"/>
      <c r="Y300" s="8"/>
    </row>
    <row r="301" spans="1:25" ht="50.1" customHeight="1" thickBot="1" x14ac:dyDescent="0.3">
      <c r="A301" s="4" t="s">
        <v>1842</v>
      </c>
      <c r="B301" s="6" t="s">
        <v>1864</v>
      </c>
      <c r="C301" s="5">
        <v>46286</v>
      </c>
      <c r="D301" s="6" t="s">
        <v>33</v>
      </c>
      <c r="E301" s="6" t="s">
        <v>460</v>
      </c>
      <c r="F301" s="7" t="s">
        <v>1865</v>
      </c>
      <c r="G301" s="6" t="s">
        <v>34</v>
      </c>
      <c r="H301" s="6">
        <v>127</v>
      </c>
      <c r="I301" s="6" t="s">
        <v>88</v>
      </c>
      <c r="J301" s="6" t="s">
        <v>71</v>
      </c>
      <c r="K301" s="8"/>
      <c r="L301" s="7" t="s">
        <v>1866</v>
      </c>
      <c r="M301" s="6">
        <v>1203060</v>
      </c>
      <c r="N301" s="8"/>
      <c r="O301" s="8"/>
      <c r="P301" s="6">
        <v>14</v>
      </c>
      <c r="Q301" s="5">
        <v>46304</v>
      </c>
      <c r="R301" s="8"/>
      <c r="S301" s="8"/>
      <c r="T301" s="8"/>
      <c r="U301" s="8"/>
      <c r="V301" s="8"/>
      <c r="W301" s="8"/>
      <c r="X301" s="8"/>
      <c r="Y301" s="8"/>
    </row>
    <row r="302" spans="1:25" ht="50.1" customHeight="1" thickBot="1" x14ac:dyDescent="0.3">
      <c r="A302" s="4" t="s">
        <v>1867</v>
      </c>
      <c r="B302" s="6" t="s">
        <v>1868</v>
      </c>
      <c r="C302" s="5">
        <v>46286</v>
      </c>
      <c r="D302" s="6" t="s">
        <v>19</v>
      </c>
      <c r="E302" s="6" t="s">
        <v>61</v>
      </c>
      <c r="F302" s="7" t="s">
        <v>1869</v>
      </c>
      <c r="G302" s="6" t="s">
        <v>22</v>
      </c>
      <c r="H302" s="6">
        <v>316</v>
      </c>
      <c r="I302" s="6" t="s">
        <v>23</v>
      </c>
      <c r="J302" s="6" t="s">
        <v>175</v>
      </c>
      <c r="K302" s="8"/>
      <c r="L302" s="7" t="s">
        <v>1870</v>
      </c>
      <c r="M302" s="8"/>
      <c r="N302" s="8"/>
      <c r="O302" s="8"/>
      <c r="P302" s="6">
        <v>14</v>
      </c>
      <c r="Q302" s="5">
        <v>46304</v>
      </c>
      <c r="R302" s="8"/>
      <c r="S302" s="8"/>
      <c r="T302" s="8"/>
      <c r="U302" s="8"/>
      <c r="V302" s="8"/>
      <c r="W302" s="8"/>
      <c r="X302" s="8"/>
      <c r="Y302" s="8"/>
    </row>
    <row r="303" spans="1:25" ht="50.1" customHeight="1" thickBot="1" x14ac:dyDescent="0.3">
      <c r="A303" s="4" t="s">
        <v>1871</v>
      </c>
      <c r="B303" s="6" t="s">
        <v>1872</v>
      </c>
      <c r="C303" s="5">
        <v>46286</v>
      </c>
      <c r="D303" s="6" t="s">
        <v>19</v>
      </c>
      <c r="E303" s="6" t="s">
        <v>460</v>
      </c>
      <c r="F303" s="7" t="s">
        <v>1873</v>
      </c>
      <c r="G303" s="6" t="s">
        <v>22</v>
      </c>
      <c r="H303" s="6">
        <v>316</v>
      </c>
      <c r="I303" s="6" t="s">
        <v>23</v>
      </c>
      <c r="J303" s="6" t="s">
        <v>54</v>
      </c>
      <c r="K303" s="8"/>
      <c r="L303" s="7" t="s">
        <v>1874</v>
      </c>
      <c r="M303" s="8"/>
      <c r="N303" s="8"/>
      <c r="O303" s="8"/>
      <c r="P303" s="6">
        <v>14</v>
      </c>
      <c r="Q303" s="5">
        <v>46304</v>
      </c>
      <c r="R303" s="8"/>
      <c r="S303" s="8"/>
      <c r="T303" s="8"/>
      <c r="U303" s="8"/>
      <c r="V303" s="8"/>
      <c r="W303" s="8"/>
      <c r="X303" s="8"/>
      <c r="Y303" s="8"/>
    </row>
    <row r="304" spans="1:25" ht="50.1" customHeight="1" thickBot="1" x14ac:dyDescent="0.3">
      <c r="A304" s="4" t="s">
        <v>1875</v>
      </c>
      <c r="B304" s="6" t="s">
        <v>1876</v>
      </c>
      <c r="C304" s="5">
        <v>46286</v>
      </c>
      <c r="D304" s="6" t="s">
        <v>19</v>
      </c>
      <c r="E304" s="6" t="s">
        <v>39</v>
      </c>
      <c r="F304" s="7" t="s">
        <v>498</v>
      </c>
      <c r="G304" s="6" t="s">
        <v>34</v>
      </c>
      <c r="H304" s="6">
        <v>114</v>
      </c>
      <c r="I304" s="6" t="s">
        <v>41</v>
      </c>
      <c r="J304" s="6" t="s">
        <v>42</v>
      </c>
      <c r="K304" s="8"/>
      <c r="L304" s="7" t="s">
        <v>1877</v>
      </c>
      <c r="M304" s="6">
        <v>1239068</v>
      </c>
      <c r="N304" s="8"/>
      <c r="O304" s="8"/>
      <c r="P304" s="6">
        <v>14</v>
      </c>
      <c r="Q304" s="5">
        <v>46304</v>
      </c>
      <c r="R304" s="8"/>
      <c r="S304" s="8"/>
      <c r="T304" s="8"/>
      <c r="U304" s="8"/>
      <c r="V304" s="8"/>
      <c r="W304" s="8"/>
      <c r="X304" s="8"/>
      <c r="Y304" s="8"/>
    </row>
    <row r="305" spans="1:25" ht="50.1" customHeight="1" thickBot="1" x14ac:dyDescent="0.3">
      <c r="A305" s="4" t="s">
        <v>1878</v>
      </c>
      <c r="B305" s="6" t="s">
        <v>1879</v>
      </c>
      <c r="C305" s="5">
        <v>46286</v>
      </c>
      <c r="D305" s="6" t="s">
        <v>19</v>
      </c>
      <c r="E305" s="6" t="s">
        <v>39</v>
      </c>
      <c r="F305" s="7" t="s">
        <v>1880</v>
      </c>
      <c r="G305" s="6" t="s">
        <v>30</v>
      </c>
      <c r="H305" s="6">
        <v>503</v>
      </c>
      <c r="I305" s="6" t="s">
        <v>31</v>
      </c>
      <c r="J305" s="12" t="s">
        <v>93</v>
      </c>
      <c r="K305" s="8"/>
      <c r="L305" s="7" t="s">
        <v>1881</v>
      </c>
      <c r="M305" s="8"/>
      <c r="N305" s="8"/>
      <c r="O305" s="8"/>
      <c r="P305" s="6">
        <v>14</v>
      </c>
      <c r="Q305" s="5">
        <v>46304</v>
      </c>
      <c r="R305" s="8"/>
      <c r="S305" s="8"/>
      <c r="T305" s="8"/>
      <c r="U305" s="8"/>
      <c r="V305" s="8"/>
      <c r="W305" s="8"/>
      <c r="X305" s="8"/>
      <c r="Y305" s="8"/>
    </row>
    <row r="306" spans="1:25" ht="50.1" customHeight="1" thickBot="1" x14ac:dyDescent="0.3">
      <c r="A306" s="4" t="s">
        <v>1882</v>
      </c>
      <c r="B306" s="6" t="s">
        <v>1883</v>
      </c>
      <c r="C306" s="5">
        <v>46287</v>
      </c>
      <c r="D306" s="6" t="s">
        <v>28</v>
      </c>
      <c r="E306" s="6" t="s">
        <v>460</v>
      </c>
      <c r="F306" s="7" t="s">
        <v>1884</v>
      </c>
      <c r="G306" s="6" t="s">
        <v>34</v>
      </c>
      <c r="H306" s="6">
        <v>127</v>
      </c>
      <c r="I306" s="6" t="s">
        <v>88</v>
      </c>
      <c r="J306" s="6" t="s">
        <v>71</v>
      </c>
      <c r="K306" s="8"/>
      <c r="L306" s="7" t="s">
        <v>588</v>
      </c>
      <c r="M306" s="8"/>
      <c r="N306" s="8"/>
      <c r="O306" s="8"/>
      <c r="P306" s="6">
        <v>14</v>
      </c>
      <c r="Q306" s="5">
        <v>46304</v>
      </c>
      <c r="R306" s="8"/>
      <c r="S306" s="8"/>
      <c r="T306" s="8"/>
      <c r="U306" s="8"/>
      <c r="V306" s="8"/>
      <c r="W306" s="8"/>
      <c r="X306" s="8"/>
      <c r="Y306" s="8"/>
    </row>
    <row r="307" spans="1:25" ht="50.1" customHeight="1" thickBot="1" x14ac:dyDescent="0.3">
      <c r="A307" s="4" t="s">
        <v>1885</v>
      </c>
      <c r="B307" s="6" t="s">
        <v>1886</v>
      </c>
      <c r="C307" s="5">
        <v>46287</v>
      </c>
      <c r="D307" s="6" t="s">
        <v>19</v>
      </c>
      <c r="E307" s="6" t="s">
        <v>29</v>
      </c>
      <c r="F307" s="7" t="s">
        <v>1887</v>
      </c>
      <c r="G307" s="6" t="s">
        <v>30</v>
      </c>
      <c r="H307" s="6">
        <v>503</v>
      </c>
      <c r="I307" s="6" t="s">
        <v>31</v>
      </c>
      <c r="J307" s="6" t="s">
        <v>32</v>
      </c>
      <c r="K307" s="8"/>
      <c r="L307" s="7" t="s">
        <v>616</v>
      </c>
      <c r="M307" s="8"/>
      <c r="N307" s="8"/>
      <c r="O307" s="7" t="s">
        <v>617</v>
      </c>
      <c r="P307" s="6">
        <v>14</v>
      </c>
      <c r="Q307" s="5">
        <v>46308</v>
      </c>
      <c r="R307" s="8"/>
      <c r="S307" s="8"/>
      <c r="T307" s="8"/>
      <c r="U307" s="8"/>
      <c r="V307" s="8"/>
      <c r="W307" s="8"/>
      <c r="X307" s="8"/>
      <c r="Y307" s="8"/>
    </row>
    <row r="308" spans="1:25" ht="50.1" customHeight="1" thickBot="1" x14ac:dyDescent="0.3">
      <c r="A308" s="4" t="s">
        <v>1888</v>
      </c>
      <c r="B308" s="6" t="s">
        <v>1889</v>
      </c>
      <c r="C308" s="5">
        <v>46287</v>
      </c>
      <c r="D308" s="6" t="s">
        <v>19</v>
      </c>
      <c r="E308" s="6" t="s">
        <v>63</v>
      </c>
      <c r="F308" s="7" t="s">
        <v>1890</v>
      </c>
      <c r="G308" s="6" t="s">
        <v>22</v>
      </c>
      <c r="H308" s="6">
        <v>316</v>
      </c>
      <c r="I308" s="6" t="s">
        <v>23</v>
      </c>
      <c r="J308" s="6" t="s">
        <v>75</v>
      </c>
      <c r="K308" s="8"/>
      <c r="L308" s="7" t="s">
        <v>1891</v>
      </c>
      <c r="M308" s="6">
        <v>1026080</v>
      </c>
      <c r="N308" s="8"/>
      <c r="O308" s="8"/>
      <c r="P308" s="6">
        <v>14</v>
      </c>
      <c r="Q308" s="5">
        <v>46308</v>
      </c>
      <c r="R308" s="8"/>
      <c r="S308" s="8"/>
      <c r="T308" s="8"/>
      <c r="U308" s="8"/>
      <c r="V308" s="8"/>
      <c r="W308" s="8"/>
      <c r="X308" s="8"/>
      <c r="Y308" s="8"/>
    </row>
    <row r="309" spans="1:25" ht="50.1" customHeight="1" thickBot="1" x14ac:dyDescent="0.3">
      <c r="A309" s="4" t="s">
        <v>1892</v>
      </c>
      <c r="B309" s="6" t="s">
        <v>1893</v>
      </c>
      <c r="C309" s="5">
        <v>46287</v>
      </c>
      <c r="D309" s="6" t="s">
        <v>19</v>
      </c>
      <c r="E309" s="6" t="s">
        <v>460</v>
      </c>
      <c r="F309" s="7" t="s">
        <v>1894</v>
      </c>
      <c r="G309" s="6" t="s">
        <v>34</v>
      </c>
      <c r="H309" s="6">
        <v>127</v>
      </c>
      <c r="I309" s="6" t="s">
        <v>1895</v>
      </c>
      <c r="J309" s="6" t="s">
        <v>71</v>
      </c>
      <c r="K309" s="8"/>
      <c r="L309" s="7" t="s">
        <v>1896</v>
      </c>
      <c r="M309" s="8"/>
      <c r="N309" s="8"/>
      <c r="O309" s="8"/>
      <c r="P309" s="6">
        <v>14</v>
      </c>
      <c r="Q309" s="5">
        <v>46308</v>
      </c>
      <c r="R309" s="8"/>
      <c r="S309" s="8"/>
      <c r="T309" s="8"/>
      <c r="U309" s="8"/>
      <c r="V309" s="8"/>
      <c r="W309" s="8"/>
      <c r="X309" s="8"/>
      <c r="Y309" s="8"/>
    </row>
    <row r="310" spans="1:25" ht="50.1" customHeight="1" thickBot="1" x14ac:dyDescent="0.3">
      <c r="A310" s="4" t="s">
        <v>1897</v>
      </c>
      <c r="B310" s="6" t="s">
        <v>1898</v>
      </c>
      <c r="C310" s="5">
        <v>46287</v>
      </c>
      <c r="D310" s="6" t="s">
        <v>19</v>
      </c>
      <c r="E310" s="6" t="s">
        <v>67</v>
      </c>
      <c r="F310" s="7" t="s">
        <v>1899</v>
      </c>
      <c r="G310" s="6" t="s">
        <v>30</v>
      </c>
      <c r="H310" s="6">
        <v>503</v>
      </c>
      <c r="I310" s="6" t="s">
        <v>31</v>
      </c>
      <c r="J310" s="6" t="s">
        <v>101</v>
      </c>
      <c r="K310" s="8"/>
      <c r="L310" s="7" t="s">
        <v>504</v>
      </c>
      <c r="M310" s="8"/>
      <c r="N310" s="8"/>
      <c r="O310" s="7" t="s">
        <v>1900</v>
      </c>
      <c r="P310" s="6">
        <v>14</v>
      </c>
      <c r="Q310" s="5">
        <v>46308</v>
      </c>
      <c r="R310" s="8"/>
      <c r="S310" s="8"/>
      <c r="T310" s="8"/>
      <c r="U310" s="8"/>
      <c r="V310" s="8"/>
      <c r="W310" s="8"/>
      <c r="X310" s="8"/>
      <c r="Y310" s="8"/>
    </row>
    <row r="311" spans="1:25" ht="50.1" customHeight="1" thickBot="1" x14ac:dyDescent="0.3">
      <c r="A311" s="4" t="s">
        <v>1901</v>
      </c>
      <c r="B311" s="6" t="s">
        <v>1902</v>
      </c>
      <c r="C311" s="5">
        <v>46287</v>
      </c>
      <c r="D311" s="6" t="s">
        <v>19</v>
      </c>
      <c r="E311" s="6" t="s">
        <v>29</v>
      </c>
      <c r="F311" s="7" t="s">
        <v>1903</v>
      </c>
      <c r="G311" s="6" t="s">
        <v>30</v>
      </c>
      <c r="H311" s="6">
        <v>503</v>
      </c>
      <c r="I311" s="6" t="s">
        <v>31</v>
      </c>
      <c r="J311" s="6" t="s">
        <v>32</v>
      </c>
      <c r="K311" s="8"/>
      <c r="L311" s="7" t="s">
        <v>1904</v>
      </c>
      <c r="M311" s="8"/>
      <c r="N311" s="8"/>
      <c r="O311" s="8"/>
      <c r="P311" s="6">
        <v>14</v>
      </c>
      <c r="Q311" s="5">
        <v>46308</v>
      </c>
      <c r="R311" s="8"/>
      <c r="S311" s="8"/>
      <c r="T311" s="8"/>
      <c r="U311" s="8"/>
      <c r="V311" s="8"/>
      <c r="W311" s="8"/>
      <c r="X311" s="8"/>
      <c r="Y311" s="8"/>
    </row>
    <row r="312" spans="1:25" ht="50.1" customHeight="1" thickBot="1" x14ac:dyDescent="0.3">
      <c r="A312" s="4" t="s">
        <v>1905</v>
      </c>
      <c r="B312" s="6" t="s">
        <v>1906</v>
      </c>
      <c r="C312" s="5">
        <v>46287</v>
      </c>
      <c r="D312" s="6" t="s">
        <v>19</v>
      </c>
      <c r="E312" s="6" t="s">
        <v>61</v>
      </c>
      <c r="F312" s="7" t="s">
        <v>1907</v>
      </c>
      <c r="G312" s="6" t="s">
        <v>22</v>
      </c>
      <c r="H312" s="6">
        <v>316</v>
      </c>
      <c r="I312" s="6" t="s">
        <v>23</v>
      </c>
      <c r="J312" s="6" t="s">
        <v>1414</v>
      </c>
      <c r="K312" s="8"/>
      <c r="L312" s="7" t="s">
        <v>1908</v>
      </c>
      <c r="M312" s="8"/>
      <c r="N312" s="8"/>
      <c r="O312" s="8"/>
      <c r="P312" s="6">
        <v>14</v>
      </c>
      <c r="Q312" s="5">
        <v>46308</v>
      </c>
      <c r="R312" s="8"/>
      <c r="S312" s="8"/>
      <c r="T312" s="8"/>
      <c r="U312" s="8"/>
      <c r="V312" s="8"/>
      <c r="W312" s="8"/>
      <c r="X312" s="8"/>
      <c r="Y312" s="8"/>
    </row>
    <row r="313" spans="1:25" ht="50.1" customHeight="1" thickBot="1" x14ac:dyDescent="0.3">
      <c r="A313" s="4" t="s">
        <v>1909</v>
      </c>
      <c r="B313" s="6" t="s">
        <v>1910</v>
      </c>
      <c r="C313" s="5">
        <v>46287</v>
      </c>
      <c r="D313" s="6" t="s">
        <v>19</v>
      </c>
      <c r="E313" s="6" t="s">
        <v>84</v>
      </c>
      <c r="F313" s="7" t="s">
        <v>1911</v>
      </c>
      <c r="G313" s="6" t="s">
        <v>30</v>
      </c>
      <c r="H313" s="6">
        <v>503</v>
      </c>
      <c r="I313" s="6" t="s">
        <v>31</v>
      </c>
      <c r="J313" s="6" t="s">
        <v>59</v>
      </c>
      <c r="K313" s="8"/>
      <c r="L313" s="7" t="s">
        <v>1912</v>
      </c>
      <c r="M313" s="8"/>
      <c r="N313" s="8"/>
      <c r="O313" s="8"/>
      <c r="P313" s="6">
        <v>14</v>
      </c>
      <c r="Q313" s="5">
        <v>46308</v>
      </c>
      <c r="R313" s="8"/>
      <c r="S313" s="8"/>
      <c r="T313" s="8"/>
      <c r="U313" s="8"/>
      <c r="V313" s="8"/>
      <c r="W313" s="8"/>
      <c r="X313" s="8"/>
      <c r="Y313" s="8"/>
    </row>
    <row r="314" spans="1:25" ht="50.1" customHeight="1" thickBot="1" x14ac:dyDescent="0.3">
      <c r="A314" s="4" t="s">
        <v>1913</v>
      </c>
      <c r="B314" s="6" t="s">
        <v>1914</v>
      </c>
      <c r="C314" s="5">
        <v>46287</v>
      </c>
      <c r="D314" s="6" t="s">
        <v>19</v>
      </c>
      <c r="E314" s="6" t="s">
        <v>20</v>
      </c>
      <c r="F314" s="7" t="s">
        <v>467</v>
      </c>
      <c r="G314" s="6" t="s">
        <v>22</v>
      </c>
      <c r="H314" s="6">
        <v>316</v>
      </c>
      <c r="I314" s="6" t="s">
        <v>23</v>
      </c>
      <c r="J314" s="6" t="s">
        <v>46</v>
      </c>
      <c r="K314" s="8"/>
      <c r="L314" s="7" t="s">
        <v>1915</v>
      </c>
      <c r="M314" s="8"/>
      <c r="N314" s="8"/>
      <c r="O314" s="8"/>
      <c r="P314" s="6">
        <v>14</v>
      </c>
      <c r="Q314" s="5">
        <v>46308</v>
      </c>
      <c r="R314" s="8"/>
      <c r="S314" s="8"/>
      <c r="T314" s="8"/>
      <c r="U314" s="8"/>
      <c r="V314" s="8"/>
      <c r="W314" s="8"/>
      <c r="X314" s="8"/>
      <c r="Y314" s="8"/>
    </row>
    <row r="315" spans="1:25" ht="50.1" customHeight="1" thickBot="1" x14ac:dyDescent="0.3">
      <c r="A315" s="4" t="s">
        <v>1916</v>
      </c>
      <c r="B315" s="6" t="s">
        <v>1917</v>
      </c>
      <c r="C315" s="5">
        <v>46287</v>
      </c>
      <c r="D315" s="6" t="s">
        <v>19</v>
      </c>
      <c r="E315" s="6" t="s">
        <v>460</v>
      </c>
      <c r="F315" s="7" t="s">
        <v>90</v>
      </c>
      <c r="G315" s="6" t="s">
        <v>22</v>
      </c>
      <c r="H315" s="6">
        <v>316</v>
      </c>
      <c r="I315" s="6" t="s">
        <v>23</v>
      </c>
      <c r="J315" s="6" t="s">
        <v>57</v>
      </c>
      <c r="K315" s="8"/>
      <c r="L315" s="7" t="s">
        <v>1918</v>
      </c>
      <c r="M315" s="6">
        <v>1021060</v>
      </c>
      <c r="N315" s="8"/>
      <c r="O315" s="8"/>
      <c r="P315" s="6">
        <v>14</v>
      </c>
      <c r="Q315" s="5">
        <v>46308</v>
      </c>
      <c r="R315" s="8"/>
      <c r="S315" s="8"/>
      <c r="T315" s="8"/>
      <c r="U315" s="8"/>
      <c r="V315" s="8"/>
      <c r="W315" s="8"/>
      <c r="X315" s="8"/>
      <c r="Y315" s="8"/>
    </row>
    <row r="316" spans="1:25" ht="50.1" customHeight="1" thickBot="1" x14ac:dyDescent="0.3">
      <c r="A316" s="4" t="s">
        <v>1919</v>
      </c>
      <c r="B316" s="6" t="s">
        <v>1920</v>
      </c>
      <c r="C316" s="5">
        <v>46287</v>
      </c>
      <c r="D316" s="6" t="s">
        <v>19</v>
      </c>
      <c r="E316" s="6" t="s">
        <v>460</v>
      </c>
      <c r="F316" s="7" t="s">
        <v>1921</v>
      </c>
      <c r="G316" s="6" t="s">
        <v>22</v>
      </c>
      <c r="H316" s="6">
        <v>316</v>
      </c>
      <c r="I316" s="6" t="s">
        <v>23</v>
      </c>
      <c r="J316" s="6" t="s">
        <v>173</v>
      </c>
      <c r="K316" s="8"/>
      <c r="L316" s="7" t="s">
        <v>1922</v>
      </c>
      <c r="M316" s="8"/>
      <c r="N316" s="8"/>
      <c r="O316" s="8"/>
      <c r="P316" s="6">
        <v>14</v>
      </c>
      <c r="Q316" s="5">
        <v>46308</v>
      </c>
      <c r="R316" s="8"/>
      <c r="S316" s="8"/>
      <c r="T316" s="8"/>
      <c r="U316" s="8"/>
      <c r="V316" s="8"/>
      <c r="W316" s="8"/>
      <c r="X316" s="8"/>
      <c r="Y316" s="8"/>
    </row>
    <row r="317" spans="1:25" ht="50.1" customHeight="1" thickBot="1" x14ac:dyDescent="0.3">
      <c r="A317" s="4" t="s">
        <v>1923</v>
      </c>
      <c r="B317" s="6" t="s">
        <v>1924</v>
      </c>
      <c r="C317" s="5">
        <v>46287</v>
      </c>
      <c r="D317" s="6" t="s">
        <v>19</v>
      </c>
      <c r="E317" s="6" t="s">
        <v>460</v>
      </c>
      <c r="F317" s="7" t="s">
        <v>1925</v>
      </c>
      <c r="G317" s="6" t="s">
        <v>34</v>
      </c>
      <c r="H317" s="6">
        <v>127</v>
      </c>
      <c r="I317" s="6" t="s">
        <v>88</v>
      </c>
      <c r="J317" s="6" t="s">
        <v>1926</v>
      </c>
      <c r="K317" s="8"/>
      <c r="L317" s="7" t="s">
        <v>633</v>
      </c>
      <c r="M317" s="6">
        <v>1012960</v>
      </c>
      <c r="N317" s="6">
        <v>3137268488</v>
      </c>
      <c r="O317" s="7" t="s">
        <v>1927</v>
      </c>
      <c r="P317" s="6">
        <v>14</v>
      </c>
      <c r="Q317" s="5">
        <v>46308</v>
      </c>
      <c r="R317" s="8"/>
      <c r="S317" s="8"/>
      <c r="T317" s="8"/>
      <c r="U317" s="8"/>
      <c r="V317" s="8"/>
      <c r="W317" s="8"/>
      <c r="X317" s="8"/>
      <c r="Y317" s="8"/>
    </row>
    <row r="318" spans="1:25" ht="50.1" customHeight="1" thickBot="1" x14ac:dyDescent="0.3">
      <c r="A318" s="4" t="s">
        <v>1928</v>
      </c>
      <c r="B318" s="6" t="s">
        <v>1929</v>
      </c>
      <c r="C318" s="5">
        <v>46287</v>
      </c>
      <c r="D318" s="6" t="s">
        <v>19</v>
      </c>
      <c r="E318" s="6" t="s">
        <v>460</v>
      </c>
      <c r="F318" s="7" t="s">
        <v>1930</v>
      </c>
      <c r="G318" s="6" t="s">
        <v>34</v>
      </c>
      <c r="H318" s="6">
        <v>127</v>
      </c>
      <c r="I318" s="6" t="s">
        <v>88</v>
      </c>
      <c r="J318" s="6" t="s">
        <v>1926</v>
      </c>
      <c r="K318" s="8"/>
      <c r="L318" s="7" t="s">
        <v>1931</v>
      </c>
      <c r="M318" s="6">
        <v>1251095</v>
      </c>
      <c r="N318" s="8"/>
      <c r="O318" s="8"/>
      <c r="P318" s="6">
        <v>14</v>
      </c>
      <c r="Q318" s="5">
        <v>46308</v>
      </c>
      <c r="R318" s="8"/>
      <c r="S318" s="8"/>
      <c r="T318" s="8"/>
      <c r="U318" s="8"/>
      <c r="V318" s="8"/>
      <c r="W318" s="8"/>
      <c r="X318" s="8"/>
      <c r="Y318" s="8"/>
    </row>
    <row r="319" spans="1:25" ht="50.1" customHeight="1" thickBot="1" x14ac:dyDescent="0.3">
      <c r="A319" s="4" t="s">
        <v>1932</v>
      </c>
      <c r="B319" s="6" t="s">
        <v>1933</v>
      </c>
      <c r="C319" s="5">
        <v>46287</v>
      </c>
      <c r="D319" s="6" t="s">
        <v>19</v>
      </c>
      <c r="E319" s="6" t="s">
        <v>63</v>
      </c>
      <c r="F319" s="7" t="s">
        <v>1934</v>
      </c>
      <c r="G319" s="6" t="s">
        <v>22</v>
      </c>
      <c r="H319" s="6">
        <v>316</v>
      </c>
      <c r="I319" s="6" t="s">
        <v>23</v>
      </c>
      <c r="J319" s="6" t="s">
        <v>367</v>
      </c>
      <c r="K319" s="8"/>
      <c r="L319" s="7" t="s">
        <v>1935</v>
      </c>
      <c r="M319" s="8"/>
      <c r="N319" s="8"/>
      <c r="O319" s="8"/>
      <c r="P319" s="6">
        <v>14</v>
      </c>
      <c r="Q319" s="5">
        <v>46308</v>
      </c>
      <c r="R319" s="8"/>
      <c r="S319" s="8"/>
      <c r="T319" s="8"/>
      <c r="U319" s="8"/>
      <c r="V319" s="8"/>
      <c r="W319" s="8"/>
      <c r="X319" s="8"/>
      <c r="Y319" s="8"/>
    </row>
    <row r="320" spans="1:25" ht="50.1" customHeight="1" thickBot="1" x14ac:dyDescent="0.3">
      <c r="A320" s="4" t="s">
        <v>1936</v>
      </c>
      <c r="B320" s="6" t="s">
        <v>1937</v>
      </c>
      <c r="C320" s="5">
        <v>46287</v>
      </c>
      <c r="D320" s="6" t="s">
        <v>19</v>
      </c>
      <c r="E320" s="6" t="s">
        <v>39</v>
      </c>
      <c r="F320" s="7" t="s">
        <v>1938</v>
      </c>
      <c r="G320" s="6" t="s">
        <v>34</v>
      </c>
      <c r="H320" s="6">
        <v>114</v>
      </c>
      <c r="I320" s="6" t="s">
        <v>41</v>
      </c>
      <c r="J320" s="6" t="s">
        <v>42</v>
      </c>
      <c r="K320" s="8"/>
      <c r="L320" s="7" t="s">
        <v>1939</v>
      </c>
      <c r="M320" s="8"/>
      <c r="N320" s="8"/>
      <c r="O320" s="8"/>
      <c r="P320" s="6">
        <v>14</v>
      </c>
      <c r="Q320" s="5">
        <v>46308</v>
      </c>
      <c r="R320" s="8"/>
      <c r="S320" s="8"/>
      <c r="T320" s="8"/>
      <c r="U320" s="8"/>
      <c r="V320" s="8"/>
      <c r="W320" s="8"/>
      <c r="X320" s="8"/>
      <c r="Y320" s="8"/>
    </row>
    <row r="321" spans="1:25" ht="50.1" customHeight="1" thickBot="1" x14ac:dyDescent="0.3">
      <c r="A321" s="4" t="s">
        <v>1940</v>
      </c>
      <c r="B321" s="6" t="s">
        <v>1941</v>
      </c>
      <c r="C321" s="5">
        <v>46287</v>
      </c>
      <c r="D321" s="6" t="s">
        <v>19</v>
      </c>
      <c r="E321" s="6" t="s">
        <v>29</v>
      </c>
      <c r="F321" s="7" t="s">
        <v>1942</v>
      </c>
      <c r="G321" s="6" t="s">
        <v>30</v>
      </c>
      <c r="H321" s="6">
        <v>503</v>
      </c>
      <c r="I321" s="6" t="s">
        <v>31</v>
      </c>
      <c r="J321" s="6" t="s">
        <v>32</v>
      </c>
      <c r="K321" s="8"/>
      <c r="L321" s="7" t="s">
        <v>547</v>
      </c>
      <c r="M321" s="8"/>
      <c r="N321" s="8"/>
      <c r="O321" s="8"/>
      <c r="P321" s="6">
        <v>14</v>
      </c>
      <c r="Q321" s="5">
        <v>46308</v>
      </c>
      <c r="R321" s="8"/>
      <c r="S321" s="8"/>
      <c r="T321" s="8"/>
      <c r="U321" s="8"/>
      <c r="V321" s="8"/>
      <c r="W321" s="8"/>
      <c r="X321" s="8"/>
      <c r="Y321" s="8"/>
    </row>
    <row r="322" spans="1:25" ht="50.1" customHeight="1" thickBot="1" x14ac:dyDescent="0.3">
      <c r="A322" s="4" t="s">
        <v>1943</v>
      </c>
      <c r="B322" s="6" t="s">
        <v>1944</v>
      </c>
      <c r="C322" s="5">
        <v>46287</v>
      </c>
      <c r="D322" s="6" t="s">
        <v>19</v>
      </c>
      <c r="E322" s="6" t="s">
        <v>39</v>
      </c>
      <c r="F322" s="7" t="s">
        <v>1945</v>
      </c>
      <c r="G322" s="6" t="s">
        <v>34</v>
      </c>
      <c r="H322" s="6">
        <v>114</v>
      </c>
      <c r="I322" s="6" t="s">
        <v>41</v>
      </c>
      <c r="J322" s="6" t="s">
        <v>42</v>
      </c>
      <c r="K322" s="8"/>
      <c r="L322" s="7" t="s">
        <v>1946</v>
      </c>
      <c r="M322" s="8"/>
      <c r="N322" s="8"/>
      <c r="O322" s="8"/>
      <c r="P322" s="6">
        <v>14</v>
      </c>
      <c r="Q322" s="5">
        <v>46308</v>
      </c>
      <c r="R322" s="8"/>
      <c r="S322" s="8"/>
      <c r="T322" s="8"/>
      <c r="U322" s="8"/>
      <c r="V322" s="8"/>
      <c r="W322" s="8"/>
      <c r="X322" s="8"/>
      <c r="Y322" s="8"/>
    </row>
    <row r="323" spans="1:25" ht="50.1" customHeight="1" thickBot="1" x14ac:dyDescent="0.3">
      <c r="A323" s="4" t="s">
        <v>1947</v>
      </c>
      <c r="B323" s="6" t="s">
        <v>1948</v>
      </c>
      <c r="C323" s="5">
        <v>46287</v>
      </c>
      <c r="D323" s="6" t="s">
        <v>28</v>
      </c>
      <c r="E323" s="6" t="s">
        <v>29</v>
      </c>
      <c r="F323" s="7" t="s">
        <v>1949</v>
      </c>
      <c r="G323" s="6" t="s">
        <v>30</v>
      </c>
      <c r="H323" s="6">
        <v>503</v>
      </c>
      <c r="I323" s="6" t="s">
        <v>31</v>
      </c>
      <c r="J323" s="6" t="s">
        <v>32</v>
      </c>
      <c r="K323" s="8"/>
      <c r="L323" s="7" t="s">
        <v>1946</v>
      </c>
      <c r="M323" s="8"/>
      <c r="N323" s="8"/>
      <c r="O323" s="8"/>
      <c r="P323" s="6">
        <v>14</v>
      </c>
      <c r="Q323" s="5">
        <v>46308</v>
      </c>
      <c r="R323" s="8"/>
      <c r="S323" s="8"/>
      <c r="T323" s="8"/>
      <c r="U323" s="8"/>
      <c r="V323" s="8"/>
      <c r="W323" s="8"/>
      <c r="X323" s="8"/>
      <c r="Y323" s="8"/>
    </row>
    <row r="324" spans="1:25" ht="50.1" customHeight="1" thickBot="1" x14ac:dyDescent="0.3">
      <c r="A324" s="4" t="s">
        <v>1950</v>
      </c>
      <c r="B324" s="6" t="s">
        <v>1951</v>
      </c>
      <c r="C324" s="5">
        <v>46287</v>
      </c>
      <c r="D324" s="6" t="s">
        <v>19</v>
      </c>
      <c r="E324" s="6" t="s">
        <v>39</v>
      </c>
      <c r="F324" s="7" t="s">
        <v>1652</v>
      </c>
      <c r="G324" s="6" t="s">
        <v>34</v>
      </c>
      <c r="H324" s="6">
        <v>114</v>
      </c>
      <c r="I324" s="6" t="s">
        <v>41</v>
      </c>
      <c r="J324" s="6" t="s">
        <v>42</v>
      </c>
      <c r="K324" s="8"/>
      <c r="L324" s="7" t="s">
        <v>548</v>
      </c>
      <c r="M324" s="8"/>
      <c r="N324" s="8"/>
      <c r="O324" s="8"/>
      <c r="P324" s="6">
        <v>14</v>
      </c>
      <c r="Q324" s="5">
        <v>46308</v>
      </c>
      <c r="R324" s="8"/>
      <c r="S324" s="8"/>
      <c r="T324" s="8"/>
      <c r="U324" s="8"/>
      <c r="V324" s="8"/>
      <c r="W324" s="8"/>
      <c r="X324" s="8"/>
      <c r="Y324" s="8"/>
    </row>
    <row r="325" spans="1:25" ht="50.1" customHeight="1" thickBot="1" x14ac:dyDescent="0.3">
      <c r="A325" s="4" t="s">
        <v>1952</v>
      </c>
      <c r="B325" s="6" t="s">
        <v>1953</v>
      </c>
      <c r="C325" s="5">
        <v>46287</v>
      </c>
      <c r="D325" s="6" t="s">
        <v>19</v>
      </c>
      <c r="E325" s="6" t="s">
        <v>39</v>
      </c>
      <c r="F325" s="7" t="s">
        <v>553</v>
      </c>
      <c r="G325" s="6" t="s">
        <v>34</v>
      </c>
      <c r="H325" s="6">
        <v>114</v>
      </c>
      <c r="I325" s="6" t="s">
        <v>41</v>
      </c>
      <c r="J325" s="6" t="s">
        <v>42</v>
      </c>
      <c r="K325" s="8"/>
      <c r="L325" s="7" t="s">
        <v>548</v>
      </c>
      <c r="M325" s="8"/>
      <c r="N325" s="8"/>
      <c r="O325" s="8"/>
      <c r="P325" s="6">
        <v>14</v>
      </c>
      <c r="Q325" s="5">
        <v>46308</v>
      </c>
      <c r="R325" s="8"/>
      <c r="S325" s="8"/>
      <c r="T325" s="8"/>
      <c r="U325" s="8"/>
      <c r="V325" s="8"/>
      <c r="W325" s="8"/>
      <c r="X325" s="8"/>
      <c r="Y325" s="8"/>
    </row>
    <row r="326" spans="1:25" ht="50.1" customHeight="1" thickBot="1" x14ac:dyDescent="0.3">
      <c r="A326" s="4" t="s">
        <v>1954</v>
      </c>
      <c r="B326" s="6" t="s">
        <v>1955</v>
      </c>
      <c r="C326" s="5">
        <v>46287</v>
      </c>
      <c r="D326" s="6" t="s">
        <v>28</v>
      </c>
      <c r="E326" s="6" t="s">
        <v>63</v>
      </c>
      <c r="F326" s="7" t="s">
        <v>1956</v>
      </c>
      <c r="G326" s="6" t="s">
        <v>22</v>
      </c>
      <c r="H326" s="6">
        <v>316</v>
      </c>
      <c r="I326" s="6" t="s">
        <v>23</v>
      </c>
      <c r="J326" s="6" t="s">
        <v>75</v>
      </c>
      <c r="K326" s="8"/>
      <c r="L326" s="7" t="s">
        <v>1957</v>
      </c>
      <c r="M326" s="8"/>
      <c r="N326" s="8"/>
      <c r="O326" s="8"/>
      <c r="P326" s="6">
        <v>14</v>
      </c>
      <c r="Q326" s="5">
        <v>46308</v>
      </c>
      <c r="R326" s="8"/>
      <c r="S326" s="8"/>
      <c r="T326" s="8"/>
      <c r="U326" s="8"/>
      <c r="V326" s="8"/>
      <c r="W326" s="8"/>
      <c r="X326" s="8"/>
      <c r="Y326" s="8"/>
    </row>
    <row r="327" spans="1:25" ht="50.1" customHeight="1" thickBot="1" x14ac:dyDescent="0.3">
      <c r="A327" s="4" t="s">
        <v>1958</v>
      </c>
      <c r="B327" s="6" t="s">
        <v>1959</v>
      </c>
      <c r="C327" s="5">
        <v>46287</v>
      </c>
      <c r="D327" s="6" t="s">
        <v>33</v>
      </c>
      <c r="E327" s="6" t="s">
        <v>29</v>
      </c>
      <c r="F327" s="7" t="s">
        <v>1960</v>
      </c>
      <c r="G327" s="6" t="s">
        <v>30</v>
      </c>
      <c r="H327" s="6">
        <v>502</v>
      </c>
      <c r="I327" s="6" t="s">
        <v>37</v>
      </c>
      <c r="J327" s="6" t="s">
        <v>38</v>
      </c>
      <c r="K327" s="8"/>
      <c r="L327" s="7" t="s">
        <v>1961</v>
      </c>
      <c r="M327" s="8"/>
      <c r="N327" s="8"/>
      <c r="O327" s="8"/>
      <c r="P327" s="6">
        <v>14</v>
      </c>
      <c r="Q327" s="5">
        <v>46308</v>
      </c>
      <c r="R327" s="8"/>
      <c r="S327" s="8"/>
      <c r="T327" s="8"/>
      <c r="U327" s="8"/>
      <c r="V327" s="8"/>
      <c r="W327" s="8"/>
      <c r="X327" s="8"/>
      <c r="Y327" s="8"/>
    </row>
    <row r="328" spans="1:25" ht="50.1" customHeight="1" thickBot="1" x14ac:dyDescent="0.3">
      <c r="A328" s="4" t="s">
        <v>1962</v>
      </c>
      <c r="B328" s="6" t="s">
        <v>1963</v>
      </c>
      <c r="C328" s="5">
        <v>46287</v>
      </c>
      <c r="D328" s="6" t="s">
        <v>19</v>
      </c>
      <c r="E328" s="6" t="s">
        <v>39</v>
      </c>
      <c r="F328" s="7" t="s">
        <v>1964</v>
      </c>
      <c r="G328" s="6" t="s">
        <v>34</v>
      </c>
      <c r="H328" s="6">
        <v>114</v>
      </c>
      <c r="I328" s="6" t="s">
        <v>41</v>
      </c>
      <c r="J328" s="6" t="s">
        <v>42</v>
      </c>
      <c r="K328" s="8"/>
      <c r="L328" s="7" t="s">
        <v>499</v>
      </c>
      <c r="M328" s="6">
        <v>1252888</v>
      </c>
      <c r="N328" s="8"/>
      <c r="O328" s="8"/>
      <c r="P328" s="6">
        <v>14</v>
      </c>
      <c r="Q328" s="5">
        <v>46308</v>
      </c>
      <c r="R328" s="8"/>
      <c r="S328" s="8"/>
      <c r="T328" s="8"/>
      <c r="U328" s="8"/>
      <c r="V328" s="8"/>
      <c r="W328" s="8"/>
      <c r="X328" s="8"/>
      <c r="Y328" s="8"/>
    </row>
    <row r="329" spans="1:25" ht="50.1" customHeight="1" thickBot="1" x14ac:dyDescent="0.3">
      <c r="A329" s="4" t="s">
        <v>1965</v>
      </c>
      <c r="B329" s="6" t="s">
        <v>1966</v>
      </c>
      <c r="C329" s="5">
        <v>46287</v>
      </c>
      <c r="D329" s="6" t="s">
        <v>19</v>
      </c>
      <c r="E329" s="6" t="s">
        <v>20</v>
      </c>
      <c r="F329" s="7" t="s">
        <v>467</v>
      </c>
      <c r="G329" s="6" t="s">
        <v>22</v>
      </c>
      <c r="H329" s="6">
        <v>316</v>
      </c>
      <c r="I329" s="6" t="s">
        <v>23</v>
      </c>
      <c r="J329" s="6" t="s">
        <v>46</v>
      </c>
      <c r="K329" s="8"/>
      <c r="L329" s="7" t="s">
        <v>1967</v>
      </c>
      <c r="M329" s="8"/>
      <c r="N329" s="8"/>
      <c r="O329" s="8"/>
      <c r="P329" s="6">
        <v>14</v>
      </c>
      <c r="Q329" s="5">
        <v>46308</v>
      </c>
      <c r="R329" s="8"/>
      <c r="S329" s="8"/>
      <c r="T329" s="8"/>
      <c r="U329" s="8"/>
      <c r="V329" s="8"/>
      <c r="W329" s="8"/>
      <c r="X329" s="8"/>
      <c r="Y329" s="8"/>
    </row>
    <row r="330" spans="1:25" ht="50.1" customHeight="1" thickBot="1" x14ac:dyDescent="0.3">
      <c r="A330" s="4" t="s">
        <v>1968</v>
      </c>
      <c r="B330" s="6" t="s">
        <v>1969</v>
      </c>
      <c r="C330" s="5">
        <v>46287</v>
      </c>
      <c r="D330" s="6" t="s">
        <v>19</v>
      </c>
      <c r="E330" s="6" t="s">
        <v>20</v>
      </c>
      <c r="F330" s="7" t="s">
        <v>464</v>
      </c>
      <c r="G330" s="6" t="s">
        <v>22</v>
      </c>
      <c r="H330" s="6">
        <v>316</v>
      </c>
      <c r="I330" s="6" t="s">
        <v>23</v>
      </c>
      <c r="J330" s="6" t="s">
        <v>24</v>
      </c>
      <c r="K330" s="8"/>
      <c r="L330" s="7" t="s">
        <v>1967</v>
      </c>
      <c r="M330" s="8"/>
      <c r="N330" s="8"/>
      <c r="O330" s="8"/>
      <c r="P330" s="6">
        <v>14</v>
      </c>
      <c r="Q330" s="5">
        <v>46308</v>
      </c>
      <c r="R330" s="8"/>
      <c r="S330" s="8"/>
      <c r="T330" s="8"/>
      <c r="U330" s="8"/>
      <c r="V330" s="8"/>
      <c r="W330" s="8"/>
      <c r="X330" s="8"/>
      <c r="Y330" s="8"/>
    </row>
    <row r="331" spans="1:25" ht="50.1" customHeight="1" thickBot="1" x14ac:dyDescent="0.3">
      <c r="A331" s="4" t="s">
        <v>1970</v>
      </c>
      <c r="B331" s="6" t="s">
        <v>1971</v>
      </c>
      <c r="C331" s="5">
        <v>46287</v>
      </c>
      <c r="D331" s="6" t="s">
        <v>19</v>
      </c>
      <c r="E331" s="6" t="s">
        <v>61</v>
      </c>
      <c r="F331" s="7" t="s">
        <v>1972</v>
      </c>
      <c r="G331" s="6" t="s">
        <v>22</v>
      </c>
      <c r="H331" s="6">
        <v>316</v>
      </c>
      <c r="I331" s="6" t="s">
        <v>23</v>
      </c>
      <c r="J331" s="6" t="s">
        <v>175</v>
      </c>
      <c r="K331" s="8"/>
      <c r="L331" s="7" t="s">
        <v>1973</v>
      </c>
      <c r="M331" s="8"/>
      <c r="N331" s="8"/>
      <c r="O331" s="8"/>
      <c r="P331" s="6">
        <v>14</v>
      </c>
      <c r="Q331" s="5">
        <v>46308</v>
      </c>
      <c r="R331" s="8"/>
      <c r="S331" s="8"/>
      <c r="T331" s="8"/>
      <c r="U331" s="8"/>
      <c r="V331" s="8"/>
      <c r="W331" s="8"/>
      <c r="X331" s="8"/>
      <c r="Y331" s="8"/>
    </row>
    <row r="332" spans="1:25" ht="50.1" customHeight="1" thickBot="1" x14ac:dyDescent="0.3">
      <c r="A332" s="4" t="s">
        <v>1974</v>
      </c>
      <c r="B332" s="6" t="s">
        <v>1975</v>
      </c>
      <c r="C332" s="5">
        <v>46287</v>
      </c>
      <c r="D332" s="6" t="s">
        <v>19</v>
      </c>
      <c r="E332" s="6" t="s">
        <v>61</v>
      </c>
      <c r="F332" s="7" t="s">
        <v>541</v>
      </c>
      <c r="G332" s="6" t="s">
        <v>22</v>
      </c>
      <c r="H332" s="6">
        <v>316</v>
      </c>
      <c r="I332" s="6" t="s">
        <v>23</v>
      </c>
      <c r="J332" s="6" t="s">
        <v>62</v>
      </c>
      <c r="K332" s="8"/>
      <c r="L332" s="7" t="s">
        <v>1976</v>
      </c>
      <c r="M332" s="6">
        <v>1165840</v>
      </c>
      <c r="N332" s="8"/>
      <c r="O332" s="8"/>
      <c r="P332" s="6">
        <v>14</v>
      </c>
      <c r="Q332" s="5">
        <v>46308</v>
      </c>
      <c r="R332" s="8"/>
      <c r="S332" s="8"/>
      <c r="T332" s="8"/>
      <c r="U332" s="8"/>
      <c r="V332" s="8"/>
      <c r="W332" s="8"/>
      <c r="X332" s="8"/>
      <c r="Y332" s="8"/>
    </row>
    <row r="333" spans="1:25" ht="50.1" customHeight="1" thickBot="1" x14ac:dyDescent="0.3">
      <c r="A333" s="4" t="s">
        <v>1977</v>
      </c>
      <c r="B333" s="6" t="s">
        <v>1978</v>
      </c>
      <c r="C333" s="5">
        <v>46287</v>
      </c>
      <c r="D333" s="6" t="s">
        <v>19</v>
      </c>
      <c r="E333" s="6" t="s">
        <v>29</v>
      </c>
      <c r="F333" s="7" t="s">
        <v>1979</v>
      </c>
      <c r="G333" s="6" t="s">
        <v>34</v>
      </c>
      <c r="H333" s="6">
        <v>122</v>
      </c>
      <c r="I333" s="6" t="s">
        <v>50</v>
      </c>
      <c r="J333" s="6" t="s">
        <v>285</v>
      </c>
      <c r="K333" s="8"/>
      <c r="L333" s="7" t="s">
        <v>1980</v>
      </c>
      <c r="M333" s="8"/>
      <c r="N333" s="8"/>
      <c r="O333" s="8"/>
      <c r="P333" s="6">
        <v>14</v>
      </c>
      <c r="Q333" s="5">
        <v>46308</v>
      </c>
      <c r="R333" s="8"/>
      <c r="S333" s="8"/>
      <c r="T333" s="8"/>
      <c r="U333" s="8"/>
      <c r="V333" s="8"/>
      <c r="W333" s="8"/>
      <c r="X333" s="8"/>
      <c r="Y333" s="8"/>
    </row>
    <row r="334" spans="1:25" ht="50.1" customHeight="1" thickBot="1" x14ac:dyDescent="0.3">
      <c r="A334" s="4" t="s">
        <v>1981</v>
      </c>
      <c r="B334" s="6" t="s">
        <v>1982</v>
      </c>
      <c r="C334" s="5">
        <v>46287</v>
      </c>
      <c r="D334" s="6" t="s">
        <v>28</v>
      </c>
      <c r="E334" s="6" t="s">
        <v>39</v>
      </c>
      <c r="F334" s="7" t="s">
        <v>1983</v>
      </c>
      <c r="G334" s="6" t="s">
        <v>30</v>
      </c>
      <c r="H334" s="6">
        <v>503</v>
      </c>
      <c r="I334" s="6" t="s">
        <v>31</v>
      </c>
      <c r="J334" s="6" t="s">
        <v>1984</v>
      </c>
      <c r="K334" s="8"/>
      <c r="L334" s="7" t="s">
        <v>627</v>
      </c>
      <c r="M334" s="8"/>
      <c r="N334" s="8"/>
      <c r="O334" s="7" t="s">
        <v>776</v>
      </c>
      <c r="P334" s="6">
        <v>14</v>
      </c>
      <c r="Q334" s="5">
        <v>46308</v>
      </c>
      <c r="R334" s="8"/>
      <c r="S334" s="8"/>
      <c r="T334" s="8"/>
      <c r="U334" s="8"/>
      <c r="V334" s="8"/>
      <c r="W334" s="8"/>
      <c r="X334" s="8"/>
      <c r="Y334" s="8"/>
    </row>
    <row r="335" spans="1:25" ht="50.1" customHeight="1" thickBot="1" x14ac:dyDescent="0.3">
      <c r="A335" s="4" t="s">
        <v>1985</v>
      </c>
      <c r="B335" s="6" t="s">
        <v>1986</v>
      </c>
      <c r="C335" s="5">
        <v>46288</v>
      </c>
      <c r="D335" s="6" t="s">
        <v>33</v>
      </c>
      <c r="E335" s="6" t="s">
        <v>29</v>
      </c>
      <c r="F335" s="7" t="s">
        <v>1987</v>
      </c>
      <c r="G335" s="6" t="s">
        <v>34</v>
      </c>
      <c r="H335" s="6">
        <v>122</v>
      </c>
      <c r="I335" s="6" t="s">
        <v>50</v>
      </c>
      <c r="J335" s="6" t="s">
        <v>285</v>
      </c>
      <c r="K335" s="8"/>
      <c r="L335" s="7" t="s">
        <v>1988</v>
      </c>
      <c r="M335" s="6">
        <v>1121620</v>
      </c>
      <c r="N335" s="8"/>
      <c r="O335" s="8"/>
      <c r="P335" s="6">
        <v>14</v>
      </c>
      <c r="Q335" s="5">
        <v>46308</v>
      </c>
      <c r="R335" s="8"/>
      <c r="S335" s="8"/>
      <c r="T335" s="8"/>
      <c r="U335" s="8"/>
      <c r="V335" s="8"/>
      <c r="W335" s="8"/>
      <c r="X335" s="8"/>
      <c r="Y335" s="8"/>
    </row>
    <row r="336" spans="1:25" ht="50.1" customHeight="1" thickBot="1" x14ac:dyDescent="0.3">
      <c r="A336" s="4" t="s">
        <v>1989</v>
      </c>
      <c r="B336" s="6" t="s">
        <v>1990</v>
      </c>
      <c r="C336" s="5">
        <v>46288</v>
      </c>
      <c r="D336" s="6" t="s">
        <v>19</v>
      </c>
      <c r="E336" s="6" t="s">
        <v>39</v>
      </c>
      <c r="F336" s="7" t="s">
        <v>1991</v>
      </c>
      <c r="G336" s="6" t="s">
        <v>34</v>
      </c>
      <c r="H336" s="6">
        <v>111</v>
      </c>
      <c r="I336" s="6" t="s">
        <v>115</v>
      </c>
      <c r="J336" s="6" t="s">
        <v>551</v>
      </c>
      <c r="K336" s="8"/>
      <c r="L336" s="7" t="s">
        <v>1992</v>
      </c>
      <c r="M336" s="8"/>
      <c r="N336" s="8"/>
      <c r="O336" s="8"/>
      <c r="P336" s="6">
        <v>14</v>
      </c>
      <c r="Q336" s="5">
        <v>46309</v>
      </c>
      <c r="R336" s="8"/>
      <c r="S336" s="8"/>
      <c r="T336" s="8"/>
      <c r="U336" s="8"/>
      <c r="V336" s="8"/>
      <c r="W336" s="8"/>
      <c r="X336" s="8"/>
      <c r="Y336" s="8"/>
    </row>
    <row r="337" spans="1:25" ht="50.1" customHeight="1" thickBot="1" x14ac:dyDescent="0.3">
      <c r="A337" s="4" t="s">
        <v>1993</v>
      </c>
      <c r="B337" s="6" t="s">
        <v>1994</v>
      </c>
      <c r="C337" s="5">
        <v>46288</v>
      </c>
      <c r="D337" s="6" t="s">
        <v>19</v>
      </c>
      <c r="E337" s="6" t="s">
        <v>63</v>
      </c>
      <c r="F337" s="7" t="s">
        <v>1995</v>
      </c>
      <c r="G337" s="6" t="s">
        <v>22</v>
      </c>
      <c r="H337" s="6">
        <v>316</v>
      </c>
      <c r="I337" s="6" t="s">
        <v>23</v>
      </c>
      <c r="J337" s="6" t="s">
        <v>75</v>
      </c>
      <c r="K337" s="8"/>
      <c r="L337" s="7" t="s">
        <v>1996</v>
      </c>
      <c r="M337" s="6">
        <v>1254380</v>
      </c>
      <c r="N337" s="8"/>
      <c r="O337" s="8"/>
      <c r="P337" s="6">
        <v>14</v>
      </c>
      <c r="Q337" s="5">
        <v>46309</v>
      </c>
      <c r="R337" s="8"/>
      <c r="S337" s="8"/>
      <c r="T337" s="8"/>
      <c r="U337" s="8"/>
      <c r="V337" s="8"/>
      <c r="W337" s="8"/>
      <c r="X337" s="8"/>
      <c r="Y337" s="8"/>
    </row>
    <row r="338" spans="1:25" ht="50.1" customHeight="1" thickBot="1" x14ac:dyDescent="0.3">
      <c r="A338" s="4" t="s">
        <v>1895</v>
      </c>
      <c r="B338" s="6" t="s">
        <v>1997</v>
      </c>
      <c r="C338" s="5">
        <v>46288</v>
      </c>
      <c r="D338" s="6" t="s">
        <v>19</v>
      </c>
      <c r="E338" s="6" t="s">
        <v>460</v>
      </c>
      <c r="F338" s="7" t="s">
        <v>614</v>
      </c>
      <c r="G338" s="6" t="s">
        <v>34</v>
      </c>
      <c r="H338" s="6">
        <v>127</v>
      </c>
      <c r="I338" s="6" t="s">
        <v>88</v>
      </c>
      <c r="J338" s="6" t="s">
        <v>71</v>
      </c>
      <c r="K338" s="8"/>
      <c r="L338" s="7" t="s">
        <v>1998</v>
      </c>
      <c r="M338" s="8"/>
      <c r="N338" s="8"/>
      <c r="O338" s="8"/>
      <c r="P338" s="6">
        <v>14</v>
      </c>
      <c r="Q338" s="5">
        <v>46309</v>
      </c>
      <c r="R338" s="8"/>
      <c r="S338" s="8"/>
      <c r="T338" s="8"/>
      <c r="U338" s="8"/>
      <c r="V338" s="8"/>
      <c r="W338" s="8"/>
      <c r="X338" s="8"/>
      <c r="Y338" s="8"/>
    </row>
    <row r="339" spans="1:25" ht="50.1" customHeight="1" thickBot="1" x14ac:dyDescent="0.3">
      <c r="A339" s="4" t="s">
        <v>1999</v>
      </c>
      <c r="B339" s="6" t="s">
        <v>2000</v>
      </c>
      <c r="C339" s="5">
        <v>46288</v>
      </c>
      <c r="D339" s="6" t="s">
        <v>19</v>
      </c>
      <c r="E339" s="6" t="s">
        <v>39</v>
      </c>
      <c r="F339" s="7" t="s">
        <v>2001</v>
      </c>
      <c r="G339" s="6" t="s">
        <v>30</v>
      </c>
      <c r="H339" s="6">
        <v>503</v>
      </c>
      <c r="I339" s="6" t="s">
        <v>31</v>
      </c>
      <c r="J339" s="12" t="s">
        <v>93</v>
      </c>
      <c r="K339" s="8"/>
      <c r="L339" s="7" t="s">
        <v>2002</v>
      </c>
      <c r="M339" s="8"/>
      <c r="N339" s="8"/>
      <c r="O339" s="8"/>
      <c r="P339" s="6">
        <v>14</v>
      </c>
      <c r="Q339" s="5">
        <v>46309</v>
      </c>
      <c r="R339" s="8"/>
      <c r="S339" s="8"/>
      <c r="T339" s="8"/>
      <c r="U339" s="8"/>
      <c r="V339" s="8"/>
      <c r="W339" s="8"/>
      <c r="X339" s="8"/>
      <c r="Y339" s="8"/>
    </row>
    <row r="340" spans="1:25" ht="50.1" customHeight="1" thickBot="1" x14ac:dyDescent="0.3">
      <c r="A340" s="4" t="s">
        <v>2003</v>
      </c>
      <c r="B340" s="6" t="s">
        <v>2004</v>
      </c>
      <c r="C340" s="5">
        <v>46288</v>
      </c>
      <c r="D340" s="6" t="s">
        <v>19</v>
      </c>
      <c r="E340" s="6" t="s">
        <v>61</v>
      </c>
      <c r="F340" s="7" t="s">
        <v>2005</v>
      </c>
      <c r="G340" s="6" t="s">
        <v>30</v>
      </c>
      <c r="H340" s="6">
        <v>316</v>
      </c>
      <c r="I340" s="6" t="s">
        <v>23</v>
      </c>
      <c r="J340" s="6" t="s">
        <v>173</v>
      </c>
      <c r="K340" s="8"/>
      <c r="L340" s="7" t="s">
        <v>2006</v>
      </c>
      <c r="M340" s="8"/>
      <c r="N340" s="8"/>
      <c r="O340" s="8"/>
      <c r="P340" s="6">
        <v>14</v>
      </c>
      <c r="Q340" s="5">
        <v>46309</v>
      </c>
      <c r="R340" s="8"/>
      <c r="S340" s="8"/>
      <c r="T340" s="8"/>
      <c r="U340" s="8"/>
      <c r="V340" s="8"/>
      <c r="W340" s="8"/>
      <c r="X340" s="8"/>
      <c r="Y340" s="8"/>
    </row>
    <row r="341" spans="1:25" ht="50.1" customHeight="1" thickBot="1" x14ac:dyDescent="0.3">
      <c r="A341" s="4" t="s">
        <v>2007</v>
      </c>
      <c r="B341" s="6" t="s">
        <v>2008</v>
      </c>
      <c r="C341" s="5">
        <v>46288</v>
      </c>
      <c r="D341" s="6" t="s">
        <v>19</v>
      </c>
      <c r="E341" s="6" t="s">
        <v>20</v>
      </c>
      <c r="F341" s="7" t="s">
        <v>2009</v>
      </c>
      <c r="G341" s="6" t="s">
        <v>22</v>
      </c>
      <c r="H341" s="6">
        <v>304</v>
      </c>
      <c r="I341" s="6" t="s">
        <v>43</v>
      </c>
      <c r="J341" s="6" t="s">
        <v>44</v>
      </c>
      <c r="K341" s="8"/>
      <c r="L341" s="7" t="s">
        <v>2010</v>
      </c>
      <c r="M341" s="6">
        <v>1253935</v>
      </c>
      <c r="N341" s="8"/>
      <c r="O341" s="8"/>
      <c r="P341" s="6">
        <v>14</v>
      </c>
      <c r="Q341" s="5">
        <v>46309</v>
      </c>
      <c r="R341" s="8"/>
      <c r="S341" s="8"/>
      <c r="T341" s="8"/>
      <c r="U341" s="8"/>
      <c r="V341" s="8"/>
      <c r="W341" s="8"/>
      <c r="X341" s="8"/>
      <c r="Y341" s="8"/>
    </row>
    <row r="342" spans="1:25" ht="50.1" customHeight="1" thickBot="1" x14ac:dyDescent="0.3">
      <c r="A342" s="4" t="s">
        <v>2011</v>
      </c>
      <c r="B342" s="6" t="s">
        <v>2012</v>
      </c>
      <c r="C342" s="5">
        <v>46288</v>
      </c>
      <c r="D342" s="6" t="s">
        <v>19</v>
      </c>
      <c r="E342" s="6" t="s">
        <v>39</v>
      </c>
      <c r="F342" s="7" t="s">
        <v>2001</v>
      </c>
      <c r="G342" s="6" t="s">
        <v>30</v>
      </c>
      <c r="H342" s="6">
        <v>503</v>
      </c>
      <c r="I342" s="6" t="s">
        <v>31</v>
      </c>
      <c r="J342" s="12" t="s">
        <v>93</v>
      </c>
      <c r="K342" s="8"/>
      <c r="L342" s="7" t="s">
        <v>413</v>
      </c>
      <c r="M342" s="8"/>
      <c r="N342" s="8"/>
      <c r="O342" s="8"/>
      <c r="P342" s="6">
        <v>14</v>
      </c>
      <c r="Q342" s="5">
        <v>46309</v>
      </c>
      <c r="R342" s="8"/>
      <c r="S342" s="8"/>
      <c r="T342" s="8"/>
      <c r="U342" s="8"/>
      <c r="V342" s="8"/>
      <c r="W342" s="8"/>
      <c r="X342" s="8"/>
      <c r="Y342" s="8"/>
    </row>
    <row r="343" spans="1:25" ht="50.1" customHeight="1" thickBot="1" x14ac:dyDescent="0.3">
      <c r="A343" s="4" t="s">
        <v>2013</v>
      </c>
      <c r="B343" s="6" t="s">
        <v>2014</v>
      </c>
      <c r="C343" s="5">
        <v>46288</v>
      </c>
      <c r="D343" s="6" t="s">
        <v>19</v>
      </c>
      <c r="E343" s="6" t="s">
        <v>460</v>
      </c>
      <c r="F343" s="7" t="s">
        <v>1663</v>
      </c>
      <c r="G343" s="6" t="s">
        <v>22</v>
      </c>
      <c r="H343" s="6">
        <v>316</v>
      </c>
      <c r="I343" s="6" t="s">
        <v>23</v>
      </c>
      <c r="J343" s="6" t="s">
        <v>167</v>
      </c>
      <c r="K343" s="8"/>
      <c r="L343" s="7" t="s">
        <v>2015</v>
      </c>
      <c r="M343" s="8"/>
      <c r="N343" s="8"/>
      <c r="O343" s="8"/>
      <c r="P343" s="6">
        <v>14</v>
      </c>
      <c r="Q343" s="5">
        <v>46309</v>
      </c>
      <c r="R343" s="8"/>
      <c r="S343" s="8"/>
      <c r="T343" s="8"/>
      <c r="U343" s="8"/>
      <c r="V343" s="8"/>
      <c r="W343" s="8"/>
      <c r="X343" s="8"/>
      <c r="Y343" s="8"/>
    </row>
    <row r="344" spans="1:25" ht="50.1" customHeight="1" thickBot="1" x14ac:dyDescent="0.3">
      <c r="A344" s="4" t="s">
        <v>2016</v>
      </c>
      <c r="B344" s="6" t="s">
        <v>2017</v>
      </c>
      <c r="C344" s="5">
        <v>46288</v>
      </c>
      <c r="D344" s="6" t="s">
        <v>19</v>
      </c>
      <c r="E344" s="6" t="s">
        <v>29</v>
      </c>
      <c r="F344" s="7" t="s">
        <v>2018</v>
      </c>
      <c r="G344" s="6" t="s">
        <v>30</v>
      </c>
      <c r="H344" s="6">
        <v>503</v>
      </c>
      <c r="I344" s="6" t="s">
        <v>31</v>
      </c>
      <c r="J344" s="6" t="s">
        <v>81</v>
      </c>
      <c r="K344" s="8"/>
      <c r="L344" s="7" t="s">
        <v>2010</v>
      </c>
      <c r="M344" s="8"/>
      <c r="N344" s="8"/>
      <c r="O344" s="8"/>
      <c r="P344" s="6">
        <v>14</v>
      </c>
      <c r="Q344" s="5">
        <v>46309</v>
      </c>
      <c r="R344" s="8"/>
      <c r="S344" s="8"/>
      <c r="T344" s="8"/>
      <c r="U344" s="8"/>
      <c r="V344" s="8"/>
      <c r="W344" s="8"/>
      <c r="X344" s="8"/>
      <c r="Y344" s="8"/>
    </row>
    <row r="345" spans="1:25" ht="50.1" customHeight="1" thickBot="1" x14ac:dyDescent="0.3">
      <c r="A345" s="4" t="s">
        <v>2019</v>
      </c>
      <c r="B345" s="6" t="s">
        <v>2020</v>
      </c>
      <c r="C345" s="5">
        <v>46288</v>
      </c>
      <c r="D345" s="6" t="s">
        <v>19</v>
      </c>
      <c r="E345" s="6" t="s">
        <v>460</v>
      </c>
      <c r="F345" s="7" t="s">
        <v>2021</v>
      </c>
      <c r="G345" s="6" t="s">
        <v>34</v>
      </c>
      <c r="H345" s="6">
        <v>127</v>
      </c>
      <c r="I345" s="6" t="s">
        <v>88</v>
      </c>
      <c r="J345" s="6" t="s">
        <v>71</v>
      </c>
      <c r="K345" s="8"/>
      <c r="L345" s="7" t="s">
        <v>643</v>
      </c>
      <c r="M345" s="8"/>
      <c r="N345" s="8"/>
      <c r="O345" s="8"/>
      <c r="P345" s="6">
        <v>14</v>
      </c>
      <c r="Q345" s="5">
        <v>46309</v>
      </c>
      <c r="R345" s="8"/>
      <c r="S345" s="8"/>
      <c r="T345" s="8"/>
      <c r="U345" s="8"/>
      <c r="V345" s="8"/>
      <c r="W345" s="8"/>
      <c r="X345" s="8"/>
      <c r="Y345" s="8"/>
    </row>
    <row r="346" spans="1:25" ht="50.1" customHeight="1" thickBot="1" x14ac:dyDescent="0.3">
      <c r="A346" s="4" t="s">
        <v>2022</v>
      </c>
      <c r="B346" s="6" t="s">
        <v>2023</v>
      </c>
      <c r="C346" s="5">
        <v>46288</v>
      </c>
      <c r="D346" s="6" t="s">
        <v>19</v>
      </c>
      <c r="E346" s="6" t="s">
        <v>29</v>
      </c>
      <c r="F346" s="7" t="s">
        <v>290</v>
      </c>
      <c r="G346" s="6" t="s">
        <v>34</v>
      </c>
      <c r="H346" s="6">
        <v>106</v>
      </c>
      <c r="I346" s="6" t="s">
        <v>112</v>
      </c>
      <c r="J346" s="6" t="s">
        <v>53</v>
      </c>
      <c r="K346" s="8"/>
      <c r="L346" s="7" t="s">
        <v>2024</v>
      </c>
      <c r="M346" s="8"/>
      <c r="N346" s="8"/>
      <c r="O346" s="8"/>
      <c r="P346" s="6">
        <v>14</v>
      </c>
      <c r="Q346" s="5">
        <v>46309</v>
      </c>
      <c r="R346" s="8"/>
      <c r="S346" s="8"/>
      <c r="T346" s="8"/>
      <c r="U346" s="8"/>
      <c r="V346" s="8"/>
      <c r="W346" s="8"/>
      <c r="X346" s="8"/>
      <c r="Y346" s="8"/>
    </row>
    <row r="347" spans="1:25" ht="50.1" customHeight="1" thickBot="1" x14ac:dyDescent="0.3">
      <c r="A347" s="4" t="s">
        <v>2025</v>
      </c>
      <c r="B347" s="6" t="s">
        <v>2026</v>
      </c>
      <c r="C347" s="5">
        <v>46288</v>
      </c>
      <c r="D347" s="6" t="s">
        <v>19</v>
      </c>
      <c r="E347" s="6" t="s">
        <v>39</v>
      </c>
      <c r="F347" s="7" t="s">
        <v>553</v>
      </c>
      <c r="G347" s="6" t="s">
        <v>34</v>
      </c>
      <c r="H347" s="6">
        <v>114</v>
      </c>
      <c r="I347" s="6" t="s">
        <v>41</v>
      </c>
      <c r="J347" s="6" t="s">
        <v>42</v>
      </c>
      <c r="K347" s="8"/>
      <c r="L347" s="7" t="s">
        <v>631</v>
      </c>
      <c r="M347" s="8"/>
      <c r="N347" s="8"/>
      <c r="O347" s="8"/>
      <c r="P347" s="6">
        <v>14</v>
      </c>
      <c r="Q347" s="5">
        <v>46309</v>
      </c>
      <c r="R347" s="8"/>
      <c r="S347" s="8"/>
      <c r="T347" s="8"/>
      <c r="U347" s="8"/>
      <c r="V347" s="8"/>
      <c r="W347" s="8"/>
      <c r="X347" s="8"/>
      <c r="Y347" s="8"/>
    </row>
    <row r="348" spans="1:25" ht="50.1" customHeight="1" thickBot="1" x14ac:dyDescent="0.3">
      <c r="A348" s="4" t="s">
        <v>2027</v>
      </c>
      <c r="B348" s="6" t="s">
        <v>2028</v>
      </c>
      <c r="C348" s="5">
        <v>46288</v>
      </c>
      <c r="D348" s="6" t="s">
        <v>19</v>
      </c>
      <c r="E348" s="6" t="s">
        <v>67</v>
      </c>
      <c r="F348" s="7" t="s">
        <v>2029</v>
      </c>
      <c r="G348" s="6" t="s">
        <v>22</v>
      </c>
      <c r="H348" s="6">
        <v>308</v>
      </c>
      <c r="I348" s="6" t="s">
        <v>77</v>
      </c>
      <c r="J348" s="6" t="s">
        <v>138</v>
      </c>
      <c r="K348" s="8"/>
      <c r="L348" s="7" t="s">
        <v>2030</v>
      </c>
      <c r="M348" s="8"/>
      <c r="N348" s="8"/>
      <c r="O348" s="8"/>
      <c r="P348" s="6">
        <v>14</v>
      </c>
      <c r="Q348" s="5">
        <v>46309</v>
      </c>
      <c r="R348" s="8"/>
      <c r="S348" s="8"/>
      <c r="T348" s="8"/>
      <c r="U348" s="8"/>
      <c r="V348" s="8"/>
      <c r="W348" s="8"/>
      <c r="X348" s="8"/>
      <c r="Y348" s="8"/>
    </row>
    <row r="349" spans="1:25" ht="50.1" customHeight="1" thickBot="1" x14ac:dyDescent="0.3">
      <c r="A349" s="4" t="s">
        <v>2031</v>
      </c>
      <c r="B349" s="6" t="s">
        <v>2032</v>
      </c>
      <c r="C349" s="5">
        <v>46288</v>
      </c>
      <c r="D349" s="6" t="s">
        <v>19</v>
      </c>
      <c r="E349" s="6" t="s">
        <v>39</v>
      </c>
      <c r="F349" s="7" t="s">
        <v>2033</v>
      </c>
      <c r="G349" s="6" t="s">
        <v>22</v>
      </c>
      <c r="H349" s="6">
        <v>311</v>
      </c>
      <c r="I349" s="6" t="s">
        <v>64</v>
      </c>
      <c r="J349" s="12" t="s">
        <v>2034</v>
      </c>
      <c r="K349" s="8"/>
      <c r="L349" s="7" t="s">
        <v>2035</v>
      </c>
      <c r="M349" s="8"/>
      <c r="N349" s="8"/>
      <c r="O349" s="8"/>
      <c r="P349" s="6">
        <v>14</v>
      </c>
      <c r="Q349" s="5">
        <v>46309</v>
      </c>
      <c r="R349" s="8"/>
      <c r="S349" s="8"/>
      <c r="T349" s="8"/>
      <c r="U349" s="8"/>
      <c r="V349" s="8"/>
      <c r="W349" s="8"/>
      <c r="X349" s="8"/>
      <c r="Y349" s="8"/>
    </row>
    <row r="350" spans="1:25" ht="50.1" customHeight="1" thickBot="1" x14ac:dyDescent="0.3">
      <c r="A350" s="4" t="s">
        <v>2036</v>
      </c>
      <c r="B350" s="6" t="s">
        <v>2037</v>
      </c>
      <c r="C350" s="5">
        <v>46288</v>
      </c>
      <c r="D350" s="6" t="s">
        <v>19</v>
      </c>
      <c r="E350" s="6" t="s">
        <v>29</v>
      </c>
      <c r="F350" s="7" t="s">
        <v>2038</v>
      </c>
      <c r="G350" s="6" t="s">
        <v>34</v>
      </c>
      <c r="H350" s="6">
        <v>122</v>
      </c>
      <c r="I350" s="6" t="s">
        <v>50</v>
      </c>
      <c r="J350" s="6" t="s">
        <v>285</v>
      </c>
      <c r="K350" s="8"/>
      <c r="L350" s="7" t="s">
        <v>649</v>
      </c>
      <c r="M350" s="8"/>
      <c r="N350" s="8"/>
      <c r="O350" s="8"/>
      <c r="P350" s="6">
        <v>14</v>
      </c>
      <c r="Q350" s="5">
        <v>46309</v>
      </c>
      <c r="R350" s="8"/>
      <c r="S350" s="8"/>
      <c r="T350" s="8"/>
      <c r="U350" s="8"/>
      <c r="V350" s="8"/>
      <c r="W350" s="8"/>
      <c r="X350" s="8"/>
      <c r="Y350" s="8"/>
    </row>
    <row r="351" spans="1:25" ht="50.1" customHeight="1" thickBot="1" x14ac:dyDescent="0.3">
      <c r="A351" s="4" t="s">
        <v>2039</v>
      </c>
      <c r="B351" s="6" t="s">
        <v>2040</v>
      </c>
      <c r="C351" s="5">
        <v>46288</v>
      </c>
      <c r="D351" s="6" t="s">
        <v>19</v>
      </c>
      <c r="E351" s="6" t="s">
        <v>39</v>
      </c>
      <c r="F351" s="7" t="s">
        <v>543</v>
      </c>
      <c r="G351" s="6" t="s">
        <v>34</v>
      </c>
      <c r="H351" s="6">
        <v>114</v>
      </c>
      <c r="I351" s="6" t="s">
        <v>41</v>
      </c>
      <c r="J351" s="6" t="s">
        <v>42</v>
      </c>
      <c r="K351" s="8"/>
      <c r="L351" s="7" t="s">
        <v>2041</v>
      </c>
      <c r="M351" s="6">
        <v>1251528</v>
      </c>
      <c r="N351" s="8"/>
      <c r="O351" s="8"/>
      <c r="P351" s="6">
        <v>14</v>
      </c>
      <c r="Q351" s="5">
        <v>46309</v>
      </c>
      <c r="R351" s="8"/>
      <c r="S351" s="8"/>
      <c r="T351" s="8"/>
      <c r="U351" s="8"/>
      <c r="V351" s="8"/>
      <c r="W351" s="8"/>
      <c r="X351" s="8"/>
      <c r="Y351" s="8"/>
    </row>
    <row r="352" spans="1:25" ht="50.1" customHeight="1" thickBot="1" x14ac:dyDescent="0.3">
      <c r="A352" s="4" t="s">
        <v>2042</v>
      </c>
      <c r="B352" s="6" t="s">
        <v>2043</v>
      </c>
      <c r="C352" s="5">
        <v>46288</v>
      </c>
      <c r="D352" s="6" t="s">
        <v>19</v>
      </c>
      <c r="E352" s="6" t="s">
        <v>20</v>
      </c>
      <c r="F352" s="7" t="s">
        <v>488</v>
      </c>
      <c r="G352" s="6" t="s">
        <v>22</v>
      </c>
      <c r="H352" s="6">
        <v>304</v>
      </c>
      <c r="I352" s="6" t="s">
        <v>43</v>
      </c>
      <c r="J352" s="6" t="s">
        <v>44</v>
      </c>
      <c r="K352" s="8"/>
      <c r="L352" s="7" t="s">
        <v>632</v>
      </c>
      <c r="M352" s="8"/>
      <c r="N352" s="8"/>
      <c r="O352" s="8"/>
      <c r="P352" s="6">
        <v>14</v>
      </c>
      <c r="Q352" s="5">
        <v>46309</v>
      </c>
      <c r="R352" s="8"/>
      <c r="S352" s="8"/>
      <c r="T352" s="8"/>
      <c r="U352" s="8"/>
      <c r="V352" s="8"/>
      <c r="W352" s="8"/>
      <c r="X352" s="8"/>
      <c r="Y352" s="8"/>
    </row>
    <row r="353" spans="1:25" ht="50.1" customHeight="1" thickBot="1" x14ac:dyDescent="0.3">
      <c r="A353" s="4" t="s">
        <v>2044</v>
      </c>
      <c r="B353" s="6" t="s">
        <v>2045</v>
      </c>
      <c r="C353" s="5">
        <v>46288</v>
      </c>
      <c r="D353" s="6" t="s">
        <v>28</v>
      </c>
      <c r="E353" s="6" t="s">
        <v>29</v>
      </c>
      <c r="F353" s="7" t="s">
        <v>2046</v>
      </c>
      <c r="G353" s="6" t="s">
        <v>34</v>
      </c>
      <c r="H353" s="6">
        <v>106</v>
      </c>
      <c r="I353" s="6" t="s">
        <v>112</v>
      </c>
      <c r="J353" s="6" t="s">
        <v>53</v>
      </c>
      <c r="K353" s="8"/>
      <c r="L353" s="7" t="s">
        <v>627</v>
      </c>
      <c r="M353" s="8"/>
      <c r="N353" s="8"/>
      <c r="O353" s="8"/>
      <c r="P353" s="6">
        <v>14</v>
      </c>
      <c r="Q353" s="5">
        <v>46309</v>
      </c>
      <c r="R353" s="8"/>
      <c r="S353" s="8"/>
      <c r="T353" s="8"/>
      <c r="U353" s="8"/>
      <c r="V353" s="8"/>
      <c r="W353" s="8"/>
      <c r="X353" s="8"/>
      <c r="Y353" s="8"/>
    </row>
    <row r="354" spans="1:25" ht="50.1" customHeight="1" thickBot="1" x14ac:dyDescent="0.3">
      <c r="A354" s="4" t="s">
        <v>2047</v>
      </c>
      <c r="B354" s="6" t="s">
        <v>2048</v>
      </c>
      <c r="C354" s="5">
        <v>46288</v>
      </c>
      <c r="D354" s="6" t="s">
        <v>19</v>
      </c>
      <c r="E354" s="6" t="s">
        <v>460</v>
      </c>
      <c r="F354" s="7" t="s">
        <v>2049</v>
      </c>
      <c r="G354" s="6" t="s">
        <v>22</v>
      </c>
      <c r="H354" s="6">
        <v>316</v>
      </c>
      <c r="I354" s="6" t="s">
        <v>23</v>
      </c>
      <c r="J354" s="12" t="s">
        <v>169</v>
      </c>
      <c r="K354" s="8"/>
      <c r="L354" s="7" t="s">
        <v>2050</v>
      </c>
      <c r="M354" s="8"/>
      <c r="N354" s="8"/>
      <c r="O354" s="8"/>
      <c r="P354" s="6">
        <v>14</v>
      </c>
      <c r="Q354" s="5">
        <v>46309</v>
      </c>
      <c r="R354" s="8"/>
      <c r="S354" s="8"/>
      <c r="T354" s="8"/>
      <c r="U354" s="8"/>
      <c r="V354" s="8"/>
      <c r="W354" s="8"/>
      <c r="X354" s="8"/>
      <c r="Y354" s="8"/>
    </row>
    <row r="355" spans="1:25" ht="50.1" customHeight="1" thickBot="1" x14ac:dyDescent="0.3">
      <c r="A355" s="4" t="s">
        <v>2051</v>
      </c>
      <c r="B355" s="6" t="s">
        <v>2052</v>
      </c>
      <c r="C355" s="5">
        <v>46288</v>
      </c>
      <c r="D355" s="6" t="s">
        <v>19</v>
      </c>
      <c r="E355" s="6" t="s">
        <v>460</v>
      </c>
      <c r="F355" s="7" t="s">
        <v>614</v>
      </c>
      <c r="G355" s="6" t="s">
        <v>34</v>
      </c>
      <c r="H355" s="6">
        <v>127</v>
      </c>
      <c r="I355" s="6" t="s">
        <v>88</v>
      </c>
      <c r="J355" s="6" t="s">
        <v>71</v>
      </c>
      <c r="K355" s="8"/>
      <c r="L355" s="7" t="s">
        <v>2053</v>
      </c>
      <c r="M355" s="8"/>
      <c r="N355" s="8"/>
      <c r="O355" s="8"/>
      <c r="P355" s="6">
        <v>14</v>
      </c>
      <c r="Q355" s="5">
        <v>46309</v>
      </c>
      <c r="R355" s="8"/>
      <c r="S355" s="8"/>
      <c r="T355" s="8"/>
      <c r="U355" s="8"/>
      <c r="V355" s="8"/>
      <c r="W355" s="8"/>
      <c r="X355" s="8"/>
      <c r="Y355" s="8"/>
    </row>
    <row r="356" spans="1:25" ht="50.1" customHeight="1" thickBot="1" x14ac:dyDescent="0.3">
      <c r="A356" s="4" t="s">
        <v>2054</v>
      </c>
      <c r="B356" s="6" t="s">
        <v>2055</v>
      </c>
      <c r="C356" s="5">
        <v>46288</v>
      </c>
      <c r="D356" s="6" t="s">
        <v>19</v>
      </c>
      <c r="E356" s="6" t="s">
        <v>20</v>
      </c>
      <c r="F356" s="7" t="s">
        <v>464</v>
      </c>
      <c r="G356" s="6" t="s">
        <v>22</v>
      </c>
      <c r="H356" s="6">
        <v>316</v>
      </c>
      <c r="I356" s="6" t="s">
        <v>23</v>
      </c>
      <c r="J356" s="6" t="s">
        <v>24</v>
      </c>
      <c r="K356" s="8"/>
      <c r="L356" s="7" t="s">
        <v>2056</v>
      </c>
      <c r="M356" s="8"/>
      <c r="N356" s="8"/>
      <c r="O356" s="8"/>
      <c r="P356" s="6">
        <v>14</v>
      </c>
      <c r="Q356" s="5">
        <v>46309</v>
      </c>
      <c r="R356" s="8"/>
      <c r="S356" s="8"/>
      <c r="T356" s="8"/>
      <c r="U356" s="8"/>
      <c r="V356" s="8"/>
      <c r="W356" s="8"/>
      <c r="X356" s="8"/>
      <c r="Y356" s="8"/>
    </row>
    <row r="357" spans="1:25" ht="50.1" customHeight="1" thickBot="1" x14ac:dyDescent="0.3">
      <c r="A357" s="4" t="s">
        <v>2057</v>
      </c>
      <c r="B357" s="6" t="s">
        <v>2058</v>
      </c>
      <c r="C357" s="5">
        <v>46288</v>
      </c>
      <c r="D357" s="6" t="s">
        <v>19</v>
      </c>
      <c r="E357" s="6" t="s">
        <v>29</v>
      </c>
      <c r="F357" s="7" t="s">
        <v>2059</v>
      </c>
      <c r="G357" s="6" t="s">
        <v>34</v>
      </c>
      <c r="H357" s="6">
        <v>106</v>
      </c>
      <c r="I357" s="6" t="s">
        <v>112</v>
      </c>
      <c r="J357" s="6" t="s">
        <v>53</v>
      </c>
      <c r="K357" s="8"/>
      <c r="L357" s="7" t="s">
        <v>2060</v>
      </c>
      <c r="M357" s="6">
        <v>1139880</v>
      </c>
      <c r="N357" s="8"/>
      <c r="O357" s="8"/>
      <c r="P357" s="6">
        <v>14</v>
      </c>
      <c r="Q357" s="5">
        <v>46309</v>
      </c>
      <c r="R357" s="8"/>
      <c r="S357" s="8"/>
      <c r="T357" s="8"/>
      <c r="U357" s="8"/>
      <c r="V357" s="8"/>
      <c r="W357" s="8"/>
      <c r="X357" s="8"/>
      <c r="Y357" s="8"/>
    </row>
    <row r="358" spans="1:25" ht="50.1" customHeight="1" thickBot="1" x14ac:dyDescent="0.3">
      <c r="A358" s="4" t="s">
        <v>2061</v>
      </c>
      <c r="B358" s="6" t="s">
        <v>2062</v>
      </c>
      <c r="C358" s="5">
        <v>46288</v>
      </c>
      <c r="D358" s="6" t="s">
        <v>33</v>
      </c>
      <c r="E358" s="6" t="s">
        <v>61</v>
      </c>
      <c r="F358" s="7" t="s">
        <v>2063</v>
      </c>
      <c r="G358" s="6" t="s">
        <v>22</v>
      </c>
      <c r="H358" s="6">
        <v>316</v>
      </c>
      <c r="I358" s="6" t="s">
        <v>23</v>
      </c>
      <c r="J358" s="6" t="s">
        <v>175</v>
      </c>
      <c r="K358" s="8"/>
      <c r="L358" s="7" t="s">
        <v>644</v>
      </c>
      <c r="M358" s="8"/>
      <c r="N358" s="8"/>
      <c r="O358" s="8"/>
      <c r="P358" s="6">
        <v>14</v>
      </c>
      <c r="Q358" s="5">
        <v>46309</v>
      </c>
      <c r="R358" s="8"/>
      <c r="S358" s="8"/>
      <c r="T358" s="8"/>
      <c r="U358" s="8"/>
      <c r="V358" s="8"/>
      <c r="W358" s="8"/>
      <c r="X358" s="8"/>
      <c r="Y358" s="8"/>
    </row>
    <row r="359" spans="1:25" ht="50.1" customHeight="1" thickBot="1" x14ac:dyDescent="0.3">
      <c r="A359" s="4" t="s">
        <v>2064</v>
      </c>
      <c r="B359" s="6" t="s">
        <v>2065</v>
      </c>
      <c r="C359" s="5">
        <v>46288</v>
      </c>
      <c r="D359" s="6" t="s">
        <v>28</v>
      </c>
      <c r="E359" s="6" t="s">
        <v>63</v>
      </c>
      <c r="F359" s="7" t="s">
        <v>2066</v>
      </c>
      <c r="G359" s="6" t="s">
        <v>22</v>
      </c>
      <c r="H359" s="6">
        <v>316</v>
      </c>
      <c r="I359" s="6" t="s">
        <v>23</v>
      </c>
      <c r="J359" s="6" t="s">
        <v>74</v>
      </c>
      <c r="K359" s="8"/>
      <c r="L359" s="7" t="s">
        <v>627</v>
      </c>
      <c r="M359" s="8"/>
      <c r="N359" s="8"/>
      <c r="O359" s="6" t="s">
        <v>776</v>
      </c>
      <c r="P359" s="6">
        <v>14</v>
      </c>
      <c r="Q359" s="5">
        <v>46309</v>
      </c>
      <c r="R359" s="8"/>
      <c r="S359" s="8"/>
      <c r="T359" s="8"/>
      <c r="U359" s="8"/>
      <c r="V359" s="8"/>
      <c r="W359" s="8"/>
      <c r="X359" s="8"/>
      <c r="Y359" s="8"/>
    </row>
    <row r="360" spans="1:25" ht="50.1" customHeight="1" thickBot="1" x14ac:dyDescent="0.3">
      <c r="A360" s="4" t="s">
        <v>2067</v>
      </c>
      <c r="B360" s="6" t="s">
        <v>2068</v>
      </c>
      <c r="C360" s="5">
        <v>46289</v>
      </c>
      <c r="D360" s="6" t="s">
        <v>19</v>
      </c>
      <c r="E360" s="6" t="s">
        <v>460</v>
      </c>
      <c r="F360" s="7" t="s">
        <v>346</v>
      </c>
      <c r="G360" s="6" t="s">
        <v>22</v>
      </c>
      <c r="H360" s="6">
        <v>316</v>
      </c>
      <c r="I360" s="6" t="s">
        <v>23</v>
      </c>
      <c r="J360" s="6" t="s">
        <v>57</v>
      </c>
      <c r="K360" s="8"/>
      <c r="L360" s="7" t="s">
        <v>2069</v>
      </c>
      <c r="M360" s="8"/>
      <c r="N360" s="8"/>
      <c r="O360" s="6" t="s">
        <v>621</v>
      </c>
      <c r="P360" s="6">
        <v>14</v>
      </c>
      <c r="Q360" s="5">
        <v>46309</v>
      </c>
      <c r="R360" s="8"/>
      <c r="S360" s="8"/>
      <c r="T360" s="8"/>
      <c r="U360" s="8"/>
      <c r="V360" s="8"/>
      <c r="W360" s="8"/>
      <c r="X360" s="8"/>
      <c r="Y360" s="8"/>
    </row>
    <row r="361" spans="1:25" ht="50.1" customHeight="1" thickBot="1" x14ac:dyDescent="0.3">
      <c r="A361" s="4" t="s">
        <v>2070</v>
      </c>
      <c r="B361" s="6" t="s">
        <v>2071</v>
      </c>
      <c r="C361" s="5">
        <v>46289</v>
      </c>
      <c r="D361" s="6" t="s">
        <v>33</v>
      </c>
      <c r="E361" s="6" t="s">
        <v>84</v>
      </c>
      <c r="F361" s="7" t="s">
        <v>2072</v>
      </c>
      <c r="G361" s="6" t="s">
        <v>30</v>
      </c>
      <c r="H361" s="6">
        <v>503</v>
      </c>
      <c r="I361" s="6" t="s">
        <v>31</v>
      </c>
      <c r="J361" s="6" t="s">
        <v>59</v>
      </c>
      <c r="K361" s="8"/>
      <c r="L361" s="7" t="s">
        <v>2073</v>
      </c>
      <c r="M361" s="8"/>
      <c r="N361" s="8"/>
      <c r="O361" s="8"/>
      <c r="P361" s="6">
        <v>14</v>
      </c>
      <c r="Q361" s="5">
        <v>46310</v>
      </c>
      <c r="R361" s="8"/>
      <c r="S361" s="8"/>
      <c r="T361" s="8"/>
      <c r="U361" s="8"/>
      <c r="V361" s="8"/>
      <c r="W361" s="8"/>
      <c r="X361" s="8"/>
      <c r="Y361" s="8"/>
    </row>
    <row r="362" spans="1:25" ht="50.1" customHeight="1" thickBot="1" x14ac:dyDescent="0.3">
      <c r="A362" s="4" t="s">
        <v>2074</v>
      </c>
      <c r="B362" s="6" t="s">
        <v>2075</v>
      </c>
      <c r="C362" s="5">
        <v>46289</v>
      </c>
      <c r="D362" s="6" t="s">
        <v>19</v>
      </c>
      <c r="E362" s="6" t="s">
        <v>460</v>
      </c>
      <c r="F362" s="7" t="s">
        <v>2076</v>
      </c>
      <c r="G362" s="6" t="s">
        <v>22</v>
      </c>
      <c r="H362" s="6">
        <v>316</v>
      </c>
      <c r="I362" s="6" t="s">
        <v>23</v>
      </c>
      <c r="J362" s="6" t="s">
        <v>57</v>
      </c>
      <c r="K362" s="8"/>
      <c r="L362" s="7" t="s">
        <v>2077</v>
      </c>
      <c r="M362" s="6">
        <v>1109305</v>
      </c>
      <c r="N362" s="8"/>
      <c r="O362" s="8"/>
      <c r="P362" s="6">
        <v>14</v>
      </c>
      <c r="Q362" s="5">
        <v>46310</v>
      </c>
      <c r="R362" s="8"/>
      <c r="S362" s="8"/>
      <c r="T362" s="8"/>
      <c r="U362" s="8"/>
      <c r="V362" s="8"/>
      <c r="W362" s="8"/>
      <c r="X362" s="8"/>
      <c r="Y362" s="8"/>
    </row>
    <row r="363" spans="1:25" ht="50.1" customHeight="1" thickBot="1" x14ac:dyDescent="0.3">
      <c r="A363" s="4" t="s">
        <v>2078</v>
      </c>
      <c r="B363" s="6" t="s">
        <v>2079</v>
      </c>
      <c r="C363" s="5">
        <v>46289</v>
      </c>
      <c r="D363" s="6" t="s">
        <v>19</v>
      </c>
      <c r="E363" s="6" t="s">
        <v>460</v>
      </c>
      <c r="F363" s="7" t="s">
        <v>2080</v>
      </c>
      <c r="G363" s="6" t="s">
        <v>22</v>
      </c>
      <c r="H363" s="6">
        <v>316</v>
      </c>
      <c r="I363" s="6" t="s">
        <v>23</v>
      </c>
      <c r="J363" s="6" t="s">
        <v>57</v>
      </c>
      <c r="K363" s="8"/>
      <c r="L363" s="7" t="s">
        <v>2081</v>
      </c>
      <c r="M363" s="6">
        <v>1109170</v>
      </c>
      <c r="N363" s="8"/>
      <c r="O363" s="8"/>
      <c r="P363" s="6">
        <v>14</v>
      </c>
      <c r="Q363" s="5">
        <v>46310</v>
      </c>
      <c r="R363" s="8"/>
      <c r="S363" s="8"/>
      <c r="T363" s="8"/>
      <c r="U363" s="8"/>
      <c r="V363" s="8"/>
      <c r="W363" s="8"/>
      <c r="X363" s="8"/>
      <c r="Y363" s="8"/>
    </row>
    <row r="364" spans="1:25" ht="50.1" customHeight="1" thickBot="1" x14ac:dyDescent="0.3">
      <c r="A364" s="4" t="s">
        <v>2082</v>
      </c>
      <c r="B364" s="6" t="s">
        <v>2083</v>
      </c>
      <c r="C364" s="5">
        <v>46289</v>
      </c>
      <c r="D364" s="6" t="s">
        <v>19</v>
      </c>
      <c r="E364" s="6" t="s">
        <v>29</v>
      </c>
      <c r="F364" s="7" t="s">
        <v>2084</v>
      </c>
      <c r="G364" s="6" t="s">
        <v>34</v>
      </c>
      <c r="H364" s="6">
        <v>118</v>
      </c>
      <c r="I364" s="6" t="s">
        <v>492</v>
      </c>
      <c r="J364" s="6" t="s">
        <v>97</v>
      </c>
      <c r="K364" s="8"/>
      <c r="L364" s="7" t="s">
        <v>2085</v>
      </c>
      <c r="M364" s="8"/>
      <c r="N364" s="8"/>
      <c r="O364" s="8"/>
      <c r="P364" s="6">
        <v>14</v>
      </c>
      <c r="Q364" s="5">
        <v>46310</v>
      </c>
      <c r="R364" s="8"/>
      <c r="S364" s="8"/>
      <c r="T364" s="8"/>
      <c r="U364" s="8"/>
      <c r="V364" s="8"/>
      <c r="W364" s="8"/>
      <c r="X364" s="8"/>
      <c r="Y364" s="8"/>
    </row>
    <row r="365" spans="1:25" ht="50.1" customHeight="1" thickBot="1" x14ac:dyDescent="0.3">
      <c r="A365" s="4" t="s">
        <v>2086</v>
      </c>
      <c r="B365" s="6" t="s">
        <v>2087</v>
      </c>
      <c r="C365" s="5">
        <v>46289</v>
      </c>
      <c r="D365" s="6" t="s">
        <v>19</v>
      </c>
      <c r="E365" s="6" t="s">
        <v>61</v>
      </c>
      <c r="F365" s="7" t="s">
        <v>100</v>
      </c>
      <c r="G365" s="6" t="s">
        <v>22</v>
      </c>
      <c r="H365" s="6">
        <v>316</v>
      </c>
      <c r="I365" s="6" t="s">
        <v>23</v>
      </c>
      <c r="J365" s="6" t="s">
        <v>62</v>
      </c>
      <c r="K365" s="8"/>
      <c r="L365" s="7" t="s">
        <v>2088</v>
      </c>
      <c r="M365" s="8"/>
      <c r="N365" s="8"/>
      <c r="O365" s="8"/>
      <c r="P365" s="6">
        <v>14</v>
      </c>
      <c r="Q365" s="5">
        <v>46310</v>
      </c>
      <c r="R365" s="8"/>
      <c r="S365" s="8"/>
      <c r="T365" s="8"/>
      <c r="U365" s="8"/>
      <c r="V365" s="8"/>
      <c r="W365" s="8"/>
      <c r="X365" s="8"/>
      <c r="Y365" s="8"/>
    </row>
    <row r="366" spans="1:25" ht="50.1" customHeight="1" thickBot="1" x14ac:dyDescent="0.3">
      <c r="A366" s="4" t="s">
        <v>2089</v>
      </c>
      <c r="B366" s="6" t="s">
        <v>2090</v>
      </c>
      <c r="C366" s="5">
        <v>46289</v>
      </c>
      <c r="D366" s="6" t="s">
        <v>19</v>
      </c>
      <c r="E366" s="6" t="s">
        <v>29</v>
      </c>
      <c r="F366" s="7" t="s">
        <v>2091</v>
      </c>
      <c r="G366" s="6" t="s">
        <v>34</v>
      </c>
      <c r="H366" s="6">
        <v>102</v>
      </c>
      <c r="I366" s="6" t="s">
        <v>70</v>
      </c>
      <c r="J366" s="6" t="s">
        <v>71</v>
      </c>
      <c r="K366" s="8"/>
      <c r="L366" s="7" t="s">
        <v>2092</v>
      </c>
      <c r="M366" s="8"/>
      <c r="N366" s="8"/>
      <c r="O366" s="8"/>
      <c r="P366" s="6">
        <v>14</v>
      </c>
      <c r="Q366" s="5">
        <v>46310</v>
      </c>
      <c r="R366" s="8"/>
      <c r="S366" s="8"/>
      <c r="T366" s="8"/>
      <c r="U366" s="8"/>
      <c r="V366" s="8"/>
      <c r="W366" s="8"/>
      <c r="X366" s="8"/>
      <c r="Y366" s="8"/>
    </row>
    <row r="367" spans="1:25" ht="50.1" customHeight="1" thickBot="1" x14ac:dyDescent="0.3">
      <c r="A367" s="4" t="s">
        <v>2093</v>
      </c>
      <c r="B367" s="6" t="s">
        <v>2094</v>
      </c>
      <c r="C367" s="5">
        <v>46289</v>
      </c>
      <c r="D367" s="6" t="s">
        <v>19</v>
      </c>
      <c r="E367" s="6" t="s">
        <v>61</v>
      </c>
      <c r="F367" s="7" t="s">
        <v>2095</v>
      </c>
      <c r="G367" s="6" t="s">
        <v>22</v>
      </c>
      <c r="H367" s="6">
        <v>316</v>
      </c>
      <c r="I367" s="6" t="s">
        <v>23</v>
      </c>
      <c r="J367" s="6" t="s">
        <v>62</v>
      </c>
      <c r="K367" s="8"/>
      <c r="L367" s="7" t="s">
        <v>2096</v>
      </c>
      <c r="M367" s="8"/>
      <c r="N367" s="8"/>
      <c r="O367" s="8"/>
      <c r="P367" s="6">
        <v>14</v>
      </c>
      <c r="Q367" s="5">
        <v>46310</v>
      </c>
      <c r="R367" s="8"/>
      <c r="S367" s="8"/>
      <c r="T367" s="8"/>
      <c r="U367" s="8"/>
      <c r="V367" s="8"/>
      <c r="W367" s="8"/>
      <c r="X367" s="8"/>
      <c r="Y367" s="8"/>
    </row>
    <row r="368" spans="1:25" ht="50.1" customHeight="1" thickBot="1" x14ac:dyDescent="0.3">
      <c r="A368" s="4" t="s">
        <v>2097</v>
      </c>
      <c r="B368" s="6" t="s">
        <v>2098</v>
      </c>
      <c r="C368" s="5">
        <v>46289</v>
      </c>
      <c r="D368" s="6" t="s">
        <v>19</v>
      </c>
      <c r="E368" s="6" t="s">
        <v>460</v>
      </c>
      <c r="F368" s="7" t="s">
        <v>2099</v>
      </c>
      <c r="G368" s="6" t="s">
        <v>34</v>
      </c>
      <c r="H368" s="6">
        <v>127</v>
      </c>
      <c r="I368" s="6" t="s">
        <v>88</v>
      </c>
      <c r="J368" s="6" t="s">
        <v>71</v>
      </c>
      <c r="K368" s="8"/>
      <c r="L368" s="7" t="s">
        <v>2100</v>
      </c>
      <c r="M368" s="8"/>
      <c r="N368" s="8"/>
      <c r="O368" s="8"/>
      <c r="P368" s="6">
        <v>14</v>
      </c>
      <c r="Q368" s="5">
        <v>46310</v>
      </c>
      <c r="R368" s="8"/>
      <c r="S368" s="8"/>
      <c r="T368" s="8"/>
      <c r="U368" s="8"/>
      <c r="V368" s="8"/>
      <c r="W368" s="8"/>
      <c r="X368" s="8"/>
      <c r="Y368" s="8"/>
    </row>
    <row r="369" spans="1:25" ht="50.1" customHeight="1" thickBot="1" x14ac:dyDescent="0.3">
      <c r="A369" s="4" t="s">
        <v>2101</v>
      </c>
      <c r="B369" s="6" t="s">
        <v>2102</v>
      </c>
      <c r="C369" s="5">
        <v>46289</v>
      </c>
      <c r="D369" s="6" t="s">
        <v>33</v>
      </c>
      <c r="E369" s="6" t="s">
        <v>460</v>
      </c>
      <c r="F369" s="7" t="s">
        <v>2103</v>
      </c>
      <c r="G369" s="6" t="s">
        <v>30</v>
      </c>
      <c r="H369" s="6">
        <v>506</v>
      </c>
      <c r="I369" s="6" t="s">
        <v>94</v>
      </c>
      <c r="J369" s="6" t="s">
        <v>95</v>
      </c>
      <c r="K369" s="8"/>
      <c r="L369" s="7" t="s">
        <v>2104</v>
      </c>
      <c r="M369" s="6">
        <v>1107700</v>
      </c>
      <c r="N369" s="8"/>
      <c r="O369" s="8"/>
      <c r="P369" s="6">
        <v>14</v>
      </c>
      <c r="Q369" s="5">
        <v>46310</v>
      </c>
      <c r="R369" s="8"/>
      <c r="S369" s="8"/>
      <c r="T369" s="8"/>
      <c r="U369" s="8"/>
      <c r="V369" s="8"/>
      <c r="W369" s="8"/>
      <c r="X369" s="8"/>
      <c r="Y369" s="8"/>
    </row>
    <row r="370" spans="1:25" ht="50.1" customHeight="1" thickBot="1" x14ac:dyDescent="0.3">
      <c r="A370" s="4" t="s">
        <v>2105</v>
      </c>
      <c r="B370" s="6" t="s">
        <v>2106</v>
      </c>
      <c r="C370" s="5">
        <v>46289</v>
      </c>
      <c r="D370" s="6" t="s">
        <v>33</v>
      </c>
      <c r="E370" s="6" t="s">
        <v>29</v>
      </c>
      <c r="F370" s="7" t="s">
        <v>2107</v>
      </c>
      <c r="G370" s="6" t="s">
        <v>30</v>
      </c>
      <c r="H370" s="6">
        <v>503</v>
      </c>
      <c r="I370" s="6" t="s">
        <v>31</v>
      </c>
      <c r="J370" s="6" t="s">
        <v>81</v>
      </c>
      <c r="K370" s="8"/>
      <c r="L370" s="7" t="s">
        <v>2108</v>
      </c>
      <c r="M370" s="6">
        <v>1171600</v>
      </c>
      <c r="N370" s="8"/>
      <c r="O370" s="8"/>
      <c r="P370" s="6">
        <v>14</v>
      </c>
      <c r="Q370" s="5">
        <v>46310</v>
      </c>
      <c r="R370" s="8"/>
      <c r="S370" s="8"/>
      <c r="T370" s="8"/>
      <c r="U370" s="8"/>
      <c r="V370" s="8"/>
      <c r="W370" s="8"/>
      <c r="X370" s="8"/>
      <c r="Y370" s="8"/>
    </row>
    <row r="371" spans="1:25" ht="50.1" customHeight="1" thickBot="1" x14ac:dyDescent="0.3">
      <c r="A371" s="4" t="s">
        <v>2109</v>
      </c>
      <c r="B371" s="6" t="s">
        <v>2110</v>
      </c>
      <c r="C371" s="5">
        <v>46289</v>
      </c>
      <c r="D371" s="6" t="s">
        <v>19</v>
      </c>
      <c r="E371" s="6" t="s">
        <v>20</v>
      </c>
      <c r="F371" s="7" t="s">
        <v>2111</v>
      </c>
      <c r="G371" s="6" t="s">
        <v>22</v>
      </c>
      <c r="H371" s="6">
        <v>304</v>
      </c>
      <c r="I371" s="6" t="s">
        <v>43</v>
      </c>
      <c r="J371" s="6" t="s">
        <v>44</v>
      </c>
      <c r="K371" s="8"/>
      <c r="L371" s="7" t="s">
        <v>2112</v>
      </c>
      <c r="M371" s="6">
        <v>1251046</v>
      </c>
      <c r="N371" s="8"/>
      <c r="O371" s="8"/>
      <c r="P371" s="6">
        <v>14</v>
      </c>
      <c r="Q371" s="5">
        <v>46310</v>
      </c>
      <c r="R371" s="8"/>
      <c r="S371" s="8"/>
      <c r="T371" s="8"/>
      <c r="U371" s="8"/>
      <c r="V371" s="8"/>
      <c r="W371" s="8"/>
      <c r="X371" s="8"/>
      <c r="Y371" s="8"/>
    </row>
    <row r="372" spans="1:25" ht="50.1" customHeight="1" thickBot="1" x14ac:dyDescent="0.3">
      <c r="A372" s="4" t="s">
        <v>1206</v>
      </c>
      <c r="B372" s="6" t="s">
        <v>2113</v>
      </c>
      <c r="C372" s="5">
        <v>46289</v>
      </c>
      <c r="D372" s="6" t="s">
        <v>33</v>
      </c>
      <c r="E372" s="6" t="s">
        <v>460</v>
      </c>
      <c r="F372" s="7" t="s">
        <v>2114</v>
      </c>
      <c r="G372" s="6" t="s">
        <v>22</v>
      </c>
      <c r="H372" s="6">
        <v>316</v>
      </c>
      <c r="I372" s="6" t="s">
        <v>23</v>
      </c>
      <c r="J372" s="6" t="s">
        <v>54</v>
      </c>
      <c r="K372" s="8"/>
      <c r="L372" s="7" t="s">
        <v>2115</v>
      </c>
      <c r="M372" s="8"/>
      <c r="N372" s="8"/>
      <c r="O372" s="8"/>
      <c r="P372" s="6">
        <v>14</v>
      </c>
      <c r="Q372" s="5">
        <v>46310</v>
      </c>
      <c r="R372" s="8"/>
      <c r="S372" s="8"/>
      <c r="T372" s="8"/>
      <c r="U372" s="8"/>
      <c r="V372" s="8"/>
      <c r="W372" s="8"/>
      <c r="X372" s="8"/>
      <c r="Y372" s="8"/>
    </row>
    <row r="373" spans="1:25" ht="50.1" customHeight="1" thickBot="1" x14ac:dyDescent="0.3">
      <c r="A373" s="4" t="s">
        <v>2116</v>
      </c>
      <c r="B373" s="6" t="s">
        <v>2117</v>
      </c>
      <c r="C373" s="5">
        <v>46289</v>
      </c>
      <c r="D373" s="6" t="s">
        <v>19</v>
      </c>
      <c r="E373" s="6" t="s">
        <v>460</v>
      </c>
      <c r="F373" s="7" t="s">
        <v>2118</v>
      </c>
      <c r="G373" s="6" t="s">
        <v>34</v>
      </c>
      <c r="H373" s="6">
        <v>127</v>
      </c>
      <c r="I373" s="6" t="s">
        <v>88</v>
      </c>
      <c r="J373" s="6" t="s">
        <v>71</v>
      </c>
      <c r="K373" s="8"/>
      <c r="L373" s="7" t="s">
        <v>2119</v>
      </c>
      <c r="M373" s="8"/>
      <c r="N373" s="8"/>
      <c r="O373" s="8"/>
      <c r="P373" s="6">
        <v>14</v>
      </c>
      <c r="Q373" s="5">
        <v>46310</v>
      </c>
      <c r="R373" s="8"/>
      <c r="S373" s="8"/>
      <c r="T373" s="8"/>
      <c r="U373" s="8"/>
      <c r="V373" s="8"/>
      <c r="W373" s="8"/>
      <c r="X373" s="8"/>
      <c r="Y373" s="8"/>
    </row>
    <row r="374" spans="1:25" ht="50.1" customHeight="1" thickBot="1" x14ac:dyDescent="0.3">
      <c r="A374" s="4" t="s">
        <v>2120</v>
      </c>
      <c r="B374" s="879" t="s">
        <v>2121</v>
      </c>
      <c r="C374" s="5">
        <v>46289</v>
      </c>
      <c r="D374" s="6" t="s">
        <v>19</v>
      </c>
      <c r="E374" s="6" t="s">
        <v>20</v>
      </c>
      <c r="F374" s="7" t="s">
        <v>596</v>
      </c>
      <c r="G374" s="6" t="s">
        <v>22</v>
      </c>
      <c r="H374" s="6">
        <v>316</v>
      </c>
      <c r="I374" s="6" t="s">
        <v>23</v>
      </c>
      <c r="J374" s="6" t="s">
        <v>46</v>
      </c>
      <c r="K374" s="8"/>
      <c r="L374" s="7" t="s">
        <v>2122</v>
      </c>
      <c r="M374" s="6">
        <v>1175780</v>
      </c>
      <c r="N374" s="8"/>
      <c r="O374" s="8"/>
      <c r="P374" s="6">
        <v>14</v>
      </c>
      <c r="Q374" s="5">
        <v>46310</v>
      </c>
      <c r="R374" s="8"/>
      <c r="S374" s="8"/>
      <c r="T374" s="8"/>
      <c r="U374" s="8"/>
      <c r="V374" s="8"/>
      <c r="W374" s="8"/>
      <c r="X374" s="8"/>
      <c r="Y374" s="8"/>
    </row>
    <row r="375" spans="1:25" ht="50.1" customHeight="1" thickBot="1" x14ac:dyDescent="0.3">
      <c r="A375" s="4" t="s">
        <v>2123</v>
      </c>
      <c r="B375" s="6" t="s">
        <v>2124</v>
      </c>
      <c r="C375" s="5">
        <v>46289</v>
      </c>
      <c r="D375" s="6" t="s">
        <v>19</v>
      </c>
      <c r="E375" s="6" t="s">
        <v>39</v>
      </c>
      <c r="F375" s="7" t="s">
        <v>553</v>
      </c>
      <c r="G375" s="6" t="s">
        <v>34</v>
      </c>
      <c r="H375" s="6">
        <v>114</v>
      </c>
      <c r="I375" s="6" t="s">
        <v>41</v>
      </c>
      <c r="J375" s="6" t="s">
        <v>42</v>
      </c>
      <c r="K375" s="8"/>
      <c r="L375" s="7" t="s">
        <v>2125</v>
      </c>
      <c r="M375" s="8"/>
      <c r="N375" s="8"/>
      <c r="O375" s="8"/>
      <c r="P375" s="6">
        <v>14</v>
      </c>
      <c r="Q375" s="5">
        <v>46310</v>
      </c>
      <c r="R375" s="8"/>
      <c r="S375" s="8"/>
      <c r="T375" s="8"/>
      <c r="U375" s="8"/>
      <c r="V375" s="8"/>
      <c r="W375" s="8"/>
      <c r="X375" s="8"/>
      <c r="Y375" s="8"/>
    </row>
    <row r="376" spans="1:25" ht="50.1" customHeight="1" thickBot="1" x14ac:dyDescent="0.3">
      <c r="A376" s="4" t="s">
        <v>2126</v>
      </c>
      <c r="B376" s="6" t="s">
        <v>2127</v>
      </c>
      <c r="C376" s="5">
        <v>46289</v>
      </c>
      <c r="D376" s="6" t="s">
        <v>33</v>
      </c>
      <c r="E376" s="6" t="s">
        <v>29</v>
      </c>
      <c r="F376" s="7" t="s">
        <v>2128</v>
      </c>
      <c r="G376" s="6" t="s">
        <v>34</v>
      </c>
      <c r="H376" s="6">
        <v>118</v>
      </c>
      <c r="I376" s="6" t="s">
        <v>492</v>
      </c>
      <c r="J376" s="6" t="s">
        <v>511</v>
      </c>
      <c r="K376" s="8"/>
      <c r="L376" s="7" t="s">
        <v>2129</v>
      </c>
      <c r="M376" s="8"/>
      <c r="N376" s="8"/>
      <c r="O376" s="8"/>
      <c r="P376" s="6">
        <v>14</v>
      </c>
      <c r="Q376" s="5">
        <v>46310</v>
      </c>
      <c r="R376" s="8"/>
      <c r="S376" s="8"/>
      <c r="T376" s="8"/>
      <c r="U376" s="8"/>
      <c r="V376" s="8"/>
      <c r="W376" s="8"/>
      <c r="X376" s="8"/>
      <c r="Y376" s="8"/>
    </row>
    <row r="377" spans="1:25" ht="50.1" customHeight="1" thickBot="1" x14ac:dyDescent="0.3">
      <c r="A377" s="4" t="s">
        <v>2130</v>
      </c>
      <c r="B377" s="6" t="s">
        <v>2131</v>
      </c>
      <c r="C377" s="5">
        <v>46289</v>
      </c>
      <c r="D377" s="6" t="s">
        <v>19</v>
      </c>
      <c r="E377" s="6" t="s">
        <v>460</v>
      </c>
      <c r="F377" s="7" t="s">
        <v>58</v>
      </c>
      <c r="G377" s="6" t="s">
        <v>34</v>
      </c>
      <c r="H377" s="6">
        <v>114</v>
      </c>
      <c r="I377" s="6" t="s">
        <v>41</v>
      </c>
      <c r="J377" s="6" t="s">
        <v>42</v>
      </c>
      <c r="K377" s="8"/>
      <c r="L377" s="7" t="s">
        <v>2132</v>
      </c>
      <c r="M377" s="6">
        <v>1180860</v>
      </c>
      <c r="N377" s="8"/>
      <c r="O377" s="8"/>
      <c r="P377" s="6">
        <v>14</v>
      </c>
      <c r="Q377" s="5">
        <v>46310</v>
      </c>
      <c r="R377" s="8"/>
      <c r="S377" s="8"/>
      <c r="T377" s="8"/>
      <c r="U377" s="8"/>
      <c r="V377" s="8"/>
      <c r="W377" s="8"/>
      <c r="X377" s="8"/>
      <c r="Y377" s="8"/>
    </row>
    <row r="378" spans="1:25" ht="50.1" customHeight="1" thickBot="1" x14ac:dyDescent="0.3">
      <c r="A378" s="4" t="s">
        <v>2133</v>
      </c>
      <c r="B378" s="6" t="s">
        <v>2134</v>
      </c>
      <c r="C378" s="5">
        <v>46289</v>
      </c>
      <c r="D378" s="6" t="s">
        <v>33</v>
      </c>
      <c r="E378" s="6" t="s">
        <v>67</v>
      </c>
      <c r="F378" s="7" t="s">
        <v>2135</v>
      </c>
      <c r="G378" s="6" t="s">
        <v>30</v>
      </c>
      <c r="H378" s="6">
        <v>502</v>
      </c>
      <c r="I378" s="6" t="s">
        <v>37</v>
      </c>
      <c r="J378" s="6" t="s">
        <v>287</v>
      </c>
      <c r="K378" s="8"/>
      <c r="L378" s="7" t="s">
        <v>2136</v>
      </c>
      <c r="M378" s="8"/>
      <c r="N378" s="8"/>
      <c r="O378" s="8"/>
      <c r="P378" s="6">
        <v>14</v>
      </c>
      <c r="Q378" s="5">
        <v>46310</v>
      </c>
      <c r="R378" s="8"/>
      <c r="S378" s="8"/>
      <c r="T378" s="8"/>
      <c r="U378" s="8"/>
      <c r="V378" s="8"/>
      <c r="W378" s="8"/>
      <c r="X378" s="8"/>
      <c r="Y378" s="8"/>
    </row>
    <row r="379" spans="1:25" ht="50.1" customHeight="1" thickBot="1" x14ac:dyDescent="0.3">
      <c r="A379" s="4" t="s">
        <v>2137</v>
      </c>
      <c r="B379" s="6" t="s">
        <v>2138</v>
      </c>
      <c r="C379" s="5">
        <v>46289</v>
      </c>
      <c r="D379" s="6" t="s">
        <v>19</v>
      </c>
      <c r="E379" s="6" t="s">
        <v>39</v>
      </c>
      <c r="F379" s="7" t="s">
        <v>2139</v>
      </c>
      <c r="G379" s="6" t="s">
        <v>34</v>
      </c>
      <c r="H379" s="6">
        <v>114</v>
      </c>
      <c r="I379" s="6" t="s">
        <v>41</v>
      </c>
      <c r="J379" s="6" t="s">
        <v>42</v>
      </c>
      <c r="K379" s="8"/>
      <c r="L379" s="7" t="s">
        <v>2140</v>
      </c>
      <c r="M379" s="6">
        <v>1159680</v>
      </c>
      <c r="N379" s="8"/>
      <c r="O379" s="8"/>
      <c r="P379" s="6">
        <v>14</v>
      </c>
      <c r="Q379" s="5">
        <v>46310</v>
      </c>
      <c r="R379" s="8"/>
      <c r="S379" s="8"/>
      <c r="T379" s="8"/>
      <c r="U379" s="8"/>
      <c r="V379" s="8"/>
      <c r="W379" s="8"/>
      <c r="X379" s="8"/>
      <c r="Y379" s="8"/>
    </row>
    <row r="380" spans="1:25" ht="50.1" customHeight="1" thickBot="1" x14ac:dyDescent="0.3">
      <c r="A380" s="4" t="s">
        <v>2141</v>
      </c>
      <c r="B380" s="6" t="s">
        <v>2142</v>
      </c>
      <c r="C380" s="5">
        <v>46289</v>
      </c>
      <c r="D380" s="6" t="s">
        <v>33</v>
      </c>
      <c r="E380" s="6" t="s">
        <v>29</v>
      </c>
      <c r="F380" s="7" t="s">
        <v>2143</v>
      </c>
      <c r="G380" s="6" t="s">
        <v>30</v>
      </c>
      <c r="H380" s="6">
        <v>502</v>
      </c>
      <c r="I380" s="6" t="s">
        <v>37</v>
      </c>
      <c r="J380" s="6" t="s">
        <v>38</v>
      </c>
      <c r="K380" s="8"/>
      <c r="L380" s="7" t="s">
        <v>2144</v>
      </c>
      <c r="M380" s="8"/>
      <c r="N380" s="8"/>
      <c r="O380" s="8"/>
      <c r="P380" s="6">
        <v>14</v>
      </c>
      <c r="Q380" s="5">
        <v>46310</v>
      </c>
      <c r="R380" s="8"/>
      <c r="S380" s="8"/>
      <c r="T380" s="8"/>
      <c r="U380" s="8"/>
      <c r="V380" s="8"/>
      <c r="W380" s="8"/>
      <c r="X380" s="8"/>
      <c r="Y380" s="8"/>
    </row>
    <row r="381" spans="1:25" ht="50.1" customHeight="1" thickBot="1" x14ac:dyDescent="0.3">
      <c r="A381" s="4" t="s">
        <v>2145</v>
      </c>
      <c r="B381" s="6" t="s">
        <v>2146</v>
      </c>
      <c r="C381" s="5">
        <v>46289</v>
      </c>
      <c r="D381" s="6" t="s">
        <v>33</v>
      </c>
      <c r="E381" s="6" t="s">
        <v>460</v>
      </c>
      <c r="F381" s="7" t="s">
        <v>2147</v>
      </c>
      <c r="G381" s="6" t="s">
        <v>34</v>
      </c>
      <c r="H381" s="6">
        <v>127</v>
      </c>
      <c r="I381" s="6" t="s">
        <v>88</v>
      </c>
      <c r="J381" s="6" t="s">
        <v>71</v>
      </c>
      <c r="K381" s="8"/>
      <c r="L381" s="7" t="s">
        <v>2148</v>
      </c>
      <c r="M381" s="8"/>
      <c r="N381" s="8"/>
      <c r="O381" s="8"/>
      <c r="P381" s="6">
        <v>14</v>
      </c>
      <c r="Q381" s="5">
        <v>46310</v>
      </c>
      <c r="R381" s="8"/>
      <c r="S381" s="8"/>
      <c r="T381" s="8"/>
      <c r="U381" s="8"/>
      <c r="V381" s="8"/>
      <c r="W381" s="8"/>
      <c r="X381" s="8"/>
      <c r="Y381" s="8"/>
    </row>
    <row r="382" spans="1:25" ht="50.1" customHeight="1" thickBot="1" x14ac:dyDescent="0.3">
      <c r="A382" s="4" t="s">
        <v>2149</v>
      </c>
      <c r="B382" s="6" t="s">
        <v>2150</v>
      </c>
      <c r="C382" s="5">
        <v>46289</v>
      </c>
      <c r="D382" s="6" t="s">
        <v>19</v>
      </c>
      <c r="E382" s="6" t="s">
        <v>20</v>
      </c>
      <c r="F382" s="7" t="s">
        <v>467</v>
      </c>
      <c r="G382" s="6" t="s">
        <v>22</v>
      </c>
      <c r="H382" s="6">
        <v>316</v>
      </c>
      <c r="I382" s="6" t="s">
        <v>23</v>
      </c>
      <c r="J382" s="6" t="s">
        <v>46</v>
      </c>
      <c r="K382" s="8"/>
      <c r="L382" s="7" t="s">
        <v>2151</v>
      </c>
      <c r="M382" s="8"/>
      <c r="N382" s="8"/>
      <c r="O382" s="8"/>
      <c r="P382" s="6">
        <v>14</v>
      </c>
      <c r="Q382" s="5">
        <v>46310</v>
      </c>
      <c r="R382" s="8"/>
      <c r="S382" s="8"/>
      <c r="T382" s="8"/>
      <c r="U382" s="8"/>
      <c r="V382" s="8"/>
      <c r="W382" s="8"/>
      <c r="X382" s="8"/>
      <c r="Y382" s="8"/>
    </row>
    <row r="383" spans="1:25" ht="50.1" customHeight="1" thickBot="1" x14ac:dyDescent="0.3">
      <c r="A383" s="4" t="s">
        <v>2152</v>
      </c>
      <c r="B383" s="6" t="s">
        <v>2153</v>
      </c>
      <c r="C383" s="5">
        <v>46289</v>
      </c>
      <c r="D383" s="6" t="s">
        <v>33</v>
      </c>
      <c r="E383" s="6" t="s">
        <v>29</v>
      </c>
      <c r="F383" s="7" t="s">
        <v>2154</v>
      </c>
      <c r="G383" s="6" t="s">
        <v>30</v>
      </c>
      <c r="H383" s="6">
        <v>502</v>
      </c>
      <c r="I383" s="6" t="s">
        <v>37</v>
      </c>
      <c r="J383" s="6" t="s">
        <v>38</v>
      </c>
      <c r="K383" s="8"/>
      <c r="L383" s="7" t="s">
        <v>2144</v>
      </c>
      <c r="M383" s="8"/>
      <c r="N383" s="8"/>
      <c r="O383" s="8"/>
      <c r="P383" s="6">
        <v>14</v>
      </c>
      <c r="Q383" s="5">
        <v>46310</v>
      </c>
      <c r="R383" s="8"/>
      <c r="S383" s="8"/>
      <c r="T383" s="8"/>
      <c r="U383" s="8"/>
      <c r="V383" s="8"/>
      <c r="W383" s="8"/>
      <c r="X383" s="8"/>
      <c r="Y383" s="8"/>
    </row>
    <row r="384" spans="1:25" ht="50.1" customHeight="1" thickBot="1" x14ac:dyDescent="0.3">
      <c r="A384" s="4" t="s">
        <v>2155</v>
      </c>
      <c r="B384" s="6" t="s">
        <v>2156</v>
      </c>
      <c r="C384" s="5">
        <v>46289</v>
      </c>
      <c r="D384" s="6" t="s">
        <v>33</v>
      </c>
      <c r="E384" s="6" t="s">
        <v>39</v>
      </c>
      <c r="F384" s="7" t="s">
        <v>2157</v>
      </c>
      <c r="G384" s="6" t="s">
        <v>34</v>
      </c>
      <c r="H384" s="6">
        <v>101</v>
      </c>
      <c r="I384" s="6" t="s">
        <v>2158</v>
      </c>
      <c r="J384" s="6" t="s">
        <v>1357</v>
      </c>
      <c r="K384" s="8"/>
      <c r="L384" s="7" t="s">
        <v>2159</v>
      </c>
      <c r="M384" s="8"/>
      <c r="N384" s="8"/>
      <c r="O384" s="8"/>
      <c r="P384" s="6">
        <v>14</v>
      </c>
      <c r="Q384" s="5">
        <v>46310</v>
      </c>
      <c r="R384" s="8"/>
      <c r="S384" s="8"/>
      <c r="T384" s="8"/>
      <c r="U384" s="8"/>
      <c r="V384" s="8"/>
      <c r="W384" s="8"/>
      <c r="X384" s="8"/>
      <c r="Y384" s="8"/>
    </row>
    <row r="385" spans="1:25" ht="50.1" customHeight="1" thickBot="1" x14ac:dyDescent="0.3">
      <c r="A385" s="4" t="s">
        <v>2160</v>
      </c>
      <c r="B385" s="6" t="s">
        <v>2161</v>
      </c>
      <c r="C385" s="5">
        <v>46289</v>
      </c>
      <c r="D385" s="6" t="s">
        <v>19</v>
      </c>
      <c r="E385" s="6" t="s">
        <v>39</v>
      </c>
      <c r="F385" s="7" t="s">
        <v>2162</v>
      </c>
      <c r="G385" s="6" t="s">
        <v>34</v>
      </c>
      <c r="H385" s="6">
        <v>101</v>
      </c>
      <c r="I385" s="6" t="s">
        <v>2158</v>
      </c>
      <c r="J385" s="6" t="s">
        <v>1357</v>
      </c>
      <c r="K385" s="8"/>
      <c r="L385" s="7" t="s">
        <v>2159</v>
      </c>
      <c r="M385" s="8"/>
      <c r="N385" s="8"/>
      <c r="O385" s="8"/>
      <c r="P385" s="6">
        <v>14</v>
      </c>
      <c r="Q385" s="5">
        <v>46310</v>
      </c>
      <c r="R385" s="8"/>
      <c r="S385" s="8"/>
      <c r="T385" s="8"/>
      <c r="U385" s="8"/>
      <c r="V385" s="8"/>
      <c r="W385" s="8"/>
      <c r="X385" s="8"/>
      <c r="Y385" s="8"/>
    </row>
    <row r="386" spans="1:25" ht="50.1" customHeight="1" thickBot="1" x14ac:dyDescent="0.3">
      <c r="A386" s="4" t="s">
        <v>2163</v>
      </c>
      <c r="B386" s="6" t="s">
        <v>2164</v>
      </c>
      <c r="C386" s="5">
        <v>46289</v>
      </c>
      <c r="D386" s="6" t="s">
        <v>19</v>
      </c>
      <c r="E386" s="6" t="s">
        <v>29</v>
      </c>
      <c r="F386" s="7" t="s">
        <v>2165</v>
      </c>
      <c r="G386" s="6" t="s">
        <v>22</v>
      </c>
      <c r="H386" s="6">
        <v>309</v>
      </c>
      <c r="I386" s="6" t="s">
        <v>98</v>
      </c>
      <c r="J386" s="6" t="s">
        <v>2166</v>
      </c>
      <c r="K386" s="8"/>
      <c r="L386" s="7" t="s">
        <v>545</v>
      </c>
      <c r="M386" s="8"/>
      <c r="N386" s="8"/>
      <c r="O386" s="8"/>
      <c r="P386" s="6">
        <v>14</v>
      </c>
      <c r="Q386" s="5">
        <v>46310</v>
      </c>
      <c r="R386" s="8"/>
      <c r="S386" s="8"/>
      <c r="T386" s="8"/>
      <c r="U386" s="8"/>
      <c r="V386" s="8"/>
      <c r="W386" s="8"/>
      <c r="X386" s="8"/>
      <c r="Y386" s="8"/>
    </row>
    <row r="387" spans="1:25" ht="50.1" customHeight="1" thickBot="1" x14ac:dyDescent="0.3">
      <c r="A387" s="4" t="s">
        <v>2167</v>
      </c>
      <c r="B387" s="6" t="s">
        <v>2168</v>
      </c>
      <c r="C387" s="5">
        <v>46289</v>
      </c>
      <c r="D387" s="6" t="s">
        <v>33</v>
      </c>
      <c r="E387" s="6" t="s">
        <v>39</v>
      </c>
      <c r="F387" s="7" t="s">
        <v>2169</v>
      </c>
      <c r="G387" s="6" t="s">
        <v>30</v>
      </c>
      <c r="H387" s="6">
        <v>503</v>
      </c>
      <c r="I387" s="6" t="s">
        <v>31</v>
      </c>
      <c r="J387" s="6" t="s">
        <v>476</v>
      </c>
      <c r="K387" s="8"/>
      <c r="L387" s="7" t="s">
        <v>2170</v>
      </c>
      <c r="M387" s="8"/>
      <c r="N387" s="8"/>
      <c r="O387" s="8"/>
      <c r="P387" s="6">
        <v>14</v>
      </c>
      <c r="Q387" s="5">
        <v>46310</v>
      </c>
      <c r="R387" s="8"/>
      <c r="S387" s="8"/>
      <c r="T387" s="8"/>
      <c r="U387" s="8"/>
      <c r="V387" s="8"/>
      <c r="W387" s="8"/>
      <c r="X387" s="8"/>
      <c r="Y387" s="8"/>
    </row>
    <row r="388" spans="1:25" ht="50.1" customHeight="1" thickBot="1" x14ac:dyDescent="0.3">
      <c r="A388" s="4" t="s">
        <v>2171</v>
      </c>
      <c r="B388" s="6" t="s">
        <v>2172</v>
      </c>
      <c r="C388" s="5">
        <v>46289</v>
      </c>
      <c r="D388" s="6" t="s">
        <v>19</v>
      </c>
      <c r="E388" s="6" t="s">
        <v>63</v>
      </c>
      <c r="F388" s="7" t="s">
        <v>2173</v>
      </c>
      <c r="G388" s="6" t="s">
        <v>30</v>
      </c>
      <c r="H388" s="6">
        <v>316</v>
      </c>
      <c r="I388" s="6" t="s">
        <v>23</v>
      </c>
      <c r="J388" s="6" t="s">
        <v>75</v>
      </c>
      <c r="K388" s="8"/>
      <c r="L388" s="7" t="s">
        <v>2174</v>
      </c>
      <c r="M388" s="8"/>
      <c r="N388" s="8"/>
      <c r="O388" s="8"/>
      <c r="P388" s="6">
        <v>14</v>
      </c>
      <c r="Q388" s="5">
        <v>46310</v>
      </c>
      <c r="R388" s="8"/>
      <c r="S388" s="8"/>
      <c r="T388" s="8"/>
      <c r="U388" s="8"/>
      <c r="V388" s="8"/>
      <c r="W388" s="8"/>
      <c r="X388" s="8"/>
      <c r="Y388" s="8"/>
    </row>
    <row r="389" spans="1:25" ht="50.1" customHeight="1" thickBot="1" x14ac:dyDescent="0.3">
      <c r="A389" s="4" t="s">
        <v>2175</v>
      </c>
      <c r="B389" s="6" t="s">
        <v>2176</v>
      </c>
      <c r="C389" s="5">
        <v>46289</v>
      </c>
      <c r="D389" s="6" t="s">
        <v>19</v>
      </c>
      <c r="E389" s="6" t="s">
        <v>39</v>
      </c>
      <c r="F389" s="7" t="s">
        <v>553</v>
      </c>
      <c r="G389" s="6" t="s">
        <v>34</v>
      </c>
      <c r="H389" s="6">
        <v>114</v>
      </c>
      <c r="I389" s="6" t="s">
        <v>41</v>
      </c>
      <c r="J389" s="6" t="s">
        <v>42</v>
      </c>
      <c r="K389" s="8"/>
      <c r="L389" s="7" t="s">
        <v>2177</v>
      </c>
      <c r="M389" s="8"/>
      <c r="N389" s="8"/>
      <c r="O389" s="8"/>
      <c r="P389" s="6">
        <v>14</v>
      </c>
      <c r="Q389" s="5">
        <v>46310</v>
      </c>
      <c r="R389" s="8"/>
      <c r="S389" s="8"/>
      <c r="T389" s="8"/>
      <c r="U389" s="8"/>
      <c r="V389" s="8"/>
      <c r="W389" s="8"/>
      <c r="X389" s="8"/>
      <c r="Y389" s="8"/>
    </row>
    <row r="390" spans="1:25" ht="50.1" customHeight="1" thickBot="1" x14ac:dyDescent="0.3">
      <c r="A390" s="4" t="s">
        <v>2178</v>
      </c>
      <c r="B390" s="6" t="s">
        <v>2179</v>
      </c>
      <c r="C390" s="5">
        <v>46289</v>
      </c>
      <c r="D390" s="6" t="s">
        <v>19</v>
      </c>
      <c r="E390" s="6" t="s">
        <v>29</v>
      </c>
      <c r="F390" s="7" t="s">
        <v>2180</v>
      </c>
      <c r="G390" s="6" t="s">
        <v>34</v>
      </c>
      <c r="H390" s="6">
        <v>118</v>
      </c>
      <c r="I390" s="6" t="s">
        <v>492</v>
      </c>
      <c r="J390" s="6" t="s">
        <v>511</v>
      </c>
      <c r="K390" s="8"/>
      <c r="L390" s="7" t="s">
        <v>625</v>
      </c>
      <c r="M390" s="8"/>
      <c r="N390" s="8"/>
      <c r="O390" s="8"/>
      <c r="P390" s="6">
        <v>14</v>
      </c>
      <c r="Q390" s="5">
        <v>46310</v>
      </c>
      <c r="R390" s="8"/>
      <c r="S390" s="8"/>
      <c r="T390" s="8"/>
      <c r="U390" s="8"/>
      <c r="V390" s="8"/>
      <c r="W390" s="8"/>
      <c r="X390" s="8"/>
      <c r="Y390" s="8"/>
    </row>
    <row r="391" spans="1:25" ht="50.1" customHeight="1" thickBot="1" x14ac:dyDescent="0.3">
      <c r="A391" s="4" t="s">
        <v>2181</v>
      </c>
      <c r="B391" s="6" t="s">
        <v>2182</v>
      </c>
      <c r="C391" s="5">
        <v>46289</v>
      </c>
      <c r="D391" s="6" t="s">
        <v>19</v>
      </c>
      <c r="E391" s="6" t="s">
        <v>29</v>
      </c>
      <c r="F391" s="7" t="s">
        <v>2183</v>
      </c>
      <c r="G391" s="6" t="s">
        <v>34</v>
      </c>
      <c r="H391" s="6">
        <v>118</v>
      </c>
      <c r="I391" s="6" t="s">
        <v>492</v>
      </c>
      <c r="J391" s="6" t="s">
        <v>511</v>
      </c>
      <c r="K391" s="8"/>
      <c r="L391" s="7" t="s">
        <v>642</v>
      </c>
      <c r="M391" s="8"/>
      <c r="N391" s="8"/>
      <c r="O391" s="8"/>
      <c r="P391" s="6">
        <v>14</v>
      </c>
      <c r="Q391" s="5">
        <v>46310</v>
      </c>
      <c r="R391" s="8"/>
      <c r="S391" s="8"/>
      <c r="T391" s="8"/>
      <c r="U391" s="8"/>
      <c r="V391" s="8"/>
      <c r="W391" s="8"/>
      <c r="X391" s="8"/>
      <c r="Y391" s="8"/>
    </row>
    <row r="392" spans="1:25" ht="50.1" customHeight="1" thickBot="1" x14ac:dyDescent="0.3">
      <c r="A392" s="4" t="s">
        <v>2184</v>
      </c>
      <c r="B392" s="6" t="s">
        <v>2185</v>
      </c>
      <c r="C392" s="5">
        <v>46290</v>
      </c>
      <c r="D392" s="6" t="s">
        <v>19</v>
      </c>
      <c r="E392" s="6" t="s">
        <v>20</v>
      </c>
      <c r="F392" s="7" t="s">
        <v>45</v>
      </c>
      <c r="G392" s="6" t="s">
        <v>22</v>
      </c>
      <c r="H392" s="6">
        <v>316</v>
      </c>
      <c r="I392" s="6" t="s">
        <v>23</v>
      </c>
      <c r="J392" s="6" t="s">
        <v>46</v>
      </c>
      <c r="K392" s="8"/>
      <c r="L392" s="7" t="s">
        <v>753</v>
      </c>
      <c r="M392" s="6">
        <v>1243117</v>
      </c>
      <c r="N392" s="8"/>
      <c r="O392" s="8"/>
      <c r="P392" s="6">
        <v>14</v>
      </c>
      <c r="Q392" s="5">
        <v>46310</v>
      </c>
      <c r="R392" s="8"/>
      <c r="S392" s="8"/>
      <c r="T392" s="8"/>
      <c r="U392" s="8"/>
      <c r="V392" s="8"/>
      <c r="W392" s="8"/>
      <c r="X392" s="8"/>
      <c r="Y392" s="8"/>
    </row>
    <row r="393" spans="1:25" ht="50.1" customHeight="1" thickBot="1" x14ac:dyDescent="0.3">
      <c r="A393" s="4" t="s">
        <v>2186</v>
      </c>
      <c r="B393" s="6" t="s">
        <v>2187</v>
      </c>
      <c r="C393" s="5">
        <v>46290</v>
      </c>
      <c r="D393" s="6" t="s">
        <v>28</v>
      </c>
      <c r="E393" s="6" t="s">
        <v>29</v>
      </c>
      <c r="F393" s="7" t="s">
        <v>2188</v>
      </c>
      <c r="G393" s="6" t="s">
        <v>30</v>
      </c>
      <c r="H393" s="6">
        <v>503</v>
      </c>
      <c r="I393" s="6" t="s">
        <v>31</v>
      </c>
      <c r="J393" s="6" t="s">
        <v>32</v>
      </c>
      <c r="K393" s="8"/>
      <c r="L393" s="7" t="s">
        <v>2189</v>
      </c>
      <c r="M393" s="8"/>
      <c r="N393" s="8"/>
      <c r="O393" s="8"/>
      <c r="P393" s="6">
        <v>14</v>
      </c>
      <c r="Q393" s="5">
        <v>46311</v>
      </c>
      <c r="R393" s="8"/>
      <c r="S393" s="8"/>
      <c r="T393" s="8"/>
      <c r="U393" s="8"/>
      <c r="V393" s="8"/>
      <c r="W393" s="8"/>
      <c r="X393" s="8"/>
      <c r="Y393" s="8"/>
    </row>
    <row r="394" spans="1:25" ht="50.1" customHeight="1" thickBot="1" x14ac:dyDescent="0.3">
      <c r="A394" s="4" t="s">
        <v>2190</v>
      </c>
      <c r="B394" s="6" t="s">
        <v>2191</v>
      </c>
      <c r="C394" s="5">
        <v>46290</v>
      </c>
      <c r="D394" s="6" t="s">
        <v>33</v>
      </c>
      <c r="E394" s="6" t="s">
        <v>29</v>
      </c>
      <c r="F394" s="7" t="s">
        <v>2192</v>
      </c>
      <c r="G394" s="6" t="s">
        <v>30</v>
      </c>
      <c r="H394" s="6">
        <v>503</v>
      </c>
      <c r="I394" s="6" t="s">
        <v>31</v>
      </c>
      <c r="J394" s="6" t="s">
        <v>81</v>
      </c>
      <c r="K394" s="8"/>
      <c r="L394" s="7" t="s">
        <v>2193</v>
      </c>
      <c r="M394" s="6">
        <v>1060260</v>
      </c>
      <c r="N394" s="8"/>
      <c r="O394" s="8"/>
      <c r="P394" s="6">
        <v>14</v>
      </c>
      <c r="Q394" s="5">
        <v>46311</v>
      </c>
      <c r="R394" s="8"/>
      <c r="S394" s="8"/>
      <c r="T394" s="8"/>
      <c r="U394" s="8"/>
      <c r="V394" s="8"/>
      <c r="W394" s="8"/>
      <c r="X394" s="8"/>
      <c r="Y394" s="8"/>
    </row>
    <row r="395" spans="1:25" ht="50.1" customHeight="1" thickBot="1" x14ac:dyDescent="0.3">
      <c r="A395" s="4" t="s">
        <v>2194</v>
      </c>
      <c r="B395" s="6" t="s">
        <v>2195</v>
      </c>
      <c r="C395" s="5">
        <v>46290</v>
      </c>
      <c r="D395" s="6" t="s">
        <v>19</v>
      </c>
      <c r="E395" s="6" t="s">
        <v>20</v>
      </c>
      <c r="F395" s="7" t="s">
        <v>2196</v>
      </c>
      <c r="G395" s="6" t="s">
        <v>22</v>
      </c>
      <c r="H395" s="6">
        <v>304</v>
      </c>
      <c r="I395" s="6" t="s">
        <v>43</v>
      </c>
      <c r="J395" s="6" t="s">
        <v>44</v>
      </c>
      <c r="K395" s="8"/>
      <c r="L395" s="7" t="s">
        <v>2197</v>
      </c>
      <c r="M395" s="8"/>
      <c r="N395" s="8"/>
      <c r="O395" s="8"/>
      <c r="P395" s="6">
        <v>14</v>
      </c>
      <c r="Q395" s="5">
        <v>46311</v>
      </c>
      <c r="R395" s="8"/>
      <c r="S395" s="8"/>
      <c r="T395" s="8"/>
      <c r="U395" s="8"/>
      <c r="V395" s="8"/>
      <c r="W395" s="8"/>
      <c r="X395" s="8"/>
      <c r="Y395" s="8"/>
    </row>
    <row r="396" spans="1:25" ht="50.1" customHeight="1" thickBot="1" x14ac:dyDescent="0.3">
      <c r="A396" s="4" t="s">
        <v>2198</v>
      </c>
      <c r="B396" s="6" t="s">
        <v>2199</v>
      </c>
      <c r="C396" s="5">
        <v>46290</v>
      </c>
      <c r="D396" s="6" t="s">
        <v>19</v>
      </c>
      <c r="E396" s="6" t="s">
        <v>460</v>
      </c>
      <c r="F396" s="7" t="s">
        <v>2200</v>
      </c>
      <c r="G396" s="6" t="s">
        <v>34</v>
      </c>
      <c r="H396" s="6">
        <v>127</v>
      </c>
      <c r="I396" s="6" t="s">
        <v>88</v>
      </c>
      <c r="J396" s="6" t="s">
        <v>71</v>
      </c>
      <c r="K396" s="8"/>
      <c r="L396" s="7" t="s">
        <v>411</v>
      </c>
      <c r="M396" s="8"/>
      <c r="N396" s="8"/>
      <c r="O396" s="8"/>
      <c r="P396" s="6">
        <v>14</v>
      </c>
      <c r="Q396" s="5">
        <v>46311</v>
      </c>
      <c r="R396" s="8"/>
      <c r="S396" s="8"/>
      <c r="T396" s="8"/>
      <c r="U396" s="8"/>
      <c r="V396" s="8"/>
      <c r="W396" s="8"/>
      <c r="X396" s="8"/>
      <c r="Y396" s="8"/>
    </row>
    <row r="397" spans="1:25" ht="50.1" customHeight="1" thickBot="1" x14ac:dyDescent="0.3">
      <c r="A397" s="4" t="s">
        <v>2201</v>
      </c>
      <c r="B397" s="6" t="s">
        <v>2202</v>
      </c>
      <c r="C397" s="5">
        <v>46290</v>
      </c>
      <c r="D397" s="6" t="s">
        <v>19</v>
      </c>
      <c r="E397" s="6" t="s">
        <v>39</v>
      </c>
      <c r="F397" s="7" t="s">
        <v>2203</v>
      </c>
      <c r="G397" s="6" t="s">
        <v>22</v>
      </c>
      <c r="H397" s="6">
        <v>310</v>
      </c>
      <c r="I397" s="6" t="s">
        <v>91</v>
      </c>
      <c r="J397" s="12" t="s">
        <v>283</v>
      </c>
      <c r="K397" s="8"/>
      <c r="L397" s="7" t="s">
        <v>2204</v>
      </c>
      <c r="M397" s="6">
        <v>1058880</v>
      </c>
      <c r="N397" s="8"/>
      <c r="O397" s="8"/>
      <c r="P397" s="6">
        <v>14</v>
      </c>
      <c r="Q397" s="5">
        <v>46311</v>
      </c>
      <c r="R397" s="8"/>
      <c r="S397" s="8"/>
      <c r="T397" s="8"/>
      <c r="U397" s="8"/>
      <c r="V397" s="8"/>
      <c r="W397" s="8"/>
      <c r="X397" s="8"/>
      <c r="Y397" s="8"/>
    </row>
    <row r="398" spans="1:25" ht="50.1" customHeight="1" thickBot="1" x14ac:dyDescent="0.3">
      <c r="A398" s="4" t="s">
        <v>2205</v>
      </c>
      <c r="B398" s="6" t="s">
        <v>2206</v>
      </c>
      <c r="C398" s="5">
        <v>46290</v>
      </c>
      <c r="D398" s="6" t="s">
        <v>19</v>
      </c>
      <c r="E398" s="6" t="s">
        <v>460</v>
      </c>
      <c r="F398" s="7" t="s">
        <v>519</v>
      </c>
      <c r="G398" s="6" t="s">
        <v>34</v>
      </c>
      <c r="H398" s="6">
        <v>127</v>
      </c>
      <c r="I398" s="6" t="s">
        <v>88</v>
      </c>
      <c r="J398" s="6" t="s">
        <v>71</v>
      </c>
      <c r="K398" s="8"/>
      <c r="L398" s="7" t="s">
        <v>2207</v>
      </c>
      <c r="M398" s="6">
        <v>1219000</v>
      </c>
      <c r="N398" s="8"/>
      <c r="O398" s="8"/>
      <c r="P398" s="6">
        <v>14</v>
      </c>
      <c r="Q398" s="5">
        <v>46311</v>
      </c>
      <c r="R398" s="8"/>
      <c r="S398" s="8"/>
      <c r="T398" s="8"/>
      <c r="U398" s="8"/>
      <c r="V398" s="8"/>
      <c r="W398" s="8"/>
      <c r="X398" s="8"/>
      <c r="Y398" s="8"/>
    </row>
    <row r="399" spans="1:25" ht="50.1" customHeight="1" thickBot="1" x14ac:dyDescent="0.3">
      <c r="A399" s="4" t="s">
        <v>2208</v>
      </c>
      <c r="B399" s="6" t="s">
        <v>2209</v>
      </c>
      <c r="C399" s="5">
        <v>46290</v>
      </c>
      <c r="D399" s="6" t="s">
        <v>19</v>
      </c>
      <c r="E399" s="6" t="s">
        <v>460</v>
      </c>
      <c r="F399" s="7" t="s">
        <v>2210</v>
      </c>
      <c r="G399" s="6" t="s">
        <v>34</v>
      </c>
      <c r="H399" s="6">
        <v>114</v>
      </c>
      <c r="I399" s="6" t="s">
        <v>41</v>
      </c>
      <c r="J399" s="6" t="s">
        <v>365</v>
      </c>
      <c r="K399" s="8"/>
      <c r="L399" s="7" t="s">
        <v>2211</v>
      </c>
      <c r="M399" s="8"/>
      <c r="N399" s="8"/>
      <c r="O399" s="8"/>
      <c r="P399" s="6">
        <v>14</v>
      </c>
      <c r="Q399" s="5">
        <v>46311</v>
      </c>
      <c r="R399" s="8"/>
      <c r="S399" s="8"/>
      <c r="T399" s="8"/>
      <c r="U399" s="8"/>
      <c r="V399" s="8"/>
      <c r="W399" s="8"/>
      <c r="X399" s="8"/>
      <c r="Y399" s="8"/>
    </row>
    <row r="400" spans="1:25" ht="50.1" customHeight="1" thickBot="1" x14ac:dyDescent="0.3">
      <c r="A400" s="4" t="s">
        <v>2212</v>
      </c>
      <c r="B400" s="6" t="s">
        <v>2213</v>
      </c>
      <c r="C400" s="5">
        <v>46290</v>
      </c>
      <c r="D400" s="6" t="s">
        <v>28</v>
      </c>
      <c r="E400" s="6" t="s">
        <v>67</v>
      </c>
      <c r="F400" s="7" t="s">
        <v>2214</v>
      </c>
      <c r="G400" s="6" t="s">
        <v>30</v>
      </c>
      <c r="H400" s="6">
        <v>503</v>
      </c>
      <c r="I400" s="6" t="s">
        <v>31</v>
      </c>
      <c r="J400" s="6" t="s">
        <v>81</v>
      </c>
      <c r="K400" s="8"/>
      <c r="L400" s="7" t="s">
        <v>2215</v>
      </c>
      <c r="M400" s="8"/>
      <c r="N400" s="8"/>
      <c r="O400" s="8"/>
      <c r="P400" s="6">
        <v>14</v>
      </c>
      <c r="Q400" s="5">
        <v>46311</v>
      </c>
      <c r="R400" s="8"/>
      <c r="S400" s="8"/>
      <c r="T400" s="8"/>
      <c r="U400" s="8"/>
      <c r="V400" s="8"/>
      <c r="W400" s="8"/>
      <c r="X400" s="8"/>
      <c r="Y400" s="8"/>
    </row>
    <row r="401" spans="1:25" ht="50.1" customHeight="1" thickBot="1" x14ac:dyDescent="0.3">
      <c r="A401" s="4" t="s">
        <v>2216</v>
      </c>
      <c r="B401" s="6" t="s">
        <v>2217</v>
      </c>
      <c r="C401" s="5">
        <v>46290</v>
      </c>
      <c r="D401" s="6" t="s">
        <v>28</v>
      </c>
      <c r="E401" s="6" t="s">
        <v>460</v>
      </c>
      <c r="F401" s="7" t="s">
        <v>2218</v>
      </c>
      <c r="G401" s="6" t="s">
        <v>34</v>
      </c>
      <c r="H401" s="6">
        <v>127</v>
      </c>
      <c r="I401" s="6" t="s">
        <v>88</v>
      </c>
      <c r="J401" s="6" t="s">
        <v>71</v>
      </c>
      <c r="K401" s="8"/>
      <c r="L401" s="7" t="s">
        <v>713</v>
      </c>
      <c r="M401" s="8"/>
      <c r="N401" s="8"/>
      <c r="O401" s="8"/>
      <c r="P401" s="6">
        <v>14</v>
      </c>
      <c r="Q401" s="5">
        <v>46311</v>
      </c>
      <c r="R401" s="8"/>
      <c r="S401" s="8"/>
      <c r="T401" s="8"/>
      <c r="U401" s="8"/>
      <c r="V401" s="8"/>
      <c r="W401" s="8"/>
      <c r="X401" s="8"/>
      <c r="Y401" s="8"/>
    </row>
    <row r="402" spans="1:25" ht="50.1" customHeight="1" thickBot="1" x14ac:dyDescent="0.3">
      <c r="A402" s="4" t="s">
        <v>2219</v>
      </c>
      <c r="B402" s="6" t="s">
        <v>2220</v>
      </c>
      <c r="C402" s="5">
        <v>46290</v>
      </c>
      <c r="D402" s="6" t="s">
        <v>19</v>
      </c>
      <c r="E402" s="6" t="s">
        <v>460</v>
      </c>
      <c r="F402" s="7" t="s">
        <v>2221</v>
      </c>
      <c r="G402" s="6" t="s">
        <v>34</v>
      </c>
      <c r="H402" s="6">
        <v>120</v>
      </c>
      <c r="I402" s="6" t="s">
        <v>82</v>
      </c>
      <c r="J402" s="6" t="s">
        <v>71</v>
      </c>
      <c r="K402" s="8"/>
      <c r="L402" s="7" t="s">
        <v>471</v>
      </c>
      <c r="M402" s="6">
        <v>1002160</v>
      </c>
      <c r="N402" s="8"/>
      <c r="O402" s="8"/>
      <c r="P402" s="6">
        <v>14</v>
      </c>
      <c r="Q402" s="5">
        <v>46311</v>
      </c>
      <c r="R402" s="8"/>
      <c r="S402" s="8"/>
      <c r="T402" s="8"/>
      <c r="U402" s="8"/>
      <c r="V402" s="8"/>
      <c r="W402" s="8"/>
      <c r="X402" s="8"/>
      <c r="Y402" s="8"/>
    </row>
    <row r="403" spans="1:25" ht="50.1" customHeight="1" thickBot="1" x14ac:dyDescent="0.3">
      <c r="A403" s="4" t="s">
        <v>2222</v>
      </c>
      <c r="B403" s="6" t="s">
        <v>2223</v>
      </c>
      <c r="C403" s="5">
        <v>46290</v>
      </c>
      <c r="D403" s="6" t="s">
        <v>19</v>
      </c>
      <c r="E403" s="6" t="s">
        <v>29</v>
      </c>
      <c r="F403" s="7" t="s">
        <v>2224</v>
      </c>
      <c r="G403" s="6" t="s">
        <v>34</v>
      </c>
      <c r="H403" s="6">
        <v>122</v>
      </c>
      <c r="I403" s="6" t="s">
        <v>50</v>
      </c>
      <c r="J403" s="6" t="s">
        <v>285</v>
      </c>
      <c r="K403" s="8"/>
      <c r="L403" s="7" t="s">
        <v>2225</v>
      </c>
      <c r="M403" s="6">
        <v>1159164</v>
      </c>
      <c r="N403" s="8"/>
      <c r="O403" s="8"/>
      <c r="P403" s="6">
        <v>14</v>
      </c>
      <c r="Q403" s="5">
        <v>46311</v>
      </c>
      <c r="R403" s="8"/>
      <c r="S403" s="8"/>
      <c r="T403" s="8"/>
      <c r="U403" s="8"/>
      <c r="V403" s="8"/>
      <c r="W403" s="8"/>
      <c r="X403" s="8"/>
      <c r="Y403" s="8"/>
    </row>
    <row r="404" spans="1:25" ht="50.1" customHeight="1" thickBot="1" x14ac:dyDescent="0.3">
      <c r="A404" s="4" t="s">
        <v>2226</v>
      </c>
      <c r="B404" s="6" t="s">
        <v>2227</v>
      </c>
      <c r="C404" s="5">
        <v>46290</v>
      </c>
      <c r="D404" s="6" t="s">
        <v>19</v>
      </c>
      <c r="E404" s="6" t="s">
        <v>39</v>
      </c>
      <c r="F404" s="7" t="s">
        <v>58</v>
      </c>
      <c r="G404" s="6" t="s">
        <v>34</v>
      </c>
      <c r="H404" s="6">
        <v>114</v>
      </c>
      <c r="I404" s="6" t="s">
        <v>41</v>
      </c>
      <c r="J404" s="6" t="s">
        <v>42</v>
      </c>
      <c r="K404" s="8"/>
      <c r="L404" s="7" t="s">
        <v>2228</v>
      </c>
      <c r="M404" s="8"/>
      <c r="N404" s="8"/>
      <c r="O404" s="8"/>
      <c r="P404" s="6">
        <v>14</v>
      </c>
      <c r="Q404" s="5">
        <v>46311</v>
      </c>
      <c r="R404" s="8"/>
      <c r="S404" s="8"/>
      <c r="T404" s="8"/>
      <c r="U404" s="8"/>
      <c r="V404" s="8"/>
      <c r="W404" s="8"/>
      <c r="X404" s="8"/>
      <c r="Y404" s="8"/>
    </row>
    <row r="405" spans="1:25" ht="50.1" customHeight="1" thickBot="1" x14ac:dyDescent="0.3">
      <c r="A405" s="4" t="s">
        <v>2229</v>
      </c>
      <c r="B405" s="6" t="s">
        <v>2230</v>
      </c>
      <c r="C405" s="5">
        <v>46290</v>
      </c>
      <c r="D405" s="6" t="s">
        <v>19</v>
      </c>
      <c r="E405" s="6" t="s">
        <v>460</v>
      </c>
      <c r="F405" s="7" t="s">
        <v>2231</v>
      </c>
      <c r="G405" s="6" t="s">
        <v>22</v>
      </c>
      <c r="H405" s="6">
        <v>316</v>
      </c>
      <c r="I405" s="6" t="s">
        <v>23</v>
      </c>
      <c r="J405" s="6" t="s">
        <v>54</v>
      </c>
      <c r="K405" s="8"/>
      <c r="L405" s="7" t="s">
        <v>2228</v>
      </c>
      <c r="M405" s="8"/>
      <c r="N405" s="8"/>
      <c r="O405" s="8"/>
      <c r="P405" s="6">
        <v>14</v>
      </c>
      <c r="Q405" s="5">
        <v>46311</v>
      </c>
      <c r="R405" s="8"/>
      <c r="S405" s="8"/>
      <c r="T405" s="8"/>
      <c r="U405" s="8"/>
      <c r="V405" s="8"/>
      <c r="W405" s="8"/>
      <c r="X405" s="8"/>
      <c r="Y405" s="8"/>
    </row>
    <row r="406" spans="1:25" ht="50.1" customHeight="1" thickBot="1" x14ac:dyDescent="0.3">
      <c r="A406" s="4" t="s">
        <v>2232</v>
      </c>
      <c r="B406" s="6" t="s">
        <v>2233</v>
      </c>
      <c r="C406" s="5">
        <v>46290</v>
      </c>
      <c r="D406" s="6" t="s">
        <v>19</v>
      </c>
      <c r="E406" s="6" t="s">
        <v>39</v>
      </c>
      <c r="F406" s="7" t="s">
        <v>40</v>
      </c>
      <c r="G406" s="6" t="s">
        <v>34</v>
      </c>
      <c r="H406" s="6">
        <v>114</v>
      </c>
      <c r="I406" s="6" t="s">
        <v>41</v>
      </c>
      <c r="J406" s="6" t="s">
        <v>42</v>
      </c>
      <c r="K406" s="8"/>
      <c r="L406" s="7" t="s">
        <v>631</v>
      </c>
      <c r="M406" s="6">
        <v>1047940</v>
      </c>
      <c r="N406" s="8"/>
      <c r="O406" s="8"/>
      <c r="P406" s="6">
        <v>14</v>
      </c>
      <c r="Q406" s="5">
        <v>46311</v>
      </c>
      <c r="R406" s="8"/>
      <c r="S406" s="8"/>
      <c r="T406" s="8"/>
      <c r="U406" s="8"/>
      <c r="V406" s="8"/>
      <c r="W406" s="8"/>
      <c r="X406" s="8"/>
      <c r="Y406" s="8"/>
    </row>
    <row r="407" spans="1:25" ht="50.1" customHeight="1" thickBot="1" x14ac:dyDescent="0.3">
      <c r="A407" s="4" t="s">
        <v>2234</v>
      </c>
      <c r="B407" s="6" t="s">
        <v>2235</v>
      </c>
      <c r="C407" s="5">
        <v>46290</v>
      </c>
      <c r="D407" s="6" t="s">
        <v>19</v>
      </c>
      <c r="E407" s="6" t="s">
        <v>39</v>
      </c>
      <c r="F407" s="7" t="s">
        <v>2236</v>
      </c>
      <c r="G407" s="6" t="s">
        <v>34</v>
      </c>
      <c r="H407" s="6">
        <v>114</v>
      </c>
      <c r="I407" s="6" t="s">
        <v>41</v>
      </c>
      <c r="J407" s="6" t="s">
        <v>365</v>
      </c>
      <c r="K407" s="8"/>
      <c r="L407" s="7" t="s">
        <v>2237</v>
      </c>
      <c r="M407" s="8"/>
      <c r="N407" s="8"/>
      <c r="O407" s="8"/>
      <c r="P407" s="6">
        <v>14</v>
      </c>
      <c r="Q407" s="5">
        <v>46311</v>
      </c>
      <c r="R407" s="8"/>
      <c r="S407" s="8"/>
      <c r="T407" s="8"/>
      <c r="U407" s="8"/>
      <c r="V407" s="8"/>
      <c r="W407" s="8"/>
      <c r="X407" s="8"/>
      <c r="Y407" s="8"/>
    </row>
    <row r="408" spans="1:25" ht="50.1" customHeight="1" thickBot="1" x14ac:dyDescent="0.3">
      <c r="A408" s="4" t="s">
        <v>2238</v>
      </c>
      <c r="B408" s="6" t="s">
        <v>2239</v>
      </c>
      <c r="C408" s="5">
        <v>46290</v>
      </c>
      <c r="D408" s="6" t="s">
        <v>19</v>
      </c>
      <c r="E408" s="6" t="s">
        <v>20</v>
      </c>
      <c r="F408" s="7" t="s">
        <v>2240</v>
      </c>
      <c r="G408" s="6" t="s">
        <v>22</v>
      </c>
      <c r="H408" s="6">
        <v>316</v>
      </c>
      <c r="I408" s="6" t="s">
        <v>23</v>
      </c>
      <c r="J408" s="6" t="s">
        <v>46</v>
      </c>
      <c r="K408" s="8"/>
      <c r="L408" s="7" t="s">
        <v>2241</v>
      </c>
      <c r="M408" s="8"/>
      <c r="N408" s="8"/>
      <c r="O408" s="8"/>
      <c r="P408" s="6">
        <v>14</v>
      </c>
      <c r="Q408" s="5">
        <v>46311</v>
      </c>
      <c r="R408" s="8"/>
      <c r="S408" s="8"/>
      <c r="T408" s="8"/>
      <c r="U408" s="8"/>
      <c r="V408" s="8"/>
      <c r="W408" s="8"/>
      <c r="X408" s="8"/>
      <c r="Y408" s="8"/>
    </row>
    <row r="409" spans="1:25" ht="50.1" customHeight="1" thickBot="1" x14ac:dyDescent="0.3">
      <c r="A409" s="4" t="s">
        <v>2242</v>
      </c>
      <c r="B409" s="6" t="s">
        <v>2243</v>
      </c>
      <c r="C409" s="5">
        <v>46290</v>
      </c>
      <c r="D409" s="6" t="s">
        <v>33</v>
      </c>
      <c r="E409" s="6" t="s">
        <v>29</v>
      </c>
      <c r="F409" s="7" t="s">
        <v>2244</v>
      </c>
      <c r="G409" s="6" t="s">
        <v>34</v>
      </c>
      <c r="H409" s="6">
        <v>118</v>
      </c>
      <c r="I409" s="6" t="s">
        <v>492</v>
      </c>
      <c r="J409" s="6" t="s">
        <v>511</v>
      </c>
      <c r="K409" s="8"/>
      <c r="L409" s="7" t="s">
        <v>533</v>
      </c>
      <c r="M409" s="8"/>
      <c r="N409" s="8"/>
      <c r="O409" s="8"/>
      <c r="P409" s="6">
        <v>14</v>
      </c>
      <c r="Q409" s="5">
        <v>46311</v>
      </c>
      <c r="R409" s="8"/>
      <c r="S409" s="8"/>
      <c r="T409" s="8"/>
      <c r="U409" s="8"/>
      <c r="V409" s="8"/>
      <c r="W409" s="8"/>
      <c r="X409" s="8"/>
      <c r="Y409" s="8"/>
    </row>
    <row r="410" spans="1:25" ht="50.1" customHeight="1" thickBot="1" x14ac:dyDescent="0.3">
      <c r="A410" s="4" t="s">
        <v>2245</v>
      </c>
      <c r="B410" s="6" t="s">
        <v>2246</v>
      </c>
      <c r="C410" s="5">
        <v>46290</v>
      </c>
      <c r="D410" s="6" t="s">
        <v>19</v>
      </c>
      <c r="E410" s="6" t="s">
        <v>29</v>
      </c>
      <c r="F410" s="7" t="s">
        <v>290</v>
      </c>
      <c r="G410" s="6" t="s">
        <v>34</v>
      </c>
      <c r="H410" s="6">
        <v>106</v>
      </c>
      <c r="I410" s="6" t="s">
        <v>112</v>
      </c>
      <c r="J410" s="6" t="s">
        <v>53</v>
      </c>
      <c r="K410" s="8"/>
      <c r="L410" s="7" t="s">
        <v>2247</v>
      </c>
      <c r="M410" s="8"/>
      <c r="N410" s="8"/>
      <c r="O410" s="8"/>
      <c r="P410" s="6">
        <v>14</v>
      </c>
      <c r="Q410" s="5">
        <v>46311</v>
      </c>
      <c r="R410" s="8"/>
      <c r="S410" s="8"/>
      <c r="T410" s="8"/>
      <c r="U410" s="8"/>
      <c r="V410" s="8"/>
      <c r="W410" s="8"/>
      <c r="X410" s="8"/>
      <c r="Y410" s="8"/>
    </row>
    <row r="411" spans="1:25" ht="50.1" customHeight="1" thickBot="1" x14ac:dyDescent="0.3">
      <c r="A411" s="4" t="s">
        <v>2248</v>
      </c>
      <c r="B411" s="6" t="s">
        <v>2249</v>
      </c>
      <c r="C411" s="5">
        <v>46290</v>
      </c>
      <c r="D411" s="6" t="s">
        <v>19</v>
      </c>
      <c r="E411" s="6" t="s">
        <v>20</v>
      </c>
      <c r="F411" s="7" t="s">
        <v>464</v>
      </c>
      <c r="G411" s="6" t="s">
        <v>22</v>
      </c>
      <c r="H411" s="6">
        <v>316</v>
      </c>
      <c r="I411" s="6" t="s">
        <v>23</v>
      </c>
      <c r="J411" s="6" t="s">
        <v>24</v>
      </c>
      <c r="K411" s="8"/>
      <c r="L411" s="7" t="s">
        <v>2250</v>
      </c>
      <c r="M411" s="8"/>
      <c r="N411" s="8"/>
      <c r="O411" s="8"/>
      <c r="P411" s="6">
        <v>14</v>
      </c>
      <c r="Q411" s="5">
        <v>46311</v>
      </c>
      <c r="R411" s="8"/>
      <c r="S411" s="8"/>
      <c r="T411" s="8"/>
      <c r="U411" s="8"/>
      <c r="V411" s="8"/>
      <c r="W411" s="8"/>
      <c r="X411" s="8"/>
      <c r="Y411" s="8"/>
    </row>
    <row r="412" spans="1:25" ht="50.1" customHeight="1" thickBot="1" x14ac:dyDescent="0.3">
      <c r="A412" s="4" t="s">
        <v>2251</v>
      </c>
      <c r="B412" s="6" t="s">
        <v>2252</v>
      </c>
      <c r="C412" s="5">
        <v>46290</v>
      </c>
      <c r="D412" s="6" t="s">
        <v>19</v>
      </c>
      <c r="E412" s="6" t="s">
        <v>20</v>
      </c>
      <c r="F412" s="7" t="s">
        <v>464</v>
      </c>
      <c r="G412" s="6" t="s">
        <v>22</v>
      </c>
      <c r="H412" s="6">
        <v>316</v>
      </c>
      <c r="I412" s="6" t="s">
        <v>23</v>
      </c>
      <c r="J412" s="6" t="s">
        <v>24</v>
      </c>
      <c r="K412" s="8"/>
      <c r="L412" s="7" t="s">
        <v>2253</v>
      </c>
      <c r="M412" s="8"/>
      <c r="N412" s="8"/>
      <c r="O412" s="8"/>
      <c r="P412" s="6">
        <v>14</v>
      </c>
      <c r="Q412" s="5">
        <v>46311</v>
      </c>
      <c r="R412" s="8"/>
      <c r="S412" s="8"/>
      <c r="T412" s="8"/>
      <c r="U412" s="8"/>
      <c r="V412" s="8"/>
      <c r="W412" s="8"/>
      <c r="X412" s="8"/>
      <c r="Y412" s="8"/>
    </row>
    <row r="413" spans="1:25" ht="50.1" customHeight="1" thickBot="1" x14ac:dyDescent="0.3">
      <c r="A413" s="4" t="s">
        <v>2254</v>
      </c>
      <c r="B413" s="6" t="s">
        <v>2255</v>
      </c>
      <c r="C413" s="5">
        <v>46290</v>
      </c>
      <c r="D413" s="6" t="s">
        <v>19</v>
      </c>
      <c r="E413" s="6" t="s">
        <v>39</v>
      </c>
      <c r="F413" s="7" t="s">
        <v>1652</v>
      </c>
      <c r="G413" s="6" t="s">
        <v>34</v>
      </c>
      <c r="H413" s="6">
        <v>114</v>
      </c>
      <c r="I413" s="6" t="s">
        <v>41</v>
      </c>
      <c r="J413" s="6" t="s">
        <v>42</v>
      </c>
      <c r="K413" s="8"/>
      <c r="L413" s="7" t="s">
        <v>2256</v>
      </c>
      <c r="M413" s="8"/>
      <c r="N413" s="8"/>
      <c r="O413" s="8"/>
      <c r="P413" s="6">
        <v>14</v>
      </c>
      <c r="Q413" s="5">
        <v>46311</v>
      </c>
      <c r="R413" s="8"/>
      <c r="S413" s="8"/>
      <c r="T413" s="8"/>
      <c r="U413" s="8"/>
      <c r="V413" s="8"/>
      <c r="W413" s="8"/>
      <c r="X413" s="8"/>
      <c r="Y413" s="8"/>
    </row>
    <row r="414" spans="1:25" ht="50.1" customHeight="1" thickBot="1" x14ac:dyDescent="0.3">
      <c r="A414" s="4" t="s">
        <v>2257</v>
      </c>
      <c r="B414" s="6" t="s">
        <v>2258</v>
      </c>
      <c r="C414" s="5">
        <v>46290</v>
      </c>
      <c r="D414" s="6" t="s">
        <v>19</v>
      </c>
      <c r="E414" s="6" t="s">
        <v>460</v>
      </c>
      <c r="F414" s="7" t="s">
        <v>2259</v>
      </c>
      <c r="G414" s="6" t="s">
        <v>34</v>
      </c>
      <c r="H414" s="6">
        <v>127</v>
      </c>
      <c r="I414" s="6" t="s">
        <v>88</v>
      </c>
      <c r="J414" s="6" t="s">
        <v>71</v>
      </c>
      <c r="K414" s="8"/>
      <c r="L414" s="7" t="s">
        <v>2260</v>
      </c>
      <c r="M414" s="6">
        <v>1253983</v>
      </c>
      <c r="N414" s="8"/>
      <c r="O414" s="6" t="s">
        <v>621</v>
      </c>
      <c r="P414" s="6">
        <v>14</v>
      </c>
      <c r="Q414" s="5">
        <v>46311</v>
      </c>
      <c r="R414" s="8"/>
      <c r="S414" s="8"/>
      <c r="T414" s="8"/>
      <c r="U414" s="8"/>
      <c r="V414" s="8"/>
      <c r="W414" s="8"/>
      <c r="X414" s="8"/>
      <c r="Y414" s="8"/>
    </row>
    <row r="415" spans="1:25" ht="50.1" customHeight="1" thickBot="1" x14ac:dyDescent="0.3">
      <c r="A415" s="4" t="s">
        <v>2261</v>
      </c>
      <c r="B415" s="6" t="s">
        <v>2262</v>
      </c>
      <c r="C415" s="5">
        <v>46293</v>
      </c>
      <c r="D415" s="6" t="s">
        <v>19</v>
      </c>
      <c r="E415" s="6" t="s">
        <v>20</v>
      </c>
      <c r="F415" s="7" t="s">
        <v>464</v>
      </c>
      <c r="G415" s="6" t="s">
        <v>22</v>
      </c>
      <c r="H415" s="6">
        <v>316</v>
      </c>
      <c r="I415" s="6" t="s">
        <v>23</v>
      </c>
      <c r="J415" s="6" t="s">
        <v>24</v>
      </c>
      <c r="K415" s="8"/>
      <c r="L415" s="7" t="s">
        <v>2263</v>
      </c>
      <c r="M415" s="8"/>
      <c r="N415" s="8"/>
      <c r="O415" s="8"/>
      <c r="P415" s="6">
        <v>14</v>
      </c>
      <c r="Q415" s="5">
        <v>46311</v>
      </c>
      <c r="R415" s="8"/>
      <c r="S415" s="8"/>
      <c r="T415" s="8"/>
      <c r="U415" s="8"/>
      <c r="V415" s="8"/>
      <c r="W415" s="8"/>
      <c r="X415" s="8"/>
      <c r="Y415" s="8"/>
    </row>
    <row r="416" spans="1:25" ht="50.1" customHeight="1" thickBot="1" x14ac:dyDescent="0.3">
      <c r="A416" s="4" t="s">
        <v>2264</v>
      </c>
      <c r="B416" s="6" t="s">
        <v>2265</v>
      </c>
      <c r="C416" s="5">
        <v>46293</v>
      </c>
      <c r="D416" s="6" t="s">
        <v>33</v>
      </c>
      <c r="E416" s="6" t="s">
        <v>460</v>
      </c>
      <c r="F416" s="7" t="s">
        <v>2266</v>
      </c>
      <c r="G416" s="6" t="s">
        <v>34</v>
      </c>
      <c r="H416" s="6">
        <v>127</v>
      </c>
      <c r="I416" s="6" t="s">
        <v>88</v>
      </c>
      <c r="J416" s="6" t="s">
        <v>71</v>
      </c>
      <c r="K416" s="8"/>
      <c r="L416" s="7" t="s">
        <v>630</v>
      </c>
      <c r="M416" s="6">
        <v>1206500</v>
      </c>
      <c r="N416" s="8"/>
      <c r="O416" s="8"/>
      <c r="P416" s="6">
        <v>14</v>
      </c>
      <c r="Q416" s="5">
        <v>46314</v>
      </c>
      <c r="R416" s="8"/>
      <c r="S416" s="8"/>
      <c r="T416" s="8"/>
      <c r="U416" s="8"/>
      <c r="V416" s="8"/>
      <c r="W416" s="8"/>
      <c r="X416" s="8"/>
      <c r="Y416" s="8"/>
    </row>
    <row r="417" spans="1:25" ht="50.1" customHeight="1" thickBot="1" x14ac:dyDescent="0.3">
      <c r="A417" s="4" t="s">
        <v>2267</v>
      </c>
      <c r="B417" s="6" t="s">
        <v>2268</v>
      </c>
      <c r="C417" s="5">
        <v>46293</v>
      </c>
      <c r="D417" s="6" t="s">
        <v>33</v>
      </c>
      <c r="E417" s="6" t="s">
        <v>29</v>
      </c>
      <c r="F417" s="7" t="s">
        <v>2269</v>
      </c>
      <c r="G417" s="6" t="s">
        <v>34</v>
      </c>
      <c r="H417" s="6">
        <v>118</v>
      </c>
      <c r="I417" s="6" t="s">
        <v>492</v>
      </c>
      <c r="J417" s="6" t="s">
        <v>511</v>
      </c>
      <c r="K417" s="8"/>
      <c r="L417" s="7" t="s">
        <v>2270</v>
      </c>
      <c r="M417" s="8"/>
      <c r="N417" s="8"/>
      <c r="O417" s="8"/>
      <c r="P417" s="6">
        <v>14</v>
      </c>
      <c r="Q417" s="5">
        <v>46314</v>
      </c>
      <c r="R417" s="8"/>
      <c r="S417" s="8"/>
      <c r="T417" s="8"/>
      <c r="U417" s="8"/>
      <c r="V417" s="8"/>
      <c r="W417" s="8"/>
      <c r="X417" s="8"/>
      <c r="Y417" s="8"/>
    </row>
    <row r="418" spans="1:25" ht="50.1" customHeight="1" thickBot="1" x14ac:dyDescent="0.3">
      <c r="A418" s="4" t="s">
        <v>2271</v>
      </c>
      <c r="B418" s="6" t="s">
        <v>2272</v>
      </c>
      <c r="C418" s="5">
        <v>46293</v>
      </c>
      <c r="D418" s="6" t="s">
        <v>19</v>
      </c>
      <c r="E418" s="6" t="s">
        <v>61</v>
      </c>
      <c r="F418" s="7" t="s">
        <v>1972</v>
      </c>
      <c r="G418" s="6" t="s">
        <v>22</v>
      </c>
      <c r="H418" s="6">
        <v>316</v>
      </c>
      <c r="I418" s="6" t="s">
        <v>23</v>
      </c>
      <c r="J418" s="6" t="s">
        <v>175</v>
      </c>
      <c r="K418" s="8"/>
      <c r="L418" s="7" t="s">
        <v>532</v>
      </c>
      <c r="M418" s="8"/>
      <c r="N418" s="8"/>
      <c r="O418" s="8"/>
      <c r="P418" s="6">
        <v>14</v>
      </c>
      <c r="Q418" s="5">
        <v>46314</v>
      </c>
      <c r="R418" s="8"/>
      <c r="S418" s="8"/>
      <c r="T418" s="8"/>
      <c r="U418" s="8"/>
      <c r="V418" s="8"/>
      <c r="W418" s="8"/>
      <c r="X418" s="8"/>
      <c r="Y418" s="8"/>
    </row>
    <row r="419" spans="1:25" ht="50.1" customHeight="1" thickBot="1" x14ac:dyDescent="0.3">
      <c r="A419" s="4" t="s">
        <v>2273</v>
      </c>
      <c r="B419" s="6" t="s">
        <v>2274</v>
      </c>
      <c r="C419" s="5">
        <v>46293</v>
      </c>
      <c r="D419" s="6" t="s">
        <v>19</v>
      </c>
      <c r="E419" s="6" t="s">
        <v>39</v>
      </c>
      <c r="F419" s="7" t="s">
        <v>2275</v>
      </c>
      <c r="G419" s="6" t="s">
        <v>22</v>
      </c>
      <c r="H419" s="6">
        <v>503</v>
      </c>
      <c r="I419" s="6" t="s">
        <v>31</v>
      </c>
      <c r="J419" s="12" t="s">
        <v>93</v>
      </c>
      <c r="K419" s="8"/>
      <c r="L419" s="7" t="s">
        <v>2276</v>
      </c>
      <c r="M419" s="8"/>
      <c r="N419" s="8"/>
      <c r="O419" s="8"/>
      <c r="P419" s="6">
        <v>14</v>
      </c>
      <c r="Q419" s="5">
        <v>46314</v>
      </c>
      <c r="R419" s="8"/>
      <c r="S419" s="8"/>
      <c r="T419" s="8"/>
      <c r="U419" s="8"/>
      <c r="V419" s="8"/>
      <c r="W419" s="8"/>
      <c r="X419" s="8"/>
      <c r="Y419" s="8"/>
    </row>
    <row r="420" spans="1:25" ht="50.1" customHeight="1" thickBot="1" x14ac:dyDescent="0.3">
      <c r="A420" s="4" t="s">
        <v>2277</v>
      </c>
      <c r="B420" s="6" t="s">
        <v>2278</v>
      </c>
      <c r="C420" s="5">
        <v>46293</v>
      </c>
      <c r="D420" s="6" t="s">
        <v>19</v>
      </c>
      <c r="E420" s="6" t="s">
        <v>460</v>
      </c>
      <c r="F420" s="7" t="s">
        <v>614</v>
      </c>
      <c r="G420" s="6" t="s">
        <v>34</v>
      </c>
      <c r="H420" s="6">
        <v>127</v>
      </c>
      <c r="I420" s="6" t="s">
        <v>88</v>
      </c>
      <c r="J420" s="6" t="s">
        <v>71</v>
      </c>
      <c r="K420" s="8"/>
      <c r="L420" s="7" t="s">
        <v>2279</v>
      </c>
      <c r="M420" s="8"/>
      <c r="N420" s="8"/>
      <c r="O420" s="8"/>
      <c r="P420" s="6">
        <v>14</v>
      </c>
      <c r="Q420" s="5">
        <v>46314</v>
      </c>
      <c r="R420" s="8"/>
      <c r="S420" s="8"/>
      <c r="T420" s="8"/>
      <c r="U420" s="8"/>
      <c r="V420" s="8"/>
      <c r="W420" s="8"/>
      <c r="X420" s="8"/>
      <c r="Y420" s="8"/>
    </row>
    <row r="421" spans="1:25" ht="50.1" customHeight="1" thickBot="1" x14ac:dyDescent="0.3">
      <c r="A421" s="4" t="s">
        <v>2280</v>
      </c>
      <c r="B421" s="6" t="s">
        <v>2281</v>
      </c>
      <c r="C421" s="5">
        <v>46293</v>
      </c>
      <c r="D421" s="6" t="s">
        <v>19</v>
      </c>
      <c r="E421" s="6" t="s">
        <v>39</v>
      </c>
      <c r="F421" s="7" t="s">
        <v>58</v>
      </c>
      <c r="G421" s="6" t="s">
        <v>34</v>
      </c>
      <c r="H421" s="6">
        <v>114</v>
      </c>
      <c r="I421" s="6" t="s">
        <v>41</v>
      </c>
      <c r="J421" s="6" t="s">
        <v>42</v>
      </c>
      <c r="K421" s="8"/>
      <c r="L421" s="7" t="s">
        <v>2282</v>
      </c>
      <c r="M421" s="8"/>
      <c r="N421" s="8"/>
      <c r="O421" s="8"/>
      <c r="P421" s="6">
        <v>14</v>
      </c>
      <c r="Q421" s="5">
        <v>46314</v>
      </c>
      <c r="R421" s="8"/>
      <c r="S421" s="8"/>
      <c r="T421" s="8"/>
      <c r="U421" s="8"/>
      <c r="V421" s="8"/>
      <c r="W421" s="8"/>
      <c r="X421" s="8"/>
      <c r="Y421" s="8"/>
    </row>
    <row r="422" spans="1:25" ht="50.1" customHeight="1" thickBot="1" x14ac:dyDescent="0.3">
      <c r="A422" s="4" t="s">
        <v>2283</v>
      </c>
      <c r="B422" s="6" t="s">
        <v>2284</v>
      </c>
      <c r="C422" s="5">
        <v>46293</v>
      </c>
      <c r="D422" s="6" t="s">
        <v>76</v>
      </c>
      <c r="E422" s="6" t="s">
        <v>20</v>
      </c>
      <c r="F422" s="7" t="s">
        <v>2285</v>
      </c>
      <c r="G422" s="6" t="s">
        <v>22</v>
      </c>
      <c r="H422" s="6">
        <v>304</v>
      </c>
      <c r="I422" s="6" t="s">
        <v>43</v>
      </c>
      <c r="J422" s="6" t="s">
        <v>44</v>
      </c>
      <c r="K422" s="8"/>
      <c r="L422" s="7" t="s">
        <v>788</v>
      </c>
      <c r="M422" s="8"/>
      <c r="N422" s="8"/>
      <c r="O422" s="8"/>
      <c r="P422" s="6">
        <v>14</v>
      </c>
      <c r="Q422" s="5">
        <v>46314</v>
      </c>
      <c r="R422" s="8"/>
      <c r="S422" s="8"/>
      <c r="T422" s="8"/>
      <c r="U422" s="8"/>
      <c r="V422" s="8"/>
      <c r="W422" s="8"/>
      <c r="X422" s="8"/>
      <c r="Y422" s="8"/>
    </row>
    <row r="423" spans="1:25" ht="50.1" customHeight="1" thickBot="1" x14ac:dyDescent="0.3">
      <c r="A423" s="4" t="s">
        <v>2286</v>
      </c>
      <c r="B423" s="6" t="s">
        <v>2287</v>
      </c>
      <c r="C423" s="5">
        <v>46293</v>
      </c>
      <c r="D423" s="6" t="s">
        <v>19</v>
      </c>
      <c r="E423" s="6" t="s">
        <v>39</v>
      </c>
      <c r="F423" s="7" t="s">
        <v>58</v>
      </c>
      <c r="G423" s="6" t="s">
        <v>34</v>
      </c>
      <c r="H423" s="6">
        <v>114</v>
      </c>
      <c r="I423" s="6" t="s">
        <v>41</v>
      </c>
      <c r="J423" s="6" t="s">
        <v>42</v>
      </c>
      <c r="K423" s="8"/>
      <c r="L423" s="7" t="s">
        <v>2282</v>
      </c>
      <c r="M423" s="8"/>
      <c r="N423" s="8"/>
      <c r="O423" s="8"/>
      <c r="P423" s="6">
        <v>14</v>
      </c>
      <c r="Q423" s="5">
        <v>46314</v>
      </c>
      <c r="R423" s="8"/>
      <c r="S423" s="8"/>
      <c r="T423" s="8"/>
      <c r="U423" s="8"/>
      <c r="V423" s="8"/>
      <c r="W423" s="8"/>
      <c r="X423" s="8"/>
      <c r="Y423" s="8"/>
    </row>
    <row r="424" spans="1:25" ht="50.1" customHeight="1" thickBot="1" x14ac:dyDescent="0.3">
      <c r="A424" s="4" t="s">
        <v>2288</v>
      </c>
      <c r="B424" s="6" t="s">
        <v>2289</v>
      </c>
      <c r="C424" s="5">
        <v>46293</v>
      </c>
      <c r="D424" s="6" t="s">
        <v>2290</v>
      </c>
      <c r="E424" s="6" t="s">
        <v>39</v>
      </c>
      <c r="F424" s="7" t="s">
        <v>2291</v>
      </c>
      <c r="G424" s="6" t="s">
        <v>30</v>
      </c>
      <c r="H424" s="6">
        <v>503</v>
      </c>
      <c r="I424" s="6" t="s">
        <v>31</v>
      </c>
      <c r="J424" s="6" t="s">
        <v>93</v>
      </c>
      <c r="K424" s="8"/>
      <c r="L424" s="7" t="s">
        <v>1039</v>
      </c>
      <c r="M424" s="8"/>
      <c r="N424" s="8"/>
      <c r="O424" s="8"/>
      <c r="P424" s="6">
        <v>14</v>
      </c>
      <c r="Q424" s="5">
        <v>46314</v>
      </c>
      <c r="R424" s="8"/>
      <c r="S424" s="8"/>
      <c r="T424" s="8"/>
      <c r="U424" s="8"/>
      <c r="V424" s="8"/>
      <c r="W424" s="8"/>
      <c r="X424" s="8"/>
      <c r="Y424" s="8"/>
    </row>
    <row r="425" spans="1:25" ht="50.1" customHeight="1" thickBot="1" x14ac:dyDescent="0.3">
      <c r="A425" s="4" t="s">
        <v>2292</v>
      </c>
      <c r="B425" s="6" t="s">
        <v>2293</v>
      </c>
      <c r="C425" s="5">
        <v>46293</v>
      </c>
      <c r="D425" s="6" t="s">
        <v>76</v>
      </c>
      <c r="E425" s="6" t="s">
        <v>460</v>
      </c>
      <c r="F425" s="7" t="s">
        <v>2294</v>
      </c>
      <c r="G425" s="6" t="s">
        <v>30</v>
      </c>
      <c r="H425" s="6">
        <v>503</v>
      </c>
      <c r="I425" s="6" t="s">
        <v>31</v>
      </c>
      <c r="J425" s="6" t="s">
        <v>2295</v>
      </c>
      <c r="K425" s="8"/>
      <c r="L425" s="7" t="s">
        <v>366</v>
      </c>
      <c r="M425" s="6">
        <v>1253949</v>
      </c>
      <c r="N425" s="8"/>
      <c r="O425" s="8"/>
      <c r="P425" s="6">
        <v>14</v>
      </c>
      <c r="Q425" s="5">
        <v>46314</v>
      </c>
      <c r="R425" s="8"/>
      <c r="S425" s="8"/>
      <c r="T425" s="8"/>
      <c r="U425" s="8"/>
      <c r="V425" s="8"/>
      <c r="W425" s="8"/>
      <c r="X425" s="8"/>
      <c r="Y425" s="8"/>
    </row>
    <row r="426" spans="1:25" ht="50.1" customHeight="1" thickBot="1" x14ac:dyDescent="0.3">
      <c r="A426" s="4" t="s">
        <v>2296</v>
      </c>
      <c r="B426" s="6" t="s">
        <v>2297</v>
      </c>
      <c r="C426" s="5">
        <v>46293</v>
      </c>
      <c r="D426" s="6" t="s">
        <v>33</v>
      </c>
      <c r="E426" s="6" t="s">
        <v>29</v>
      </c>
      <c r="F426" s="7" t="s">
        <v>2298</v>
      </c>
      <c r="G426" s="6" t="s">
        <v>34</v>
      </c>
      <c r="H426" s="6">
        <v>102</v>
      </c>
      <c r="I426" s="6" t="s">
        <v>70</v>
      </c>
      <c r="J426" s="6" t="s">
        <v>71</v>
      </c>
      <c r="K426" s="8"/>
      <c r="L426" s="7" t="s">
        <v>2299</v>
      </c>
      <c r="M426" s="8"/>
      <c r="N426" s="8"/>
      <c r="O426" s="8"/>
      <c r="P426" s="6">
        <v>14</v>
      </c>
      <c r="Q426" s="5">
        <v>46314</v>
      </c>
      <c r="R426" s="8"/>
      <c r="S426" s="8"/>
      <c r="T426" s="8"/>
      <c r="U426" s="8"/>
      <c r="V426" s="8"/>
      <c r="W426" s="8"/>
      <c r="X426" s="8"/>
      <c r="Y426" s="8"/>
    </row>
    <row r="427" spans="1:25" ht="50.1" customHeight="1" thickBot="1" x14ac:dyDescent="0.3">
      <c r="A427" s="4" t="s">
        <v>2300</v>
      </c>
      <c r="B427" s="6" t="s">
        <v>2301</v>
      </c>
      <c r="C427" s="5">
        <v>46293</v>
      </c>
      <c r="D427" s="6" t="s">
        <v>76</v>
      </c>
      <c r="E427" s="6" t="s">
        <v>39</v>
      </c>
      <c r="F427" s="7" t="s">
        <v>2302</v>
      </c>
      <c r="G427" s="6" t="s">
        <v>34</v>
      </c>
      <c r="H427" s="6">
        <v>114</v>
      </c>
      <c r="I427" s="6" t="s">
        <v>41</v>
      </c>
      <c r="J427" s="6" t="s">
        <v>42</v>
      </c>
      <c r="K427" s="8"/>
      <c r="L427" s="7" t="s">
        <v>406</v>
      </c>
      <c r="M427" s="8"/>
      <c r="N427" s="8"/>
      <c r="O427" s="8"/>
      <c r="P427" s="6">
        <v>14</v>
      </c>
      <c r="Q427" s="5">
        <v>46314</v>
      </c>
      <c r="R427" s="8"/>
      <c r="S427" s="8"/>
      <c r="T427" s="8"/>
      <c r="U427" s="8"/>
      <c r="V427" s="8"/>
      <c r="W427" s="8"/>
      <c r="X427" s="8"/>
      <c r="Y427" s="8"/>
    </row>
    <row r="428" spans="1:25" ht="50.1" customHeight="1" thickBot="1" x14ac:dyDescent="0.3">
      <c r="A428" s="4" t="s">
        <v>2303</v>
      </c>
      <c r="B428" s="6" t="s">
        <v>2304</v>
      </c>
      <c r="C428" s="5">
        <v>46293</v>
      </c>
      <c r="D428" s="6" t="s">
        <v>19</v>
      </c>
      <c r="E428" s="6" t="s">
        <v>29</v>
      </c>
      <c r="F428" s="7" t="s">
        <v>2305</v>
      </c>
      <c r="G428" s="6" t="s">
        <v>34</v>
      </c>
      <c r="H428" s="6">
        <v>108</v>
      </c>
      <c r="I428" s="6" t="s">
        <v>409</v>
      </c>
      <c r="J428" s="6" t="s">
        <v>410</v>
      </c>
      <c r="K428" s="8"/>
      <c r="L428" s="7" t="s">
        <v>619</v>
      </c>
      <c r="M428" s="6">
        <v>1251850</v>
      </c>
      <c r="N428" s="8"/>
      <c r="O428" s="8"/>
      <c r="P428" s="6">
        <v>14</v>
      </c>
      <c r="Q428" s="5">
        <v>46314</v>
      </c>
      <c r="R428" s="8"/>
      <c r="S428" s="8"/>
      <c r="T428" s="8"/>
      <c r="U428" s="8"/>
      <c r="V428" s="8"/>
      <c r="W428" s="8"/>
      <c r="X428" s="8"/>
      <c r="Y428" s="8"/>
    </row>
    <row r="429" spans="1:25" ht="50.1" customHeight="1" thickBot="1" x14ac:dyDescent="0.3">
      <c r="A429" s="4" t="s">
        <v>2306</v>
      </c>
      <c r="B429" s="6" t="s">
        <v>2307</v>
      </c>
      <c r="C429" s="5">
        <v>46293</v>
      </c>
      <c r="D429" s="6" t="s">
        <v>19</v>
      </c>
      <c r="E429" s="6" t="s">
        <v>39</v>
      </c>
      <c r="F429" s="7" t="s">
        <v>58</v>
      </c>
      <c r="G429" s="6" t="s">
        <v>34</v>
      </c>
      <c r="H429" s="6">
        <v>114</v>
      </c>
      <c r="I429" s="6" t="s">
        <v>41</v>
      </c>
      <c r="J429" s="6" t="s">
        <v>42</v>
      </c>
      <c r="K429" s="8"/>
      <c r="L429" s="7" t="s">
        <v>475</v>
      </c>
      <c r="M429" s="8"/>
      <c r="N429" s="8"/>
      <c r="O429" s="8"/>
      <c r="P429" s="6">
        <v>14</v>
      </c>
      <c r="Q429" s="5">
        <v>46314</v>
      </c>
      <c r="R429" s="8"/>
      <c r="S429" s="8"/>
      <c r="T429" s="8"/>
      <c r="U429" s="8"/>
      <c r="V429" s="8"/>
      <c r="W429" s="8"/>
      <c r="X429" s="8"/>
      <c r="Y429" s="8"/>
    </row>
    <row r="430" spans="1:25" ht="50.1" customHeight="1" thickBot="1" x14ac:dyDescent="0.3">
      <c r="A430" s="4" t="s">
        <v>1970</v>
      </c>
      <c r="B430" s="6" t="s">
        <v>2308</v>
      </c>
      <c r="C430" s="5">
        <v>46293</v>
      </c>
      <c r="D430" s="6" t="s">
        <v>19</v>
      </c>
      <c r="E430" s="6" t="s">
        <v>20</v>
      </c>
      <c r="F430" s="7" t="s">
        <v>102</v>
      </c>
      <c r="G430" s="6" t="s">
        <v>22</v>
      </c>
      <c r="H430" s="6">
        <v>316</v>
      </c>
      <c r="I430" s="6" t="s">
        <v>23</v>
      </c>
      <c r="J430" s="6" t="s">
        <v>46</v>
      </c>
      <c r="K430" s="8"/>
      <c r="L430" s="7" t="s">
        <v>2309</v>
      </c>
      <c r="M430" s="8"/>
      <c r="N430" s="8"/>
      <c r="O430" s="8"/>
      <c r="P430" s="6">
        <v>14</v>
      </c>
      <c r="Q430" s="5">
        <v>46314</v>
      </c>
      <c r="R430" s="8"/>
      <c r="S430" s="8"/>
      <c r="T430" s="8"/>
      <c r="U430" s="8"/>
      <c r="V430" s="8"/>
      <c r="W430" s="8"/>
      <c r="X430" s="8"/>
      <c r="Y430" s="8"/>
    </row>
    <row r="431" spans="1:25" ht="50.1" customHeight="1" thickBot="1" x14ac:dyDescent="0.3">
      <c r="A431" s="4" t="s">
        <v>2310</v>
      </c>
      <c r="B431" s="6" t="s">
        <v>2311</v>
      </c>
      <c r="C431" s="5">
        <v>46293</v>
      </c>
      <c r="D431" s="6" t="s">
        <v>19</v>
      </c>
      <c r="E431" s="6" t="s">
        <v>468</v>
      </c>
      <c r="F431" s="7" t="s">
        <v>2312</v>
      </c>
      <c r="G431" s="6" t="s">
        <v>34</v>
      </c>
      <c r="H431" s="6">
        <v>119</v>
      </c>
      <c r="I431" s="6" t="s">
        <v>51</v>
      </c>
      <c r="J431" s="6" t="s">
        <v>52</v>
      </c>
      <c r="K431" s="8"/>
      <c r="L431" s="7" t="s">
        <v>2313</v>
      </c>
      <c r="M431" s="8"/>
      <c r="N431" s="8"/>
      <c r="O431" s="8"/>
      <c r="P431" s="6">
        <v>14</v>
      </c>
      <c r="Q431" s="5">
        <v>46314</v>
      </c>
      <c r="R431" s="8"/>
      <c r="S431" s="8"/>
      <c r="T431" s="8"/>
      <c r="U431" s="8"/>
      <c r="V431" s="8"/>
      <c r="W431" s="8"/>
      <c r="X431" s="8"/>
      <c r="Y431" s="8"/>
    </row>
    <row r="432" spans="1:25" ht="50.1" customHeight="1" thickBot="1" x14ac:dyDescent="0.3">
      <c r="A432" s="4" t="s">
        <v>2314</v>
      </c>
      <c r="B432" s="6" t="s">
        <v>2315</v>
      </c>
      <c r="C432" s="5">
        <v>46293</v>
      </c>
      <c r="D432" s="6" t="s">
        <v>19</v>
      </c>
      <c r="E432" s="6" t="s">
        <v>20</v>
      </c>
      <c r="F432" s="7" t="s">
        <v>464</v>
      </c>
      <c r="G432" s="6" t="s">
        <v>22</v>
      </c>
      <c r="H432" s="6">
        <v>316</v>
      </c>
      <c r="I432" s="6" t="s">
        <v>23</v>
      </c>
      <c r="J432" s="6" t="s">
        <v>288</v>
      </c>
      <c r="K432" s="8"/>
      <c r="L432" s="7" t="s">
        <v>2316</v>
      </c>
      <c r="M432" s="8"/>
      <c r="N432" s="8"/>
      <c r="O432" s="8"/>
      <c r="P432" s="6">
        <v>14</v>
      </c>
      <c r="Q432" s="5">
        <v>46314</v>
      </c>
      <c r="R432" s="8"/>
      <c r="S432" s="8"/>
      <c r="T432" s="8"/>
      <c r="U432" s="8"/>
      <c r="V432" s="8"/>
      <c r="W432" s="8"/>
      <c r="X432" s="8"/>
      <c r="Y432" s="8"/>
    </row>
    <row r="433" spans="1:25" ht="50.1" customHeight="1" thickBot="1" x14ac:dyDescent="0.3">
      <c r="A433" s="4" t="s">
        <v>2317</v>
      </c>
      <c r="B433" s="6" t="s">
        <v>2318</v>
      </c>
      <c r="C433" s="5">
        <v>46293</v>
      </c>
      <c r="D433" s="6" t="s">
        <v>19</v>
      </c>
      <c r="E433" s="6" t="s">
        <v>39</v>
      </c>
      <c r="F433" s="7" t="s">
        <v>553</v>
      </c>
      <c r="G433" s="6" t="s">
        <v>34</v>
      </c>
      <c r="H433" s="6">
        <v>114</v>
      </c>
      <c r="I433" s="6" t="s">
        <v>41</v>
      </c>
      <c r="J433" s="6" t="s">
        <v>42</v>
      </c>
      <c r="K433" s="8"/>
      <c r="L433" s="7" t="s">
        <v>2319</v>
      </c>
      <c r="M433" s="8"/>
      <c r="N433" s="8"/>
      <c r="O433" s="8"/>
      <c r="P433" s="6">
        <v>14</v>
      </c>
      <c r="Q433" s="5">
        <v>46314</v>
      </c>
      <c r="R433" s="8"/>
      <c r="S433" s="8"/>
      <c r="T433" s="8"/>
      <c r="U433" s="8"/>
      <c r="V433" s="8"/>
      <c r="W433" s="8"/>
      <c r="X433" s="8"/>
      <c r="Y433" s="8"/>
    </row>
    <row r="434" spans="1:25" ht="50.1" customHeight="1" thickBot="1" x14ac:dyDescent="0.3">
      <c r="A434" s="4" t="s">
        <v>2320</v>
      </c>
      <c r="B434" s="6" t="s">
        <v>2321</v>
      </c>
      <c r="C434" s="5">
        <v>46293</v>
      </c>
      <c r="D434" s="6" t="s">
        <v>19</v>
      </c>
      <c r="E434" s="6" t="s">
        <v>20</v>
      </c>
      <c r="F434" s="7" t="s">
        <v>467</v>
      </c>
      <c r="G434" s="6" t="s">
        <v>22</v>
      </c>
      <c r="H434" s="6">
        <v>316</v>
      </c>
      <c r="I434" s="6" t="s">
        <v>23</v>
      </c>
      <c r="J434" s="6" t="s">
        <v>46</v>
      </c>
      <c r="K434" s="8"/>
      <c r="L434" s="7" t="s">
        <v>2322</v>
      </c>
      <c r="M434" s="8"/>
      <c r="N434" s="8"/>
      <c r="O434" s="8"/>
      <c r="P434" s="6">
        <v>14</v>
      </c>
      <c r="Q434" s="5">
        <v>46314</v>
      </c>
      <c r="R434" s="8"/>
      <c r="S434" s="8"/>
      <c r="T434" s="8"/>
      <c r="U434" s="8"/>
      <c r="V434" s="8"/>
      <c r="W434" s="8"/>
      <c r="X434" s="8"/>
      <c r="Y434" s="8"/>
    </row>
    <row r="435" spans="1:25" ht="50.1" customHeight="1" thickBot="1" x14ac:dyDescent="0.3">
      <c r="A435" s="4" t="s">
        <v>2323</v>
      </c>
      <c r="B435" s="6" t="s">
        <v>2324</v>
      </c>
      <c r="C435" s="5">
        <v>46293</v>
      </c>
      <c r="D435" s="6" t="s">
        <v>19</v>
      </c>
      <c r="E435" s="6" t="s">
        <v>29</v>
      </c>
      <c r="F435" s="7" t="s">
        <v>2325</v>
      </c>
      <c r="G435" s="6" t="s">
        <v>34</v>
      </c>
      <c r="H435" s="6">
        <v>118</v>
      </c>
      <c r="I435" s="6" t="s">
        <v>492</v>
      </c>
      <c r="J435" s="6" t="s">
        <v>511</v>
      </c>
      <c r="K435" s="8"/>
      <c r="L435" s="7" t="s">
        <v>642</v>
      </c>
      <c r="M435" s="8"/>
      <c r="N435" s="8"/>
      <c r="O435" s="8"/>
      <c r="P435" s="6">
        <v>14</v>
      </c>
      <c r="Q435" s="5">
        <v>46314</v>
      </c>
      <c r="R435" s="8"/>
      <c r="S435" s="8"/>
      <c r="T435" s="8"/>
      <c r="U435" s="8"/>
      <c r="V435" s="8"/>
      <c r="W435" s="8"/>
      <c r="X435" s="8"/>
      <c r="Y435" s="8"/>
    </row>
    <row r="436" spans="1:25" ht="50.1" customHeight="1" thickBot="1" x14ac:dyDescent="0.3">
      <c r="A436" s="4" t="s">
        <v>2326</v>
      </c>
      <c r="B436" s="6" t="s">
        <v>2327</v>
      </c>
      <c r="C436" s="5">
        <v>46293</v>
      </c>
      <c r="D436" s="6" t="s">
        <v>19</v>
      </c>
      <c r="E436" s="6" t="s">
        <v>39</v>
      </c>
      <c r="F436" s="7" t="s">
        <v>2328</v>
      </c>
      <c r="G436" s="6" t="s">
        <v>34</v>
      </c>
      <c r="H436" s="6">
        <v>114</v>
      </c>
      <c r="I436" s="6" t="s">
        <v>41</v>
      </c>
      <c r="J436" s="6" t="s">
        <v>42</v>
      </c>
      <c r="K436" s="8"/>
      <c r="L436" s="7" t="s">
        <v>2329</v>
      </c>
      <c r="M436" s="8"/>
      <c r="N436" s="8"/>
      <c r="O436" s="8"/>
      <c r="P436" s="6">
        <v>14</v>
      </c>
      <c r="Q436" s="5">
        <v>46314</v>
      </c>
      <c r="R436" s="8"/>
      <c r="S436" s="8"/>
      <c r="T436" s="8"/>
      <c r="U436" s="8"/>
      <c r="V436" s="8"/>
      <c r="W436" s="8"/>
      <c r="X436" s="8"/>
      <c r="Y436" s="8"/>
    </row>
    <row r="437" spans="1:25" ht="50.1" customHeight="1" thickBot="1" x14ac:dyDescent="0.3">
      <c r="A437" s="4" t="s">
        <v>2330</v>
      </c>
      <c r="B437" s="6" t="s">
        <v>2331</v>
      </c>
      <c r="C437" s="5">
        <v>46293</v>
      </c>
      <c r="D437" s="6" t="s">
        <v>33</v>
      </c>
      <c r="E437" s="6" t="s">
        <v>460</v>
      </c>
      <c r="F437" s="7" t="s">
        <v>2332</v>
      </c>
      <c r="G437" s="6" t="s">
        <v>34</v>
      </c>
      <c r="H437" s="6">
        <v>102</v>
      </c>
      <c r="I437" s="6" t="s">
        <v>2333</v>
      </c>
      <c r="J437" s="6" t="s">
        <v>2334</v>
      </c>
      <c r="K437" s="8"/>
      <c r="L437" s="7" t="s">
        <v>2335</v>
      </c>
      <c r="M437" s="8"/>
      <c r="N437" s="8"/>
      <c r="O437" s="8"/>
      <c r="P437" s="6">
        <v>14</v>
      </c>
      <c r="Q437" s="5">
        <v>46314</v>
      </c>
      <c r="R437" s="8"/>
      <c r="S437" s="8"/>
      <c r="T437" s="8"/>
      <c r="U437" s="8"/>
      <c r="V437" s="8"/>
      <c r="W437" s="8"/>
      <c r="X437" s="8"/>
      <c r="Y437" s="8"/>
    </row>
    <row r="438" spans="1:25" ht="50.1" customHeight="1" thickBot="1" x14ac:dyDescent="0.3">
      <c r="A438" s="4" t="s">
        <v>2336</v>
      </c>
      <c r="B438" s="6" t="s">
        <v>2337</v>
      </c>
      <c r="C438" s="5">
        <v>46293</v>
      </c>
      <c r="D438" s="6" t="s">
        <v>19</v>
      </c>
      <c r="E438" s="6" t="s">
        <v>460</v>
      </c>
      <c r="F438" s="7" t="s">
        <v>345</v>
      </c>
      <c r="G438" s="6" t="s">
        <v>22</v>
      </c>
      <c r="H438" s="6">
        <v>316</v>
      </c>
      <c r="I438" s="6" t="s">
        <v>23</v>
      </c>
      <c r="J438" s="6" t="s">
        <v>46</v>
      </c>
      <c r="K438" s="8"/>
      <c r="L438" s="7" t="s">
        <v>2338</v>
      </c>
      <c r="M438" s="8"/>
      <c r="N438" s="8"/>
      <c r="O438" s="8"/>
      <c r="P438" s="6">
        <v>14</v>
      </c>
      <c r="Q438" s="5">
        <v>46314</v>
      </c>
      <c r="R438" s="8"/>
      <c r="S438" s="8"/>
      <c r="T438" s="8"/>
      <c r="U438" s="8"/>
      <c r="V438" s="8"/>
      <c r="W438" s="8"/>
      <c r="X438" s="8"/>
      <c r="Y438" s="8"/>
    </row>
    <row r="439" spans="1:25" ht="50.1" customHeight="1" thickBot="1" x14ac:dyDescent="0.3">
      <c r="A439" s="4" t="s">
        <v>2339</v>
      </c>
      <c r="B439" s="880" t="s">
        <v>2340</v>
      </c>
      <c r="C439" s="5">
        <v>46294</v>
      </c>
      <c r="D439" s="6" t="s">
        <v>28</v>
      </c>
      <c r="E439" s="6" t="s">
        <v>63</v>
      </c>
      <c r="F439" s="7" t="s">
        <v>2341</v>
      </c>
      <c r="G439" s="6" t="s">
        <v>30</v>
      </c>
      <c r="H439" s="6">
        <v>316</v>
      </c>
      <c r="I439" s="6" t="s">
        <v>23</v>
      </c>
      <c r="J439" s="6" t="s">
        <v>75</v>
      </c>
      <c r="K439" s="8"/>
      <c r="L439" s="7" t="s">
        <v>2342</v>
      </c>
      <c r="M439" s="8"/>
      <c r="N439" s="8"/>
      <c r="O439" s="8"/>
      <c r="P439" s="6">
        <v>14</v>
      </c>
      <c r="Q439" s="5">
        <v>46314</v>
      </c>
      <c r="R439" s="8"/>
      <c r="S439" s="8"/>
      <c r="T439" s="8"/>
      <c r="U439" s="8"/>
      <c r="V439" s="8"/>
      <c r="W439" s="8"/>
      <c r="X439" s="8"/>
      <c r="Y439" s="8"/>
    </row>
    <row r="440" spans="1:25" ht="50.1" customHeight="1" thickBot="1" x14ac:dyDescent="0.3">
      <c r="A440" s="4" t="s">
        <v>2343</v>
      </c>
      <c r="B440" s="880" t="s">
        <v>2344</v>
      </c>
      <c r="C440" s="5">
        <v>46294</v>
      </c>
      <c r="D440" s="6" t="s">
        <v>19</v>
      </c>
      <c r="E440" s="6" t="s">
        <v>39</v>
      </c>
      <c r="F440" s="7" t="s">
        <v>553</v>
      </c>
      <c r="G440" s="6" t="s">
        <v>34</v>
      </c>
      <c r="H440" s="6">
        <v>114</v>
      </c>
      <c r="I440" s="6" t="s">
        <v>41</v>
      </c>
      <c r="J440" s="6" t="s">
        <v>42</v>
      </c>
      <c r="K440" s="8"/>
      <c r="L440" s="7" t="s">
        <v>2345</v>
      </c>
      <c r="M440" s="8"/>
      <c r="N440" s="8"/>
      <c r="O440" s="8"/>
      <c r="P440" s="6">
        <v>14</v>
      </c>
      <c r="Q440" s="5">
        <v>46315</v>
      </c>
      <c r="R440" s="8"/>
      <c r="S440" s="8"/>
      <c r="T440" s="8"/>
      <c r="U440" s="8"/>
      <c r="V440" s="8"/>
      <c r="W440" s="8"/>
      <c r="X440" s="8"/>
      <c r="Y440" s="8"/>
    </row>
    <row r="441" spans="1:25" ht="50.1" customHeight="1" thickBot="1" x14ac:dyDescent="0.3">
      <c r="A441" s="4" t="s">
        <v>2346</v>
      </c>
      <c r="B441" s="880" t="s">
        <v>2347</v>
      </c>
      <c r="C441" s="5">
        <v>46294</v>
      </c>
      <c r="D441" s="6" t="s">
        <v>28</v>
      </c>
      <c r="E441" s="6" t="s">
        <v>29</v>
      </c>
      <c r="F441" s="7" t="s">
        <v>2348</v>
      </c>
      <c r="G441" s="6" t="s">
        <v>30</v>
      </c>
      <c r="H441" s="6">
        <v>503</v>
      </c>
      <c r="I441" s="6" t="s">
        <v>31</v>
      </c>
      <c r="J441" s="6" t="s">
        <v>32</v>
      </c>
      <c r="K441" s="8"/>
      <c r="L441" s="7" t="s">
        <v>2349</v>
      </c>
      <c r="M441" s="8"/>
      <c r="N441" s="8"/>
      <c r="O441" s="8"/>
      <c r="P441" s="6">
        <v>14</v>
      </c>
      <c r="Q441" s="5">
        <v>46315</v>
      </c>
      <c r="R441" s="8"/>
      <c r="S441" s="8"/>
      <c r="T441" s="8"/>
      <c r="U441" s="8"/>
      <c r="V441" s="8"/>
      <c r="W441" s="8"/>
      <c r="X441" s="8"/>
      <c r="Y441" s="8"/>
    </row>
    <row r="442" spans="1:25" ht="50.1" customHeight="1" thickBot="1" x14ac:dyDescent="0.3">
      <c r="A442" s="4" t="s">
        <v>2350</v>
      </c>
      <c r="B442" s="880" t="s">
        <v>2351</v>
      </c>
      <c r="C442" s="5">
        <v>46294</v>
      </c>
      <c r="D442" s="6" t="s">
        <v>19</v>
      </c>
      <c r="E442" s="6" t="s">
        <v>460</v>
      </c>
      <c r="F442" s="7" t="s">
        <v>464</v>
      </c>
      <c r="G442" s="6" t="s">
        <v>22</v>
      </c>
      <c r="H442" s="6">
        <v>316</v>
      </c>
      <c r="I442" s="6" t="s">
        <v>23</v>
      </c>
      <c r="J442" s="6" t="s">
        <v>2352</v>
      </c>
      <c r="K442" s="8"/>
      <c r="L442" s="7" t="s">
        <v>2353</v>
      </c>
      <c r="M442" s="8"/>
      <c r="N442" s="8"/>
      <c r="O442" s="8"/>
      <c r="P442" s="6">
        <v>14</v>
      </c>
      <c r="Q442" s="5">
        <v>46315</v>
      </c>
      <c r="R442" s="8"/>
      <c r="S442" s="8"/>
      <c r="T442" s="8"/>
      <c r="U442" s="8"/>
      <c r="V442" s="8"/>
      <c r="W442" s="8"/>
      <c r="X442" s="8"/>
      <c r="Y442" s="8"/>
    </row>
    <row r="443" spans="1:25" ht="50.1" customHeight="1" thickBot="1" x14ac:dyDescent="0.3">
      <c r="A443" s="4" t="s">
        <v>2354</v>
      </c>
      <c r="B443" s="880" t="s">
        <v>2355</v>
      </c>
      <c r="C443" s="5">
        <v>46294</v>
      </c>
      <c r="D443" s="6" t="s">
        <v>28</v>
      </c>
      <c r="E443" s="6" t="s">
        <v>84</v>
      </c>
      <c r="F443" s="7" t="s">
        <v>2356</v>
      </c>
      <c r="G443" s="6" t="s">
        <v>30</v>
      </c>
      <c r="H443" s="6">
        <v>503</v>
      </c>
      <c r="I443" s="6" t="s">
        <v>31</v>
      </c>
      <c r="J443" s="6" t="s">
        <v>59</v>
      </c>
      <c r="K443" s="8"/>
      <c r="L443" s="7" t="s">
        <v>2357</v>
      </c>
      <c r="M443" s="8"/>
      <c r="N443" s="8"/>
      <c r="O443" s="8"/>
      <c r="P443" s="6">
        <v>14</v>
      </c>
      <c r="Q443" s="5">
        <v>46315</v>
      </c>
      <c r="R443" s="8"/>
      <c r="S443" s="8"/>
      <c r="T443" s="8"/>
      <c r="U443" s="8"/>
      <c r="V443" s="8"/>
      <c r="W443" s="8"/>
      <c r="X443" s="8"/>
      <c r="Y443" s="8"/>
    </row>
    <row r="444" spans="1:25" ht="50.1" customHeight="1" thickBot="1" x14ac:dyDescent="0.3">
      <c r="A444" s="4" t="s">
        <v>2358</v>
      </c>
      <c r="B444" s="880" t="s">
        <v>2359</v>
      </c>
      <c r="C444" s="5">
        <v>46294</v>
      </c>
      <c r="D444" s="6" t="s">
        <v>33</v>
      </c>
      <c r="E444" s="6" t="s">
        <v>29</v>
      </c>
      <c r="F444" s="7" t="s">
        <v>2360</v>
      </c>
      <c r="G444" s="6" t="s">
        <v>22</v>
      </c>
      <c r="H444" s="6">
        <v>308</v>
      </c>
      <c r="I444" s="6" t="s">
        <v>77</v>
      </c>
      <c r="J444" s="6" t="s">
        <v>282</v>
      </c>
      <c r="K444" s="8"/>
      <c r="L444" s="7" t="s">
        <v>615</v>
      </c>
      <c r="M444" s="8"/>
      <c r="N444" s="8"/>
      <c r="O444" s="8"/>
      <c r="P444" s="6">
        <v>14</v>
      </c>
      <c r="Q444" s="5">
        <v>46315</v>
      </c>
      <c r="R444" s="8"/>
      <c r="S444" s="8"/>
      <c r="T444" s="8"/>
      <c r="U444" s="8"/>
      <c r="V444" s="8"/>
      <c r="W444" s="8"/>
      <c r="X444" s="8"/>
      <c r="Y444" s="8"/>
    </row>
    <row r="445" spans="1:25" ht="50.1" customHeight="1" thickBot="1" x14ac:dyDescent="0.3">
      <c r="A445" s="4" t="s">
        <v>2358</v>
      </c>
      <c r="B445" s="880" t="s">
        <v>2361</v>
      </c>
      <c r="C445" s="5">
        <v>46294</v>
      </c>
      <c r="D445" s="6" t="s">
        <v>33</v>
      </c>
      <c r="E445" s="6" t="s">
        <v>29</v>
      </c>
      <c r="F445" s="7" t="s">
        <v>2362</v>
      </c>
      <c r="G445" s="6" t="s">
        <v>34</v>
      </c>
      <c r="H445" s="6">
        <v>102</v>
      </c>
      <c r="I445" s="6" t="s">
        <v>2333</v>
      </c>
      <c r="J445" s="6" t="s">
        <v>2334</v>
      </c>
      <c r="K445" s="8"/>
      <c r="L445" s="7" t="s">
        <v>2363</v>
      </c>
      <c r="M445" s="8"/>
      <c r="N445" s="8"/>
      <c r="O445" s="8"/>
      <c r="P445" s="6">
        <v>14</v>
      </c>
      <c r="Q445" s="5">
        <v>46315</v>
      </c>
      <c r="R445" s="8"/>
      <c r="S445" s="8"/>
      <c r="T445" s="8"/>
      <c r="U445" s="8"/>
      <c r="V445" s="8"/>
      <c r="W445" s="8"/>
      <c r="X445" s="8"/>
      <c r="Y445" s="8"/>
    </row>
    <row r="446" spans="1:25" ht="50.1" customHeight="1" thickBot="1" x14ac:dyDescent="0.3">
      <c r="A446" s="4" t="s">
        <v>2364</v>
      </c>
      <c r="B446" s="880" t="s">
        <v>2365</v>
      </c>
      <c r="C446" s="5">
        <v>46294</v>
      </c>
      <c r="D446" s="6" t="s">
        <v>19</v>
      </c>
      <c r="E446" s="6" t="s">
        <v>460</v>
      </c>
      <c r="F446" s="7" t="s">
        <v>614</v>
      </c>
      <c r="G446" s="6" t="s">
        <v>34</v>
      </c>
      <c r="H446" s="6">
        <v>127</v>
      </c>
      <c r="I446" s="6" t="s">
        <v>88</v>
      </c>
      <c r="J446" s="6" t="s">
        <v>71</v>
      </c>
      <c r="K446" s="8"/>
      <c r="L446" s="7" t="s">
        <v>2366</v>
      </c>
      <c r="M446" s="8"/>
      <c r="N446" s="8"/>
      <c r="O446" s="8"/>
      <c r="P446" s="6">
        <v>14</v>
      </c>
      <c r="Q446" s="5">
        <v>46315</v>
      </c>
      <c r="R446" s="8"/>
      <c r="S446" s="8"/>
      <c r="T446" s="8"/>
      <c r="U446" s="8"/>
      <c r="V446" s="8"/>
      <c r="W446" s="8"/>
      <c r="X446" s="8"/>
      <c r="Y446" s="8"/>
    </row>
    <row r="447" spans="1:25" ht="50.1" customHeight="1" thickBot="1" x14ac:dyDescent="0.3">
      <c r="A447" s="4" t="s">
        <v>2367</v>
      </c>
      <c r="B447" s="880" t="s">
        <v>2368</v>
      </c>
      <c r="C447" s="5">
        <v>46294</v>
      </c>
      <c r="D447" s="6" t="s">
        <v>19</v>
      </c>
      <c r="E447" s="6" t="s">
        <v>29</v>
      </c>
      <c r="F447" s="7" t="s">
        <v>2369</v>
      </c>
      <c r="G447" s="6" t="s">
        <v>34</v>
      </c>
      <c r="H447" s="6">
        <v>102</v>
      </c>
      <c r="I447" s="6" t="s">
        <v>2333</v>
      </c>
      <c r="J447" s="6" t="s">
        <v>2334</v>
      </c>
      <c r="K447" s="8"/>
      <c r="L447" s="7" t="s">
        <v>2370</v>
      </c>
      <c r="M447" s="8"/>
      <c r="N447" s="8"/>
      <c r="O447" s="8"/>
      <c r="P447" s="6">
        <v>14</v>
      </c>
      <c r="Q447" s="5">
        <v>46315</v>
      </c>
      <c r="R447" s="8"/>
      <c r="S447" s="8"/>
      <c r="T447" s="8"/>
      <c r="U447" s="8"/>
      <c r="V447" s="8"/>
      <c r="W447" s="8"/>
      <c r="X447" s="8"/>
      <c r="Y447" s="8"/>
    </row>
    <row r="448" spans="1:25" ht="50.1" customHeight="1" thickBot="1" x14ac:dyDescent="0.3">
      <c r="A448" s="4" t="s">
        <v>2371</v>
      </c>
      <c r="B448" s="880" t="s">
        <v>2372</v>
      </c>
      <c r="C448" s="5">
        <v>46294</v>
      </c>
      <c r="D448" s="6" t="s">
        <v>33</v>
      </c>
      <c r="E448" s="6" t="s">
        <v>29</v>
      </c>
      <c r="F448" s="7" t="s">
        <v>2373</v>
      </c>
      <c r="G448" s="6" t="s">
        <v>34</v>
      </c>
      <c r="H448" s="6">
        <v>114</v>
      </c>
      <c r="I448" s="6" t="s">
        <v>41</v>
      </c>
      <c r="J448" s="6" t="s">
        <v>42</v>
      </c>
      <c r="K448" s="8"/>
      <c r="L448" s="7" t="s">
        <v>2374</v>
      </c>
      <c r="M448" s="8"/>
      <c r="N448" s="8"/>
      <c r="O448" s="8"/>
      <c r="P448" s="6">
        <v>14</v>
      </c>
      <c r="Q448" s="5">
        <v>46315</v>
      </c>
      <c r="R448" s="8"/>
      <c r="S448" s="8"/>
      <c r="T448" s="8"/>
      <c r="U448" s="8"/>
      <c r="V448" s="8"/>
      <c r="W448" s="8"/>
      <c r="X448" s="8"/>
      <c r="Y448" s="8"/>
    </row>
    <row r="449" spans="1:25" ht="50.1" customHeight="1" thickBot="1" x14ac:dyDescent="0.3">
      <c r="A449" s="4" t="s">
        <v>2375</v>
      </c>
      <c r="B449" s="880" t="s">
        <v>2376</v>
      </c>
      <c r="C449" s="5">
        <v>46294</v>
      </c>
      <c r="D449" s="6" t="s">
        <v>19</v>
      </c>
      <c r="E449" s="6" t="s">
        <v>460</v>
      </c>
      <c r="F449" s="7" t="s">
        <v>495</v>
      </c>
      <c r="G449" s="6" t="s">
        <v>22</v>
      </c>
      <c r="H449" s="6">
        <v>316</v>
      </c>
      <c r="I449" s="6" t="s">
        <v>23</v>
      </c>
      <c r="J449" s="6" t="s">
        <v>414</v>
      </c>
      <c r="K449" s="8"/>
      <c r="L449" s="7" t="s">
        <v>503</v>
      </c>
      <c r="M449" s="8"/>
      <c r="N449" s="8"/>
      <c r="O449" s="8"/>
      <c r="P449" s="6">
        <v>14</v>
      </c>
      <c r="Q449" s="5">
        <v>46315</v>
      </c>
      <c r="R449" s="8"/>
      <c r="S449" s="8"/>
      <c r="T449" s="8"/>
      <c r="U449" s="8"/>
      <c r="V449" s="8"/>
      <c r="W449" s="8"/>
      <c r="X449" s="8"/>
      <c r="Y449" s="8"/>
    </row>
    <row r="450" spans="1:25" ht="50.1" customHeight="1" thickBot="1" x14ac:dyDescent="0.3">
      <c r="A450" s="4" t="s">
        <v>2377</v>
      </c>
      <c r="B450" s="880" t="s">
        <v>2378</v>
      </c>
      <c r="C450" s="5">
        <v>46294</v>
      </c>
      <c r="D450" s="6" t="s">
        <v>19</v>
      </c>
      <c r="E450" s="6" t="s">
        <v>460</v>
      </c>
      <c r="F450" s="7" t="s">
        <v>2379</v>
      </c>
      <c r="G450" s="6" t="s">
        <v>34</v>
      </c>
      <c r="H450" s="6">
        <v>102</v>
      </c>
      <c r="I450" s="6" t="s">
        <v>2333</v>
      </c>
      <c r="J450" s="6" t="s">
        <v>2334</v>
      </c>
      <c r="K450" s="8"/>
      <c r="L450" s="7" t="s">
        <v>2380</v>
      </c>
      <c r="M450" s="8"/>
      <c r="N450" s="8"/>
      <c r="O450" s="8"/>
      <c r="P450" s="6">
        <v>14</v>
      </c>
      <c r="Q450" s="5">
        <v>46315</v>
      </c>
      <c r="R450" s="8"/>
      <c r="S450" s="8"/>
      <c r="T450" s="8"/>
      <c r="U450" s="8"/>
      <c r="V450" s="8"/>
      <c r="W450" s="8"/>
      <c r="X450" s="8"/>
      <c r="Y450" s="8"/>
    </row>
    <row r="451" spans="1:25" ht="50.1" customHeight="1" thickBot="1" x14ac:dyDescent="0.3">
      <c r="A451" s="4" t="s">
        <v>2381</v>
      </c>
      <c r="B451" s="880" t="s">
        <v>2382</v>
      </c>
      <c r="C451" s="5">
        <v>46294</v>
      </c>
      <c r="D451" s="6" t="s">
        <v>33</v>
      </c>
      <c r="E451" s="6" t="s">
        <v>29</v>
      </c>
      <c r="F451" s="7" t="s">
        <v>2383</v>
      </c>
      <c r="G451" s="6" t="s">
        <v>34</v>
      </c>
      <c r="H451" s="6">
        <v>119</v>
      </c>
      <c r="I451" s="6" t="s">
        <v>51</v>
      </c>
      <c r="J451" s="6" t="s">
        <v>52</v>
      </c>
      <c r="K451" s="8"/>
      <c r="L451" s="7" t="s">
        <v>2384</v>
      </c>
      <c r="M451" s="8"/>
      <c r="N451" s="8"/>
      <c r="O451" s="8"/>
      <c r="P451" s="6">
        <v>14</v>
      </c>
      <c r="Q451" s="5">
        <v>46315</v>
      </c>
      <c r="R451" s="8"/>
      <c r="S451" s="8"/>
      <c r="T451" s="8"/>
      <c r="U451" s="8"/>
      <c r="V451" s="8"/>
      <c r="W451" s="8"/>
      <c r="X451" s="8"/>
      <c r="Y451" s="8"/>
    </row>
    <row r="452" spans="1:25" ht="50.1" customHeight="1" thickBot="1" x14ac:dyDescent="0.3">
      <c r="A452" s="4" t="s">
        <v>2385</v>
      </c>
      <c r="B452" s="880" t="s">
        <v>2386</v>
      </c>
      <c r="C452" s="5">
        <v>46294</v>
      </c>
      <c r="D452" s="6" t="s">
        <v>19</v>
      </c>
      <c r="E452" s="6" t="s">
        <v>29</v>
      </c>
      <c r="F452" s="7" t="s">
        <v>516</v>
      </c>
      <c r="G452" s="6" t="s">
        <v>30</v>
      </c>
      <c r="H452" s="6">
        <v>500</v>
      </c>
      <c r="I452" s="6" t="s">
        <v>49</v>
      </c>
      <c r="J452" s="6" t="s">
        <v>53</v>
      </c>
      <c r="K452" s="8"/>
      <c r="L452" s="7" t="s">
        <v>2387</v>
      </c>
      <c r="M452" s="8"/>
      <c r="N452" s="8"/>
      <c r="O452" s="8"/>
      <c r="P452" s="6">
        <v>14</v>
      </c>
      <c r="Q452" s="5">
        <v>46315</v>
      </c>
      <c r="R452" s="8"/>
      <c r="S452" s="8"/>
      <c r="T452" s="8"/>
      <c r="U452" s="8"/>
      <c r="V452" s="8"/>
      <c r="W452" s="8"/>
      <c r="X452" s="8"/>
      <c r="Y452" s="8"/>
    </row>
    <row r="453" spans="1:25" ht="50.1" customHeight="1" thickBot="1" x14ac:dyDescent="0.3">
      <c r="A453" s="4" t="s">
        <v>2388</v>
      </c>
      <c r="B453" s="880" t="s">
        <v>2389</v>
      </c>
      <c r="C453" s="5">
        <v>46294</v>
      </c>
      <c r="D453" s="6" t="s">
        <v>33</v>
      </c>
      <c r="E453" s="6" t="s">
        <v>29</v>
      </c>
      <c r="F453" s="7" t="s">
        <v>2390</v>
      </c>
      <c r="G453" s="6" t="s">
        <v>30</v>
      </c>
      <c r="H453" s="6">
        <v>502</v>
      </c>
      <c r="I453" s="6" t="s">
        <v>37</v>
      </c>
      <c r="J453" s="6" t="s">
        <v>38</v>
      </c>
      <c r="K453" s="8"/>
      <c r="L453" s="7" t="s">
        <v>2391</v>
      </c>
      <c r="M453" s="8"/>
      <c r="N453" s="8"/>
      <c r="O453" s="8"/>
      <c r="P453" s="6">
        <v>14</v>
      </c>
      <c r="Q453" s="5">
        <v>46315</v>
      </c>
      <c r="R453" s="8"/>
      <c r="S453" s="8"/>
      <c r="T453" s="8"/>
      <c r="U453" s="8"/>
      <c r="V453" s="8"/>
      <c r="W453" s="8"/>
      <c r="X453" s="8"/>
      <c r="Y453" s="8"/>
    </row>
    <row r="454" spans="1:25" ht="50.1" customHeight="1" thickBot="1" x14ac:dyDescent="0.3">
      <c r="A454" s="4" t="s">
        <v>2392</v>
      </c>
      <c r="B454" s="880" t="s">
        <v>2393</v>
      </c>
      <c r="C454" s="5">
        <v>46294</v>
      </c>
      <c r="D454" s="6" t="s">
        <v>33</v>
      </c>
      <c r="E454" s="6" t="s">
        <v>460</v>
      </c>
      <c r="F454" s="7" t="s">
        <v>2394</v>
      </c>
      <c r="G454" s="6" t="s">
        <v>30</v>
      </c>
      <c r="H454" s="6">
        <v>502</v>
      </c>
      <c r="I454" s="6" t="s">
        <v>37</v>
      </c>
      <c r="J454" s="6" t="s">
        <v>38</v>
      </c>
      <c r="K454" s="8"/>
      <c r="L454" s="7" t="s">
        <v>2395</v>
      </c>
      <c r="M454" s="8"/>
      <c r="N454" s="8"/>
      <c r="O454" s="8"/>
      <c r="P454" s="6">
        <v>14</v>
      </c>
      <c r="Q454" s="5">
        <v>46315</v>
      </c>
      <c r="R454" s="8"/>
      <c r="S454" s="8"/>
      <c r="T454" s="8"/>
      <c r="U454" s="8"/>
      <c r="V454" s="8"/>
      <c r="W454" s="8"/>
      <c r="X454" s="8"/>
      <c r="Y454" s="8"/>
    </row>
    <row r="455" spans="1:25" ht="50.1" customHeight="1" thickBot="1" x14ac:dyDescent="0.3">
      <c r="A455" s="4" t="s">
        <v>2396</v>
      </c>
      <c r="B455" s="880" t="s">
        <v>2397</v>
      </c>
      <c r="C455" s="5">
        <v>46294</v>
      </c>
      <c r="D455" s="6" t="s">
        <v>33</v>
      </c>
      <c r="E455" s="6" t="s">
        <v>63</v>
      </c>
      <c r="F455" s="7" t="s">
        <v>2398</v>
      </c>
      <c r="G455" s="6" t="s">
        <v>34</v>
      </c>
      <c r="H455" s="6">
        <v>102</v>
      </c>
      <c r="I455" s="6" t="s">
        <v>2333</v>
      </c>
      <c r="J455" s="6" t="s">
        <v>2334</v>
      </c>
      <c r="K455" s="8"/>
      <c r="L455" s="7" t="s">
        <v>627</v>
      </c>
      <c r="M455" s="8"/>
      <c r="N455" s="8"/>
      <c r="O455" s="6" t="s">
        <v>776</v>
      </c>
      <c r="P455" s="6">
        <v>14</v>
      </c>
      <c r="Q455" s="5">
        <v>46315</v>
      </c>
      <c r="R455" s="8"/>
      <c r="S455" s="8"/>
      <c r="T455" s="8"/>
      <c r="U455" s="8"/>
      <c r="V455" s="8"/>
      <c r="W455" s="8"/>
      <c r="X455" s="8"/>
      <c r="Y455" s="8"/>
    </row>
    <row r="456" spans="1:25" ht="50.1" customHeight="1" thickBot="1" x14ac:dyDescent="0.3">
      <c r="A456" s="4" t="s">
        <v>2399</v>
      </c>
      <c r="B456" s="880" t="s">
        <v>2400</v>
      </c>
      <c r="C456" s="5">
        <v>46294</v>
      </c>
      <c r="D456" s="6" t="s">
        <v>103</v>
      </c>
      <c r="E456" s="6" t="s">
        <v>39</v>
      </c>
      <c r="F456" s="7" t="s">
        <v>2401</v>
      </c>
      <c r="G456" s="6" t="s">
        <v>22</v>
      </c>
      <c r="H456" s="6">
        <v>503</v>
      </c>
      <c r="I456" s="6" t="s">
        <v>31</v>
      </c>
      <c r="J456" s="12" t="s">
        <v>93</v>
      </c>
      <c r="K456" s="8"/>
      <c r="L456" s="7" t="s">
        <v>635</v>
      </c>
      <c r="M456" s="8"/>
      <c r="N456" s="8"/>
      <c r="O456" s="8"/>
      <c r="P456" s="6">
        <v>14</v>
      </c>
      <c r="Q456" s="5">
        <v>46315</v>
      </c>
      <c r="R456" s="8"/>
      <c r="S456" s="8"/>
      <c r="T456" s="8"/>
      <c r="U456" s="8"/>
      <c r="V456" s="8"/>
      <c r="W456" s="8"/>
      <c r="X456" s="8"/>
      <c r="Y456" s="8"/>
    </row>
    <row r="457" spans="1:25" ht="50.1" customHeight="1" thickBot="1" x14ac:dyDescent="0.3">
      <c r="A457" s="678"/>
      <c r="B457" s="881" t="s">
        <v>2402</v>
      </c>
      <c r="C457" s="874">
        <v>46294</v>
      </c>
      <c r="D457" s="6" t="s">
        <v>103</v>
      </c>
      <c r="E457" s="6" t="s">
        <v>39</v>
      </c>
      <c r="F457" s="875" t="s">
        <v>2403</v>
      </c>
      <c r="G457" s="12" t="s">
        <v>22</v>
      </c>
      <c r="H457" s="12">
        <v>503</v>
      </c>
      <c r="I457" s="12" t="s">
        <v>31</v>
      </c>
      <c r="J457" s="12" t="s">
        <v>93</v>
      </c>
      <c r="K457" s="863"/>
      <c r="L457" s="875" t="s">
        <v>2404</v>
      </c>
      <c r="M457" s="863"/>
      <c r="N457" s="863"/>
      <c r="O457" s="863"/>
      <c r="P457" s="12">
        <v>14</v>
      </c>
      <c r="Q457" s="874">
        <v>46315</v>
      </c>
      <c r="R457" s="863"/>
      <c r="S457" s="863"/>
      <c r="T457" s="863"/>
      <c r="U457" s="863"/>
      <c r="V457" s="863"/>
      <c r="W457" s="863"/>
      <c r="X457" s="863"/>
      <c r="Y457" s="863"/>
    </row>
    <row r="458" spans="1:25" ht="50.1" customHeight="1" thickBot="1" x14ac:dyDescent="0.3">
      <c r="A458" s="13"/>
      <c r="B458" s="880" t="s">
        <v>2405</v>
      </c>
      <c r="C458" s="5">
        <v>46294</v>
      </c>
      <c r="D458" s="6" t="s">
        <v>103</v>
      </c>
      <c r="E458" s="6" t="s">
        <v>478</v>
      </c>
      <c r="F458" s="7" t="s">
        <v>2406</v>
      </c>
      <c r="G458" s="6" t="s">
        <v>30</v>
      </c>
      <c r="H458" s="6">
        <v>503</v>
      </c>
      <c r="I458" s="6" t="s">
        <v>31</v>
      </c>
      <c r="J458" s="8"/>
      <c r="K458" s="8"/>
      <c r="L458" s="7" t="s">
        <v>2407</v>
      </c>
      <c r="M458" s="8"/>
      <c r="N458" s="8"/>
      <c r="O458" s="8"/>
      <c r="P458" s="6">
        <v>14</v>
      </c>
      <c r="Q458" s="5">
        <v>46315</v>
      </c>
      <c r="R458" s="8"/>
      <c r="S458" s="8"/>
      <c r="T458" s="8"/>
      <c r="U458" s="8"/>
      <c r="V458" s="8"/>
      <c r="W458" s="8"/>
      <c r="X458" s="8"/>
      <c r="Y458" s="8"/>
    </row>
    <row r="459" spans="1:25" ht="50.1" customHeight="1" thickBot="1" x14ac:dyDescent="0.3">
      <c r="A459" s="4" t="s">
        <v>2399</v>
      </c>
      <c r="B459" s="880" t="s">
        <v>2408</v>
      </c>
      <c r="C459" s="5">
        <v>46294</v>
      </c>
      <c r="D459" s="6" t="s">
        <v>103</v>
      </c>
      <c r="E459" s="6" t="s">
        <v>39</v>
      </c>
      <c r="F459" s="7" t="s">
        <v>2409</v>
      </c>
      <c r="G459" s="6" t="s">
        <v>22</v>
      </c>
      <c r="H459" s="6">
        <v>503</v>
      </c>
      <c r="I459" s="6" t="s">
        <v>31</v>
      </c>
      <c r="J459" s="12" t="s">
        <v>93</v>
      </c>
      <c r="K459" s="8"/>
      <c r="L459" s="7" t="s">
        <v>2410</v>
      </c>
      <c r="M459" s="8"/>
      <c r="N459" s="8"/>
      <c r="O459" s="8"/>
      <c r="P459" s="6">
        <v>14</v>
      </c>
      <c r="Q459" s="5">
        <v>46315</v>
      </c>
      <c r="R459" s="8"/>
      <c r="S459" s="8"/>
      <c r="T459" s="8"/>
      <c r="U459" s="8"/>
      <c r="V459" s="8"/>
      <c r="W459" s="8"/>
      <c r="X459" s="8"/>
      <c r="Y459" s="8"/>
    </row>
    <row r="460" spans="1:25" ht="50.1" customHeight="1" thickBot="1" x14ac:dyDescent="0.3">
      <c r="A460" s="4" t="s">
        <v>2411</v>
      </c>
      <c r="B460" s="880" t="s">
        <v>2412</v>
      </c>
      <c r="C460" s="5">
        <v>46294</v>
      </c>
      <c r="D460" s="6" t="s">
        <v>103</v>
      </c>
      <c r="E460" s="6" t="s">
        <v>39</v>
      </c>
      <c r="F460" s="7" t="s">
        <v>2409</v>
      </c>
      <c r="G460" s="6" t="s">
        <v>22</v>
      </c>
      <c r="H460" s="6">
        <v>503</v>
      </c>
      <c r="I460" s="6" t="s">
        <v>31</v>
      </c>
      <c r="J460" s="12" t="s">
        <v>93</v>
      </c>
      <c r="K460" s="8"/>
      <c r="L460" s="7" t="s">
        <v>2413</v>
      </c>
      <c r="M460" s="8"/>
      <c r="N460" s="8"/>
      <c r="O460" s="8"/>
      <c r="P460" s="6">
        <v>14</v>
      </c>
      <c r="Q460" s="5">
        <v>46315</v>
      </c>
      <c r="R460" s="8"/>
      <c r="S460" s="8"/>
      <c r="T460" s="8"/>
      <c r="U460" s="8"/>
      <c r="V460" s="8"/>
      <c r="W460" s="8"/>
      <c r="X460" s="8"/>
      <c r="Y460" s="8"/>
    </row>
    <row r="461" spans="1:25" ht="50.1" customHeight="1" thickBot="1" x14ac:dyDescent="0.3">
      <c r="A461" s="4" t="s">
        <v>2414</v>
      </c>
      <c r="B461" s="880" t="s">
        <v>2415</v>
      </c>
      <c r="C461" s="882">
        <v>46295</v>
      </c>
      <c r="D461" s="6" t="s">
        <v>19</v>
      </c>
      <c r="E461" s="6" t="s">
        <v>460</v>
      </c>
      <c r="F461" s="7" t="s">
        <v>614</v>
      </c>
      <c r="G461" s="6" t="s">
        <v>34</v>
      </c>
      <c r="H461" s="6">
        <v>127</v>
      </c>
      <c r="I461" s="6" t="s">
        <v>88</v>
      </c>
      <c r="J461" s="6" t="s">
        <v>71</v>
      </c>
      <c r="K461" s="8"/>
      <c r="L461" s="7" t="s">
        <v>552</v>
      </c>
      <c r="M461" s="8"/>
      <c r="N461" s="8"/>
      <c r="O461" s="8"/>
      <c r="P461" s="6">
        <v>14</v>
      </c>
      <c r="Q461" s="5">
        <v>46315</v>
      </c>
      <c r="R461" s="8"/>
      <c r="S461" s="8"/>
      <c r="T461" s="8"/>
      <c r="U461" s="8"/>
      <c r="V461" s="8"/>
      <c r="W461" s="8"/>
      <c r="X461" s="8"/>
      <c r="Y461" s="8"/>
    </row>
    <row r="462" spans="1:25" ht="50.1" customHeight="1" thickBot="1" x14ac:dyDescent="0.3">
      <c r="A462" s="4" t="s">
        <v>2416</v>
      </c>
      <c r="B462" s="880" t="s">
        <v>2417</v>
      </c>
      <c r="C462" s="882">
        <v>46295</v>
      </c>
      <c r="D462" s="6" t="s">
        <v>19</v>
      </c>
      <c r="E462" s="6" t="s">
        <v>460</v>
      </c>
      <c r="F462" s="7" t="s">
        <v>464</v>
      </c>
      <c r="G462" s="6" t="s">
        <v>22</v>
      </c>
      <c r="H462" s="6">
        <v>316</v>
      </c>
      <c r="I462" s="6" t="s">
        <v>23</v>
      </c>
      <c r="J462" s="6" t="s">
        <v>2352</v>
      </c>
      <c r="K462" s="8"/>
      <c r="L462" s="7" t="s">
        <v>2418</v>
      </c>
      <c r="M462" s="8"/>
      <c r="N462" s="8"/>
      <c r="O462" s="8"/>
      <c r="P462" s="6">
        <v>14</v>
      </c>
      <c r="Q462" s="5">
        <v>46316</v>
      </c>
      <c r="R462" s="8"/>
      <c r="S462" s="8"/>
      <c r="T462" s="8"/>
      <c r="U462" s="8"/>
      <c r="V462" s="8"/>
      <c r="W462" s="8"/>
      <c r="X462" s="8"/>
      <c r="Y462" s="8"/>
    </row>
    <row r="463" spans="1:25" ht="50.1" customHeight="1" thickBot="1" x14ac:dyDescent="0.3">
      <c r="A463" s="4" t="s">
        <v>2419</v>
      </c>
      <c r="B463" s="880" t="s">
        <v>2420</v>
      </c>
      <c r="C463" s="882">
        <v>46295</v>
      </c>
      <c r="D463" s="6" t="s">
        <v>28</v>
      </c>
      <c r="E463" s="6" t="s">
        <v>39</v>
      </c>
      <c r="F463" s="7" t="s">
        <v>2421</v>
      </c>
      <c r="G463" s="6" t="s">
        <v>30</v>
      </c>
      <c r="H463" s="6">
        <v>503</v>
      </c>
      <c r="I463" s="6" t="s">
        <v>31</v>
      </c>
      <c r="J463" s="6" t="s">
        <v>59</v>
      </c>
      <c r="K463" s="8"/>
      <c r="L463" s="7" t="s">
        <v>2422</v>
      </c>
      <c r="M463" s="8"/>
      <c r="N463" s="8"/>
      <c r="O463" s="8"/>
      <c r="P463" s="6">
        <v>14</v>
      </c>
      <c r="Q463" s="5">
        <v>46316</v>
      </c>
      <c r="R463" s="8"/>
      <c r="S463" s="8"/>
      <c r="T463" s="8"/>
      <c r="U463" s="8"/>
      <c r="V463" s="8"/>
      <c r="W463" s="8"/>
      <c r="X463" s="8"/>
      <c r="Y463" s="8"/>
    </row>
    <row r="464" spans="1:25" ht="50.1" customHeight="1" thickBot="1" x14ac:dyDescent="0.3">
      <c r="A464" s="4" t="s">
        <v>2423</v>
      </c>
      <c r="B464" s="880" t="s">
        <v>2424</v>
      </c>
      <c r="C464" s="882">
        <v>46295</v>
      </c>
      <c r="D464" s="6" t="s">
        <v>28</v>
      </c>
      <c r="E464" s="6" t="s">
        <v>29</v>
      </c>
      <c r="F464" s="7" t="s">
        <v>2425</v>
      </c>
      <c r="G464" s="6" t="s">
        <v>34</v>
      </c>
      <c r="H464" s="6">
        <v>127</v>
      </c>
      <c r="I464" s="6" t="s">
        <v>88</v>
      </c>
      <c r="J464" s="6" t="s">
        <v>71</v>
      </c>
      <c r="K464" s="8"/>
      <c r="L464" s="7" t="s">
        <v>406</v>
      </c>
      <c r="M464" s="8"/>
      <c r="N464" s="8"/>
      <c r="O464" s="8"/>
      <c r="P464" s="6">
        <v>14</v>
      </c>
      <c r="Q464" s="5">
        <v>46316</v>
      </c>
      <c r="R464" s="8"/>
      <c r="S464" s="8"/>
      <c r="T464" s="8"/>
      <c r="U464" s="8"/>
      <c r="V464" s="8"/>
      <c r="W464" s="8"/>
      <c r="X464" s="8"/>
      <c r="Y464" s="8"/>
    </row>
    <row r="465" spans="1:25" ht="50.1" customHeight="1" thickBot="1" x14ac:dyDescent="0.3">
      <c r="A465" s="4" t="s">
        <v>2426</v>
      </c>
      <c r="B465" s="880" t="s">
        <v>2427</v>
      </c>
      <c r="C465" s="882">
        <v>46295</v>
      </c>
      <c r="D465" s="6" t="s">
        <v>33</v>
      </c>
      <c r="E465" s="6" t="s">
        <v>460</v>
      </c>
      <c r="F465" s="7" t="s">
        <v>2428</v>
      </c>
      <c r="G465" s="6" t="s">
        <v>22</v>
      </c>
      <c r="H465" s="6">
        <v>316</v>
      </c>
      <c r="I465" s="6" t="s">
        <v>23</v>
      </c>
      <c r="J465" s="6" t="s">
        <v>46</v>
      </c>
      <c r="K465" s="8"/>
      <c r="L465" s="7" t="s">
        <v>2429</v>
      </c>
      <c r="M465" s="8"/>
      <c r="N465" s="8"/>
      <c r="O465" s="8"/>
      <c r="P465" s="6">
        <v>14</v>
      </c>
      <c r="Q465" s="5">
        <v>46316</v>
      </c>
      <c r="R465" s="8"/>
      <c r="S465" s="8"/>
      <c r="T465" s="8"/>
      <c r="U465" s="8"/>
      <c r="V465" s="8"/>
      <c r="W465" s="8"/>
      <c r="X465" s="8"/>
      <c r="Y465" s="8"/>
    </row>
    <row r="466" spans="1:25" ht="50.1" customHeight="1" thickBot="1" x14ac:dyDescent="0.3">
      <c r="A466" s="4" t="s">
        <v>2430</v>
      </c>
      <c r="B466" s="880" t="s">
        <v>2431</v>
      </c>
      <c r="C466" s="882">
        <v>46295</v>
      </c>
      <c r="D466" s="6" t="s">
        <v>19</v>
      </c>
      <c r="E466" s="6" t="s">
        <v>29</v>
      </c>
      <c r="F466" s="7" t="s">
        <v>516</v>
      </c>
      <c r="G466" s="6" t="s">
        <v>30</v>
      </c>
      <c r="H466" s="6">
        <v>500</v>
      </c>
      <c r="I466" s="6" t="s">
        <v>49</v>
      </c>
      <c r="J466" s="6" t="s">
        <v>53</v>
      </c>
      <c r="K466" s="8"/>
      <c r="L466" s="7" t="s">
        <v>2432</v>
      </c>
      <c r="M466" s="8"/>
      <c r="N466" s="8"/>
      <c r="O466" s="8"/>
      <c r="P466" s="6">
        <v>14</v>
      </c>
      <c r="Q466" s="5">
        <v>46316</v>
      </c>
      <c r="R466" s="8"/>
      <c r="S466" s="8"/>
      <c r="T466" s="8"/>
      <c r="U466" s="8"/>
      <c r="V466" s="8"/>
      <c r="W466" s="8"/>
      <c r="X466" s="8"/>
      <c r="Y466" s="8"/>
    </row>
    <row r="467" spans="1:25" ht="50.1" customHeight="1" thickBot="1" x14ac:dyDescent="0.3">
      <c r="A467" s="4" t="s">
        <v>2433</v>
      </c>
      <c r="B467" s="880" t="s">
        <v>2434</v>
      </c>
      <c r="C467" s="882">
        <v>46295</v>
      </c>
      <c r="D467" s="6" t="s">
        <v>19</v>
      </c>
      <c r="E467" s="6" t="s">
        <v>29</v>
      </c>
      <c r="F467" s="7" t="s">
        <v>1979</v>
      </c>
      <c r="G467" s="6" t="s">
        <v>34</v>
      </c>
      <c r="H467" s="6">
        <v>122</v>
      </c>
      <c r="I467" s="6" t="s">
        <v>50</v>
      </c>
      <c r="J467" s="6" t="s">
        <v>285</v>
      </c>
      <c r="K467" s="8"/>
      <c r="L467" s="7" t="s">
        <v>2435</v>
      </c>
      <c r="M467" s="8"/>
      <c r="N467" s="8"/>
      <c r="O467" s="8"/>
      <c r="P467" s="6">
        <v>14</v>
      </c>
      <c r="Q467" s="5">
        <v>46316</v>
      </c>
      <c r="R467" s="8"/>
      <c r="S467" s="8"/>
      <c r="T467" s="8"/>
      <c r="U467" s="8"/>
      <c r="V467" s="8"/>
      <c r="W467" s="8"/>
      <c r="X467" s="8"/>
      <c r="Y467" s="8"/>
    </row>
    <row r="468" spans="1:25" ht="50.1" customHeight="1" thickBot="1" x14ac:dyDescent="0.3">
      <c r="A468" s="4" t="s">
        <v>2436</v>
      </c>
      <c r="B468" s="880" t="s">
        <v>2437</v>
      </c>
      <c r="C468" s="882">
        <v>46295</v>
      </c>
      <c r="D468" s="6" t="s">
        <v>103</v>
      </c>
      <c r="E468" s="6" t="s">
        <v>39</v>
      </c>
      <c r="F468" s="7" t="s">
        <v>2438</v>
      </c>
      <c r="G468" s="6" t="s">
        <v>30</v>
      </c>
      <c r="H468" s="6">
        <v>503</v>
      </c>
      <c r="I468" s="6" t="s">
        <v>31</v>
      </c>
      <c r="J468" s="6" t="s">
        <v>2334</v>
      </c>
      <c r="K468" s="8"/>
      <c r="L468" s="7" t="s">
        <v>637</v>
      </c>
      <c r="M468" s="8"/>
      <c r="N468" s="8"/>
      <c r="O468" s="8"/>
      <c r="P468" s="6">
        <v>14</v>
      </c>
      <c r="Q468" s="5">
        <v>46316</v>
      </c>
      <c r="R468" s="8"/>
      <c r="S468" s="8"/>
      <c r="T468" s="8"/>
      <c r="U468" s="8"/>
      <c r="V468" s="8"/>
      <c r="W468" s="8"/>
      <c r="X468" s="8"/>
      <c r="Y468" s="8"/>
    </row>
    <row r="469" spans="1:25" ht="50.1" customHeight="1" thickBot="1" x14ac:dyDescent="0.3">
      <c r="A469" s="4" t="s">
        <v>2439</v>
      </c>
      <c r="B469" s="880" t="s">
        <v>2440</v>
      </c>
      <c r="C469" s="882">
        <v>46295</v>
      </c>
      <c r="D469" s="6" t="s">
        <v>19</v>
      </c>
      <c r="E469" s="6" t="s">
        <v>29</v>
      </c>
      <c r="F469" s="7" t="s">
        <v>2441</v>
      </c>
      <c r="G469" s="6" t="s">
        <v>34</v>
      </c>
      <c r="H469" s="6">
        <v>102</v>
      </c>
      <c r="I469" s="6" t="s">
        <v>2333</v>
      </c>
      <c r="J469" s="6" t="s">
        <v>2334</v>
      </c>
      <c r="K469" s="8"/>
      <c r="L469" s="7" t="s">
        <v>639</v>
      </c>
      <c r="M469" s="8"/>
      <c r="N469" s="8"/>
      <c r="O469" s="8"/>
      <c r="P469" s="6">
        <v>14</v>
      </c>
      <c r="Q469" s="5">
        <v>46316</v>
      </c>
      <c r="R469" s="8"/>
      <c r="S469" s="8"/>
      <c r="T469" s="8"/>
      <c r="U469" s="8"/>
      <c r="V469" s="8"/>
      <c r="W469" s="8"/>
      <c r="X469" s="8"/>
      <c r="Y469" s="8"/>
    </row>
    <row r="470" spans="1:25" ht="50.1" customHeight="1" thickBot="1" x14ac:dyDescent="0.3">
      <c r="A470" s="4" t="s">
        <v>2442</v>
      </c>
      <c r="B470" s="880" t="s">
        <v>2443</v>
      </c>
      <c r="C470" s="882">
        <v>46295</v>
      </c>
      <c r="D470" s="6" t="s">
        <v>19</v>
      </c>
      <c r="E470" s="6" t="s">
        <v>460</v>
      </c>
      <c r="F470" s="7" t="s">
        <v>614</v>
      </c>
      <c r="G470" s="6" t="s">
        <v>34</v>
      </c>
      <c r="H470" s="6">
        <v>127</v>
      </c>
      <c r="I470" s="6" t="s">
        <v>88</v>
      </c>
      <c r="J470" s="6" t="s">
        <v>71</v>
      </c>
      <c r="K470" s="8"/>
      <c r="L470" s="7" t="s">
        <v>2444</v>
      </c>
      <c r="M470" s="8"/>
      <c r="N470" s="8"/>
      <c r="O470" s="8"/>
      <c r="P470" s="6">
        <v>14</v>
      </c>
      <c r="Q470" s="5">
        <v>46316</v>
      </c>
      <c r="R470" s="8"/>
      <c r="S470" s="8"/>
      <c r="T470" s="8"/>
      <c r="U470" s="8"/>
      <c r="V470" s="8"/>
      <c r="W470" s="8"/>
      <c r="X470" s="8"/>
      <c r="Y470" s="8"/>
    </row>
    <row r="471" spans="1:25" ht="50.1" customHeight="1" thickBot="1" x14ac:dyDescent="0.3">
      <c r="A471" s="4" t="s">
        <v>2445</v>
      </c>
      <c r="B471" s="880" t="s">
        <v>2446</v>
      </c>
      <c r="C471" s="882">
        <v>46295</v>
      </c>
      <c r="D471" s="6" t="s">
        <v>19</v>
      </c>
      <c r="E471" s="6" t="s">
        <v>29</v>
      </c>
      <c r="F471" s="7" t="s">
        <v>467</v>
      </c>
      <c r="G471" s="6" t="s">
        <v>22</v>
      </c>
      <c r="H471" s="6">
        <v>316</v>
      </c>
      <c r="I471" s="6" t="s">
        <v>23</v>
      </c>
      <c r="J471" s="6" t="s">
        <v>46</v>
      </c>
      <c r="K471" s="8"/>
      <c r="L471" s="7" t="s">
        <v>748</v>
      </c>
      <c r="M471" s="8"/>
      <c r="N471" s="8"/>
      <c r="O471" s="8"/>
      <c r="P471" s="6">
        <v>14</v>
      </c>
      <c r="Q471" s="5">
        <v>46316</v>
      </c>
      <c r="R471" s="8"/>
      <c r="S471" s="8"/>
      <c r="T471" s="8"/>
      <c r="U471" s="8"/>
      <c r="V471" s="8"/>
      <c r="W471" s="8"/>
      <c r="X471" s="8"/>
      <c r="Y471" s="8"/>
    </row>
    <row r="472" spans="1:25" ht="50.1" customHeight="1" thickBot="1" x14ac:dyDescent="0.3">
      <c r="A472" s="4" t="s">
        <v>2426</v>
      </c>
      <c r="B472" s="880" t="s">
        <v>2447</v>
      </c>
      <c r="C472" s="882">
        <v>46295</v>
      </c>
      <c r="D472" s="6" t="s">
        <v>33</v>
      </c>
      <c r="E472" s="6" t="s">
        <v>29</v>
      </c>
      <c r="F472" s="7" t="s">
        <v>2448</v>
      </c>
      <c r="G472" s="6" t="s">
        <v>30</v>
      </c>
      <c r="H472" s="6">
        <v>503</v>
      </c>
      <c r="I472" s="6" t="s">
        <v>31</v>
      </c>
      <c r="J472" s="6" t="s">
        <v>32</v>
      </c>
      <c r="K472" s="8"/>
      <c r="L472" s="7" t="s">
        <v>619</v>
      </c>
      <c r="M472" s="8"/>
      <c r="N472" s="8"/>
      <c r="O472" s="8"/>
      <c r="P472" s="6">
        <v>14</v>
      </c>
      <c r="Q472" s="5">
        <v>46316</v>
      </c>
      <c r="R472" s="8"/>
      <c r="S472" s="8"/>
      <c r="T472" s="8"/>
      <c r="U472" s="8"/>
      <c r="V472" s="8"/>
      <c r="W472" s="8"/>
      <c r="X472" s="8"/>
      <c r="Y472" s="8"/>
    </row>
    <row r="473" spans="1:25" ht="50.1" customHeight="1" thickBot="1" x14ac:dyDescent="0.3">
      <c r="A473" s="4" t="s">
        <v>2449</v>
      </c>
      <c r="B473" s="880" t="s">
        <v>2450</v>
      </c>
      <c r="C473" s="882">
        <v>46295</v>
      </c>
      <c r="D473" s="6" t="s">
        <v>19</v>
      </c>
      <c r="E473" s="6" t="s">
        <v>39</v>
      </c>
      <c r="F473" s="7" t="s">
        <v>553</v>
      </c>
      <c r="G473" s="6" t="s">
        <v>34</v>
      </c>
      <c r="H473" s="6">
        <v>114</v>
      </c>
      <c r="I473" s="6" t="s">
        <v>41</v>
      </c>
      <c r="J473" s="6" t="s">
        <v>42</v>
      </c>
      <c r="K473" s="8"/>
      <c r="L473" s="7" t="s">
        <v>2451</v>
      </c>
      <c r="M473" s="8"/>
      <c r="N473" s="8"/>
      <c r="O473" s="8"/>
      <c r="P473" s="6">
        <v>14</v>
      </c>
      <c r="Q473" s="5">
        <v>46316</v>
      </c>
      <c r="R473" s="8"/>
      <c r="S473" s="8"/>
      <c r="T473" s="8"/>
      <c r="U473" s="8"/>
      <c r="V473" s="8"/>
      <c r="W473" s="8"/>
      <c r="X473" s="8"/>
      <c r="Y473" s="8"/>
    </row>
    <row r="474" spans="1:25" ht="50.1" customHeight="1" thickBot="1" x14ac:dyDescent="0.3">
      <c r="A474" s="4" t="s">
        <v>2452</v>
      </c>
      <c r="B474" s="880" t="s">
        <v>2453</v>
      </c>
      <c r="C474" s="882">
        <v>46295</v>
      </c>
      <c r="D474" s="6" t="s">
        <v>103</v>
      </c>
      <c r="E474" s="6" t="s">
        <v>460</v>
      </c>
      <c r="F474" s="7" t="s">
        <v>2454</v>
      </c>
      <c r="G474" s="6" t="s">
        <v>34</v>
      </c>
      <c r="H474" s="6">
        <v>102</v>
      </c>
      <c r="I474" s="6" t="s">
        <v>2333</v>
      </c>
      <c r="J474" s="6" t="s">
        <v>2334</v>
      </c>
      <c r="K474" s="8"/>
      <c r="L474" s="7" t="s">
        <v>2151</v>
      </c>
      <c r="M474" s="8"/>
      <c r="N474" s="8"/>
      <c r="O474" s="8"/>
      <c r="P474" s="6">
        <v>14</v>
      </c>
      <c r="Q474" s="5">
        <v>46316</v>
      </c>
      <c r="R474" s="8"/>
      <c r="S474" s="8"/>
      <c r="T474" s="8"/>
      <c r="U474" s="8"/>
      <c r="V474" s="8"/>
      <c r="W474" s="8"/>
      <c r="X474" s="8"/>
      <c r="Y474" s="8"/>
    </row>
    <row r="475" spans="1:25" ht="50.1" customHeight="1" thickBot="1" x14ac:dyDescent="0.3">
      <c r="A475" s="4" t="s">
        <v>2455</v>
      </c>
      <c r="B475" s="880" t="s">
        <v>2456</v>
      </c>
      <c r="C475" s="882">
        <v>46295</v>
      </c>
      <c r="D475" s="6" t="s">
        <v>33</v>
      </c>
      <c r="E475" s="6" t="s">
        <v>460</v>
      </c>
      <c r="F475" s="7" t="s">
        <v>2457</v>
      </c>
      <c r="G475" s="6" t="s">
        <v>34</v>
      </c>
      <c r="H475" s="6">
        <v>127</v>
      </c>
      <c r="I475" s="6" t="s">
        <v>88</v>
      </c>
      <c r="J475" s="6" t="s">
        <v>71</v>
      </c>
      <c r="K475" s="8"/>
      <c r="L475" s="7" t="s">
        <v>619</v>
      </c>
      <c r="M475" s="8"/>
      <c r="N475" s="8"/>
      <c r="O475" s="8"/>
      <c r="P475" s="6">
        <v>14</v>
      </c>
      <c r="Q475" s="5">
        <v>46316</v>
      </c>
      <c r="R475" s="8"/>
      <c r="S475" s="8"/>
      <c r="T475" s="8"/>
      <c r="U475" s="8"/>
      <c r="V475" s="8"/>
      <c r="W475" s="8"/>
      <c r="X475" s="8"/>
      <c r="Y475" s="8"/>
    </row>
    <row r="476" spans="1:25" ht="50.1" customHeight="1" thickBot="1" x14ac:dyDescent="0.3">
      <c r="A476" s="4" t="s">
        <v>2458</v>
      </c>
      <c r="B476" s="880" t="s">
        <v>2459</v>
      </c>
      <c r="C476" s="882">
        <v>46295</v>
      </c>
      <c r="D476" s="6" t="s">
        <v>28</v>
      </c>
      <c r="E476" s="6" t="s">
        <v>29</v>
      </c>
      <c r="F476" s="7" t="s">
        <v>2460</v>
      </c>
      <c r="G476" s="6" t="s">
        <v>22</v>
      </c>
      <c r="H476" s="6">
        <v>503</v>
      </c>
      <c r="I476" s="6" t="s">
        <v>31</v>
      </c>
      <c r="J476" s="6" t="s">
        <v>2461</v>
      </c>
      <c r="K476" s="8"/>
      <c r="L476" s="7" t="s">
        <v>618</v>
      </c>
      <c r="M476" s="8"/>
      <c r="N476" s="8"/>
      <c r="O476" s="8"/>
      <c r="P476" s="6">
        <v>14</v>
      </c>
      <c r="Q476" s="5">
        <v>46316</v>
      </c>
      <c r="R476" s="8"/>
      <c r="S476" s="8"/>
      <c r="T476" s="8"/>
      <c r="U476" s="8"/>
      <c r="V476" s="8"/>
      <c r="W476" s="8"/>
      <c r="X476" s="8"/>
      <c r="Y476" s="8"/>
    </row>
    <row r="477" spans="1:25" ht="50.1" customHeight="1" thickBot="1" x14ac:dyDescent="0.3">
      <c r="A477" s="4" t="s">
        <v>2462</v>
      </c>
      <c r="B477" s="880" t="s">
        <v>2463</v>
      </c>
      <c r="C477" s="882">
        <v>46295</v>
      </c>
      <c r="D477" s="6" t="s">
        <v>103</v>
      </c>
      <c r="E477" s="6" t="s">
        <v>39</v>
      </c>
      <c r="F477" s="7" t="s">
        <v>2464</v>
      </c>
      <c r="G477" s="6" t="s">
        <v>22</v>
      </c>
      <c r="H477" s="6">
        <v>503</v>
      </c>
      <c r="I477" s="6" t="s">
        <v>31</v>
      </c>
      <c r="J477" s="12" t="s">
        <v>93</v>
      </c>
      <c r="K477" s="8"/>
      <c r="L477" s="7" t="s">
        <v>2465</v>
      </c>
      <c r="M477" s="8"/>
      <c r="N477" s="8"/>
      <c r="O477" s="8"/>
      <c r="P477" s="6">
        <v>14</v>
      </c>
      <c r="Q477" s="5">
        <v>46316</v>
      </c>
      <c r="R477" s="8"/>
      <c r="S477" s="8"/>
      <c r="T477" s="8"/>
      <c r="U477" s="8"/>
      <c r="V477" s="8"/>
      <c r="W477" s="8"/>
      <c r="X477" s="8"/>
      <c r="Y477" s="8"/>
    </row>
    <row r="478" spans="1:25" ht="50.1" customHeight="1" thickBot="1" x14ac:dyDescent="0.3">
      <c r="A478" s="4" t="s">
        <v>2466</v>
      </c>
      <c r="B478" s="880" t="s">
        <v>2467</v>
      </c>
      <c r="C478" s="882">
        <v>46295</v>
      </c>
      <c r="D478" s="6" t="s">
        <v>33</v>
      </c>
      <c r="E478" s="6" t="s">
        <v>460</v>
      </c>
      <c r="F478" s="7" t="s">
        <v>2468</v>
      </c>
      <c r="G478" s="6" t="s">
        <v>30</v>
      </c>
      <c r="H478" s="6">
        <v>502</v>
      </c>
      <c r="I478" s="6" t="s">
        <v>37</v>
      </c>
      <c r="J478" s="6" t="s">
        <v>289</v>
      </c>
      <c r="K478" s="8"/>
      <c r="L478" s="7" t="s">
        <v>2469</v>
      </c>
      <c r="M478" s="8"/>
      <c r="N478" s="8"/>
      <c r="O478" s="8"/>
      <c r="P478" s="6">
        <v>14</v>
      </c>
      <c r="Q478" s="5">
        <v>46316</v>
      </c>
      <c r="R478" s="8"/>
      <c r="S478" s="8"/>
      <c r="T478" s="8"/>
      <c r="U478" s="8"/>
      <c r="V478" s="8"/>
      <c r="W478" s="8"/>
      <c r="X478" s="8"/>
      <c r="Y478" s="8"/>
    </row>
    <row r="479" spans="1:25" ht="50.1" customHeight="1" thickBot="1" x14ac:dyDescent="0.3">
      <c r="A479" s="4" t="s">
        <v>2470</v>
      </c>
      <c r="B479" s="880" t="s">
        <v>2471</v>
      </c>
      <c r="C479" s="882">
        <v>46295</v>
      </c>
      <c r="D479" s="6" t="s">
        <v>103</v>
      </c>
      <c r="E479" s="6" t="s">
        <v>39</v>
      </c>
      <c r="F479" s="7" t="s">
        <v>2472</v>
      </c>
      <c r="G479" s="6" t="s">
        <v>22</v>
      </c>
      <c r="H479" s="6">
        <v>503</v>
      </c>
      <c r="I479" s="6" t="s">
        <v>31</v>
      </c>
      <c r="J479" s="12" t="s">
        <v>93</v>
      </c>
      <c r="K479" s="8"/>
      <c r="L479" s="7" t="s">
        <v>2473</v>
      </c>
      <c r="M479" s="8"/>
      <c r="N479" s="8"/>
      <c r="O479" s="8"/>
      <c r="P479" s="6">
        <v>14</v>
      </c>
      <c r="Q479" s="5">
        <v>46316</v>
      </c>
      <c r="R479" s="8"/>
      <c r="S479" s="8"/>
      <c r="T479" s="8"/>
      <c r="U479" s="8"/>
      <c r="V479" s="8"/>
      <c r="W479" s="8"/>
      <c r="X479" s="8"/>
      <c r="Y479" s="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D0E2-4E98-405C-A1E5-00822B8444CF}">
  <dimension ref="A3:A166"/>
  <sheetViews>
    <sheetView tabSelected="1" workbookViewId="0">
      <selection activeCell="A3" sqref="A3"/>
    </sheetView>
  </sheetViews>
  <sheetFormatPr baseColWidth="10" defaultRowHeight="15" x14ac:dyDescent="0.25"/>
  <cols>
    <col min="1" max="1" width="63.42578125" bestFit="1" customWidth="1"/>
  </cols>
  <sheetData>
    <row r="3" spans="1:1" x14ac:dyDescent="0.25">
      <c r="A3" s="648" t="s">
        <v>104</v>
      </c>
    </row>
    <row r="4" spans="1:1" x14ac:dyDescent="0.25">
      <c r="A4" s="16" t="s">
        <v>30</v>
      </c>
    </row>
    <row r="5" spans="1:1" x14ac:dyDescent="0.25">
      <c r="A5" s="897" t="s">
        <v>29</v>
      </c>
    </row>
    <row r="6" spans="1:1" x14ac:dyDescent="0.25">
      <c r="A6" s="898" t="s">
        <v>1177</v>
      </c>
    </row>
    <row r="7" spans="1:1" x14ac:dyDescent="0.25">
      <c r="A7" s="898" t="s">
        <v>53</v>
      </c>
    </row>
    <row r="8" spans="1:1" x14ac:dyDescent="0.25">
      <c r="A8" s="898" t="s">
        <v>38</v>
      </c>
    </row>
    <row r="9" spans="1:1" x14ac:dyDescent="0.25">
      <c r="A9" s="898" t="s">
        <v>59</v>
      </c>
    </row>
    <row r="10" spans="1:1" x14ac:dyDescent="0.25">
      <c r="A10" s="898" t="s">
        <v>32</v>
      </c>
    </row>
    <row r="11" spans="1:1" x14ac:dyDescent="0.25">
      <c r="A11" s="898" t="s">
        <v>1582</v>
      </c>
    </row>
    <row r="12" spans="1:1" x14ac:dyDescent="0.25">
      <c r="A12" s="898" t="s">
        <v>68</v>
      </c>
    </row>
    <row r="13" spans="1:1" x14ac:dyDescent="0.25">
      <c r="A13" s="898" t="s">
        <v>81</v>
      </c>
    </row>
    <row r="14" spans="1:1" x14ac:dyDescent="0.25">
      <c r="A14" s="897" t="s">
        <v>460</v>
      </c>
    </row>
    <row r="15" spans="1:1" x14ac:dyDescent="0.25">
      <c r="A15" s="898" t="s">
        <v>38</v>
      </c>
    </row>
    <row r="16" spans="1:1" x14ac:dyDescent="0.25">
      <c r="A16" s="898" t="s">
        <v>59</v>
      </c>
    </row>
    <row r="17" spans="1:1" x14ac:dyDescent="0.25">
      <c r="A17" s="898" t="s">
        <v>95</v>
      </c>
    </row>
    <row r="18" spans="1:1" x14ac:dyDescent="0.25">
      <c r="A18" s="898" t="s">
        <v>289</v>
      </c>
    </row>
    <row r="19" spans="1:1" x14ac:dyDescent="0.25">
      <c r="A19" s="898" t="s">
        <v>46</v>
      </c>
    </row>
    <row r="20" spans="1:1" x14ac:dyDescent="0.25">
      <c r="A20" s="898" t="s">
        <v>93</v>
      </c>
    </row>
    <row r="21" spans="1:1" x14ac:dyDescent="0.25">
      <c r="A21" s="898" t="s">
        <v>1778</v>
      </c>
    </row>
    <row r="22" spans="1:1" x14ac:dyDescent="0.25">
      <c r="A22" s="898" t="s">
        <v>520</v>
      </c>
    </row>
    <row r="23" spans="1:1" x14ac:dyDescent="0.25">
      <c r="A23" s="898" t="s">
        <v>81</v>
      </c>
    </row>
    <row r="24" spans="1:1" x14ac:dyDescent="0.25">
      <c r="A24" s="898" t="s">
        <v>2295</v>
      </c>
    </row>
    <row r="25" spans="1:1" x14ac:dyDescent="0.25">
      <c r="A25" s="897" t="s">
        <v>478</v>
      </c>
    </row>
    <row r="26" spans="1:1" x14ac:dyDescent="0.25">
      <c r="A26" s="898" t="s">
        <v>2480</v>
      </c>
    </row>
    <row r="27" spans="1:1" x14ac:dyDescent="0.25">
      <c r="A27" s="897" t="s">
        <v>20</v>
      </c>
    </row>
    <row r="28" spans="1:1" x14ac:dyDescent="0.25">
      <c r="A28" s="898" t="s">
        <v>46</v>
      </c>
    </row>
    <row r="29" spans="1:1" x14ac:dyDescent="0.25">
      <c r="A29" s="898" t="s">
        <v>463</v>
      </c>
    </row>
    <row r="30" spans="1:1" x14ac:dyDescent="0.25">
      <c r="A30" s="898" t="s">
        <v>93</v>
      </c>
    </row>
    <row r="31" spans="1:1" x14ac:dyDescent="0.25">
      <c r="A31" s="897" t="s">
        <v>61</v>
      </c>
    </row>
    <row r="32" spans="1:1" x14ac:dyDescent="0.25">
      <c r="A32" s="898" t="s">
        <v>59</v>
      </c>
    </row>
    <row r="33" spans="1:1" x14ac:dyDescent="0.25">
      <c r="A33" s="898" t="s">
        <v>81</v>
      </c>
    </row>
    <row r="34" spans="1:1" x14ac:dyDescent="0.25">
      <c r="A34" s="898" t="s">
        <v>173</v>
      </c>
    </row>
    <row r="35" spans="1:1" x14ac:dyDescent="0.25">
      <c r="A35" s="897" t="s">
        <v>63</v>
      </c>
    </row>
    <row r="36" spans="1:1" x14ac:dyDescent="0.25">
      <c r="A36" s="898" t="s">
        <v>38</v>
      </c>
    </row>
    <row r="37" spans="1:1" x14ac:dyDescent="0.25">
      <c r="A37" s="898" t="s">
        <v>75</v>
      </c>
    </row>
    <row r="38" spans="1:1" x14ac:dyDescent="0.25">
      <c r="A38" s="897" t="s">
        <v>39</v>
      </c>
    </row>
    <row r="39" spans="1:1" x14ac:dyDescent="0.25">
      <c r="A39" s="898" t="s">
        <v>1740</v>
      </c>
    </row>
    <row r="40" spans="1:1" x14ac:dyDescent="0.25">
      <c r="A40" s="898" t="s">
        <v>512</v>
      </c>
    </row>
    <row r="41" spans="1:1" x14ac:dyDescent="0.25">
      <c r="A41" s="898" t="s">
        <v>1025</v>
      </c>
    </row>
    <row r="42" spans="1:1" x14ac:dyDescent="0.25">
      <c r="A42" s="898" t="s">
        <v>60</v>
      </c>
    </row>
    <row r="43" spans="1:1" x14ac:dyDescent="0.25">
      <c r="A43" s="898" t="s">
        <v>59</v>
      </c>
    </row>
    <row r="44" spans="1:1" x14ac:dyDescent="0.25">
      <c r="A44" s="898" t="s">
        <v>1984</v>
      </c>
    </row>
    <row r="45" spans="1:1" x14ac:dyDescent="0.25">
      <c r="A45" s="898" t="s">
        <v>2334</v>
      </c>
    </row>
    <row r="46" spans="1:1" x14ac:dyDescent="0.25">
      <c r="A46" s="898" t="s">
        <v>85</v>
      </c>
    </row>
    <row r="47" spans="1:1" x14ac:dyDescent="0.25">
      <c r="A47" s="898" t="s">
        <v>476</v>
      </c>
    </row>
    <row r="48" spans="1:1" x14ac:dyDescent="0.25">
      <c r="A48" s="898" t="s">
        <v>1768</v>
      </c>
    </row>
    <row r="49" spans="1:1" x14ac:dyDescent="0.25">
      <c r="A49" s="898" t="s">
        <v>93</v>
      </c>
    </row>
    <row r="50" spans="1:1" x14ac:dyDescent="0.25">
      <c r="A50" s="897" t="s">
        <v>84</v>
      </c>
    </row>
    <row r="51" spans="1:1" x14ac:dyDescent="0.25">
      <c r="A51" s="898" t="s">
        <v>1426</v>
      </c>
    </row>
    <row r="52" spans="1:1" x14ac:dyDescent="0.25">
      <c r="A52" s="898" t="s">
        <v>59</v>
      </c>
    </row>
    <row r="53" spans="1:1" x14ac:dyDescent="0.25">
      <c r="A53" s="897" t="s">
        <v>67</v>
      </c>
    </row>
    <row r="54" spans="1:1" x14ac:dyDescent="0.25">
      <c r="A54" s="898" t="s">
        <v>287</v>
      </c>
    </row>
    <row r="55" spans="1:1" x14ac:dyDescent="0.25">
      <c r="A55" s="898" t="s">
        <v>1328</v>
      </c>
    </row>
    <row r="56" spans="1:1" x14ac:dyDescent="0.25">
      <c r="A56" s="898" t="s">
        <v>607</v>
      </c>
    </row>
    <row r="57" spans="1:1" x14ac:dyDescent="0.25">
      <c r="A57" s="898" t="s">
        <v>101</v>
      </c>
    </row>
    <row r="58" spans="1:1" x14ac:dyDescent="0.25">
      <c r="A58" s="898" t="s">
        <v>494</v>
      </c>
    </row>
    <row r="59" spans="1:1" x14ac:dyDescent="0.25">
      <c r="A59" s="898" t="s">
        <v>81</v>
      </c>
    </row>
    <row r="60" spans="1:1" x14ac:dyDescent="0.25">
      <c r="A60" s="897" t="s">
        <v>584</v>
      </c>
    </row>
    <row r="61" spans="1:1" x14ac:dyDescent="0.25">
      <c r="A61" s="898" t="s">
        <v>580</v>
      </c>
    </row>
    <row r="62" spans="1:1" x14ac:dyDescent="0.25">
      <c r="A62" s="897" t="s">
        <v>19</v>
      </c>
    </row>
    <row r="63" spans="1:1" x14ac:dyDescent="0.25">
      <c r="A63" s="898" t="s">
        <v>38</v>
      </c>
    </row>
    <row r="64" spans="1:1" x14ac:dyDescent="0.25">
      <c r="A64" s="16" t="s">
        <v>1206</v>
      </c>
    </row>
    <row r="65" spans="1:1" x14ac:dyDescent="0.25">
      <c r="A65" s="897" t="s">
        <v>67</v>
      </c>
    </row>
    <row r="66" spans="1:1" x14ac:dyDescent="0.25">
      <c r="A66" s="898" t="s">
        <v>1206</v>
      </c>
    </row>
    <row r="67" spans="1:1" x14ac:dyDescent="0.25">
      <c r="A67" s="16" t="s">
        <v>22</v>
      </c>
    </row>
    <row r="68" spans="1:1" x14ac:dyDescent="0.25">
      <c r="A68" s="897" t="s">
        <v>29</v>
      </c>
    </row>
    <row r="69" spans="1:1" x14ac:dyDescent="0.25">
      <c r="A69" s="898" t="s">
        <v>282</v>
      </c>
    </row>
    <row r="70" spans="1:1" x14ac:dyDescent="0.25">
      <c r="A70" s="898" t="s">
        <v>46</v>
      </c>
    </row>
    <row r="71" spans="1:1" x14ac:dyDescent="0.25">
      <c r="A71" s="898" t="s">
        <v>2166</v>
      </c>
    </row>
    <row r="72" spans="1:1" x14ac:dyDescent="0.25">
      <c r="A72" s="898" t="s">
        <v>2461</v>
      </c>
    </row>
    <row r="73" spans="1:1" x14ac:dyDescent="0.25">
      <c r="A73" s="897" t="s">
        <v>460</v>
      </c>
    </row>
    <row r="74" spans="1:1" x14ac:dyDescent="0.25">
      <c r="A74" s="898" t="s">
        <v>78</v>
      </c>
    </row>
    <row r="75" spans="1:1" x14ac:dyDescent="0.25">
      <c r="A75" s="898" t="s">
        <v>24</v>
      </c>
    </row>
    <row r="76" spans="1:1" x14ac:dyDescent="0.25">
      <c r="A76" s="898" t="s">
        <v>496</v>
      </c>
    </row>
    <row r="77" spans="1:1" x14ac:dyDescent="0.25">
      <c r="A77" s="898" t="s">
        <v>57</v>
      </c>
    </row>
    <row r="78" spans="1:1" x14ac:dyDescent="0.25">
      <c r="A78" s="898" t="s">
        <v>46</v>
      </c>
    </row>
    <row r="79" spans="1:1" x14ac:dyDescent="0.25">
      <c r="A79" s="898" t="s">
        <v>1382</v>
      </c>
    </row>
    <row r="80" spans="1:1" x14ac:dyDescent="0.25">
      <c r="A80" s="898" t="s">
        <v>167</v>
      </c>
    </row>
    <row r="81" spans="1:1" x14ac:dyDescent="0.25">
      <c r="A81" s="898" t="s">
        <v>414</v>
      </c>
    </row>
    <row r="82" spans="1:1" x14ac:dyDescent="0.25">
      <c r="A82" s="898" t="s">
        <v>54</v>
      </c>
    </row>
    <row r="83" spans="1:1" x14ac:dyDescent="0.25">
      <c r="A83" s="898" t="s">
        <v>169</v>
      </c>
    </row>
    <row r="84" spans="1:1" x14ac:dyDescent="0.25">
      <c r="A84" s="898" t="s">
        <v>56</v>
      </c>
    </row>
    <row r="85" spans="1:1" x14ac:dyDescent="0.25">
      <c r="A85" s="898" t="s">
        <v>173</v>
      </c>
    </row>
    <row r="86" spans="1:1" x14ac:dyDescent="0.25">
      <c r="A86" s="897" t="s">
        <v>20</v>
      </c>
    </row>
    <row r="87" spans="1:1" x14ac:dyDescent="0.25">
      <c r="A87" s="898" t="s">
        <v>24</v>
      </c>
    </row>
    <row r="88" spans="1:1" x14ac:dyDescent="0.25">
      <c r="A88" s="898" t="s">
        <v>80</v>
      </c>
    </row>
    <row r="89" spans="1:1" x14ac:dyDescent="0.25">
      <c r="A89" s="898" t="s">
        <v>44</v>
      </c>
    </row>
    <row r="90" spans="1:1" x14ac:dyDescent="0.25">
      <c r="A90" s="898" t="s">
        <v>46</v>
      </c>
    </row>
    <row r="91" spans="1:1" x14ac:dyDescent="0.25">
      <c r="A91" s="898" t="s">
        <v>1030</v>
      </c>
    </row>
    <row r="92" spans="1:1" x14ac:dyDescent="0.25">
      <c r="A92" s="898" t="s">
        <v>169</v>
      </c>
    </row>
    <row r="93" spans="1:1" x14ac:dyDescent="0.25">
      <c r="A93" s="898" t="s">
        <v>173</v>
      </c>
    </row>
    <row r="94" spans="1:1" x14ac:dyDescent="0.25">
      <c r="A94" s="897" t="s">
        <v>61</v>
      </c>
    </row>
    <row r="95" spans="1:1" x14ac:dyDescent="0.25">
      <c r="A95" s="898" t="s">
        <v>78</v>
      </c>
    </row>
    <row r="96" spans="1:1" x14ac:dyDescent="0.25">
      <c r="A96" s="898" t="s">
        <v>175</v>
      </c>
    </row>
    <row r="97" spans="1:1" x14ac:dyDescent="0.25">
      <c r="A97" s="898" t="s">
        <v>1098</v>
      </c>
    </row>
    <row r="98" spans="1:1" x14ac:dyDescent="0.25">
      <c r="A98" s="898" t="s">
        <v>1030</v>
      </c>
    </row>
    <row r="99" spans="1:1" x14ac:dyDescent="0.25">
      <c r="A99" s="898" t="s">
        <v>1414</v>
      </c>
    </row>
    <row r="100" spans="1:1" x14ac:dyDescent="0.25">
      <c r="A100" s="898" t="s">
        <v>1721</v>
      </c>
    </row>
    <row r="101" spans="1:1" x14ac:dyDescent="0.25">
      <c r="A101" s="898" t="s">
        <v>62</v>
      </c>
    </row>
    <row r="102" spans="1:1" x14ac:dyDescent="0.25">
      <c r="A102" s="898" t="s">
        <v>173</v>
      </c>
    </row>
    <row r="103" spans="1:1" x14ac:dyDescent="0.25">
      <c r="A103" s="897" t="s">
        <v>63</v>
      </c>
    </row>
    <row r="104" spans="1:1" x14ac:dyDescent="0.25">
      <c r="A104" s="898" t="s">
        <v>518</v>
      </c>
    </row>
    <row r="105" spans="1:1" x14ac:dyDescent="0.25">
      <c r="A105" s="898" t="s">
        <v>74</v>
      </c>
    </row>
    <row r="106" spans="1:1" x14ac:dyDescent="0.25">
      <c r="A106" s="898" t="s">
        <v>62</v>
      </c>
    </row>
    <row r="107" spans="1:1" x14ac:dyDescent="0.25">
      <c r="A107" s="898" t="s">
        <v>75</v>
      </c>
    </row>
    <row r="108" spans="1:1" x14ac:dyDescent="0.25">
      <c r="A108" s="898" t="s">
        <v>367</v>
      </c>
    </row>
    <row r="109" spans="1:1" x14ac:dyDescent="0.25">
      <c r="A109" s="898" t="s">
        <v>173</v>
      </c>
    </row>
    <row r="110" spans="1:1" x14ac:dyDescent="0.25">
      <c r="A110" s="897" t="s">
        <v>39</v>
      </c>
    </row>
    <row r="111" spans="1:1" x14ac:dyDescent="0.25">
      <c r="A111" s="898" t="s">
        <v>24</v>
      </c>
    </row>
    <row r="112" spans="1:1" x14ac:dyDescent="0.25">
      <c r="A112" s="898" t="s">
        <v>54</v>
      </c>
    </row>
    <row r="113" spans="1:1" x14ac:dyDescent="0.25">
      <c r="A113" s="898" t="s">
        <v>2034</v>
      </c>
    </row>
    <row r="114" spans="1:1" x14ac:dyDescent="0.25">
      <c r="A114" s="898" t="s">
        <v>473</v>
      </c>
    </row>
    <row r="115" spans="1:1" x14ac:dyDescent="0.25">
      <c r="A115" s="898" t="s">
        <v>283</v>
      </c>
    </row>
    <row r="116" spans="1:1" x14ac:dyDescent="0.25">
      <c r="A116" s="898" t="s">
        <v>72</v>
      </c>
    </row>
    <row r="117" spans="1:1" x14ac:dyDescent="0.25">
      <c r="A117" s="898" t="s">
        <v>93</v>
      </c>
    </row>
    <row r="118" spans="1:1" x14ac:dyDescent="0.25">
      <c r="A118" s="897" t="s">
        <v>67</v>
      </c>
    </row>
    <row r="119" spans="1:1" x14ac:dyDescent="0.25">
      <c r="A119" s="898" t="s">
        <v>1063</v>
      </c>
    </row>
    <row r="120" spans="1:1" x14ac:dyDescent="0.25">
      <c r="A120" s="898" t="s">
        <v>138</v>
      </c>
    </row>
    <row r="121" spans="1:1" x14ac:dyDescent="0.25">
      <c r="A121" s="16" t="s">
        <v>34</v>
      </c>
    </row>
    <row r="122" spans="1:1" x14ac:dyDescent="0.25">
      <c r="A122" s="897" t="s">
        <v>29</v>
      </c>
    </row>
    <row r="123" spans="1:1" x14ac:dyDescent="0.25">
      <c r="A123" s="898" t="s">
        <v>97</v>
      </c>
    </row>
    <row r="124" spans="1:1" x14ac:dyDescent="0.25">
      <c r="A124" s="898" t="s">
        <v>53</v>
      </c>
    </row>
    <row r="125" spans="1:1" x14ac:dyDescent="0.25">
      <c r="A125" s="898" t="s">
        <v>1477</v>
      </c>
    </row>
    <row r="126" spans="1:1" x14ac:dyDescent="0.25">
      <c r="A126" s="898" t="s">
        <v>511</v>
      </c>
    </row>
    <row r="127" spans="1:1" x14ac:dyDescent="0.25">
      <c r="A127" s="898" t="s">
        <v>2334</v>
      </c>
    </row>
    <row r="128" spans="1:1" x14ac:dyDescent="0.25">
      <c r="A128" s="898" t="s">
        <v>493</v>
      </c>
    </row>
    <row r="129" spans="1:1" x14ac:dyDescent="0.25">
      <c r="A129" s="898" t="s">
        <v>36</v>
      </c>
    </row>
    <row r="130" spans="1:1" x14ac:dyDescent="0.25">
      <c r="A130" s="898" t="s">
        <v>52</v>
      </c>
    </row>
    <row r="131" spans="1:1" x14ac:dyDescent="0.25">
      <c r="A131" s="898" t="s">
        <v>1676</v>
      </c>
    </row>
    <row r="132" spans="1:1" x14ac:dyDescent="0.25">
      <c r="A132" s="898" t="s">
        <v>410</v>
      </c>
    </row>
    <row r="133" spans="1:1" x14ac:dyDescent="0.25">
      <c r="A133" s="898" t="s">
        <v>285</v>
      </c>
    </row>
    <row r="134" spans="1:1" x14ac:dyDescent="0.25">
      <c r="A134" s="898" t="s">
        <v>42</v>
      </c>
    </row>
    <row r="135" spans="1:1" x14ac:dyDescent="0.25">
      <c r="A135" s="898" t="s">
        <v>71</v>
      </c>
    </row>
    <row r="136" spans="1:1" x14ac:dyDescent="0.25">
      <c r="A136" s="897" t="s">
        <v>460</v>
      </c>
    </row>
    <row r="137" spans="1:1" x14ac:dyDescent="0.25">
      <c r="A137" s="898" t="s">
        <v>365</v>
      </c>
    </row>
    <row r="138" spans="1:1" x14ac:dyDescent="0.25">
      <c r="A138" s="898" t="s">
        <v>46</v>
      </c>
    </row>
    <row r="139" spans="1:1" x14ac:dyDescent="0.25">
      <c r="A139" s="898" t="s">
        <v>2334</v>
      </c>
    </row>
    <row r="140" spans="1:1" x14ac:dyDescent="0.25">
      <c r="A140" s="898" t="s">
        <v>36</v>
      </c>
    </row>
    <row r="141" spans="1:1" x14ac:dyDescent="0.25">
      <c r="A141" s="898" t="s">
        <v>42</v>
      </c>
    </row>
    <row r="142" spans="1:1" x14ac:dyDescent="0.25">
      <c r="A142" s="898" t="s">
        <v>71</v>
      </c>
    </row>
    <row r="143" spans="1:1" x14ac:dyDescent="0.25">
      <c r="A143" s="898" t="s">
        <v>1926</v>
      </c>
    </row>
    <row r="144" spans="1:1" x14ac:dyDescent="0.25">
      <c r="A144" s="897" t="s">
        <v>20</v>
      </c>
    </row>
    <row r="145" spans="1:1" x14ac:dyDescent="0.25">
      <c r="A145" s="898" t="s">
        <v>513</v>
      </c>
    </row>
    <row r="146" spans="1:1" x14ac:dyDescent="0.25">
      <c r="A146" s="898" t="s">
        <v>688</v>
      </c>
    </row>
    <row r="147" spans="1:1" x14ac:dyDescent="0.25">
      <c r="A147" s="898" t="s">
        <v>36</v>
      </c>
    </row>
    <row r="148" spans="1:1" x14ac:dyDescent="0.25">
      <c r="A148" s="898" t="s">
        <v>501</v>
      </c>
    </row>
    <row r="149" spans="1:1" x14ac:dyDescent="0.25">
      <c r="A149" s="898" t="s">
        <v>71</v>
      </c>
    </row>
    <row r="150" spans="1:1" x14ac:dyDescent="0.25">
      <c r="A150" s="897" t="s">
        <v>468</v>
      </c>
    </row>
    <row r="151" spans="1:1" x14ac:dyDescent="0.25">
      <c r="A151" s="898" t="s">
        <v>53</v>
      </c>
    </row>
    <row r="152" spans="1:1" x14ac:dyDescent="0.25">
      <c r="A152" s="898" t="s">
        <v>52</v>
      </c>
    </row>
    <row r="153" spans="1:1" x14ac:dyDescent="0.25">
      <c r="A153" s="897" t="s">
        <v>63</v>
      </c>
    </row>
    <row r="154" spans="1:1" x14ac:dyDescent="0.25">
      <c r="A154" s="898" t="s">
        <v>2334</v>
      </c>
    </row>
    <row r="155" spans="1:1" x14ac:dyDescent="0.25">
      <c r="A155" s="898" t="s">
        <v>52</v>
      </c>
    </row>
    <row r="156" spans="1:1" x14ac:dyDescent="0.25">
      <c r="A156" s="897" t="s">
        <v>39</v>
      </c>
    </row>
    <row r="157" spans="1:1" x14ac:dyDescent="0.25">
      <c r="A157" s="898" t="s">
        <v>53</v>
      </c>
    </row>
    <row r="158" spans="1:1" x14ac:dyDescent="0.25">
      <c r="A158" s="898" t="s">
        <v>551</v>
      </c>
    </row>
    <row r="159" spans="1:1" x14ac:dyDescent="0.25">
      <c r="A159" s="898" t="s">
        <v>365</v>
      </c>
    </row>
    <row r="160" spans="1:1" x14ac:dyDescent="0.25">
      <c r="A160" s="898" t="s">
        <v>42</v>
      </c>
    </row>
    <row r="161" spans="1:1" x14ac:dyDescent="0.25">
      <c r="A161" s="898" t="s">
        <v>1357</v>
      </c>
    </row>
    <row r="162" spans="1:1" x14ac:dyDescent="0.25">
      <c r="A162" s="898" t="s">
        <v>71</v>
      </c>
    </row>
    <row r="163" spans="1:1" x14ac:dyDescent="0.25">
      <c r="A163" s="16" t="s">
        <v>2480</v>
      </c>
    </row>
    <row r="164" spans="1:1" x14ac:dyDescent="0.25">
      <c r="A164" s="897" t="s">
        <v>61</v>
      </c>
    </row>
    <row r="165" spans="1:1" x14ac:dyDescent="0.25">
      <c r="A165" s="898" t="s">
        <v>2480</v>
      </c>
    </row>
    <row r="166" spans="1:1" x14ac:dyDescent="0.25">
      <c r="A166" s="16"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B68E-1B06-449B-8379-9896099603E4}">
  <dimension ref="A1:Y479"/>
  <sheetViews>
    <sheetView topLeftCell="A2" workbookViewId="0">
      <selection activeCell="H4" sqref="H4"/>
    </sheetView>
  </sheetViews>
  <sheetFormatPr baseColWidth="10" defaultRowHeight="50.1" customHeight="1" x14ac:dyDescent="0.25"/>
  <cols>
    <col min="1" max="1" width="12" customWidth="1"/>
    <col min="2" max="2" width="14.85546875" customWidth="1"/>
    <col min="3" max="3" width="12.5703125" customWidth="1"/>
    <col min="4" max="4" width="26.28515625" customWidth="1"/>
    <col min="5" max="5" width="14.28515625" bestFit="1" customWidth="1"/>
    <col min="7" max="7" width="11.5703125" customWidth="1"/>
    <col min="8" max="8" width="24.85546875" customWidth="1"/>
    <col min="9" max="9" width="12.7109375" customWidth="1"/>
    <col min="10" max="10" width="24.85546875" customWidth="1"/>
    <col min="12" max="12" width="17.85546875" customWidth="1"/>
    <col min="13" max="13" width="12.5703125" customWidth="1"/>
    <col min="14" max="14" width="13.5703125" customWidth="1"/>
    <col min="15" max="15" width="12.28515625" customWidth="1"/>
    <col min="16" max="16" width="11.5703125" bestFit="1" customWidth="1"/>
    <col min="17" max="17" width="31.42578125" customWidth="1"/>
    <col min="18" max="18" width="24.7109375" customWidth="1"/>
    <col min="19" max="19" width="17.28515625" customWidth="1"/>
    <col min="20" max="20" width="29.85546875" customWidth="1"/>
    <col min="21" max="21" width="25.5703125" customWidth="1"/>
    <col min="22" max="25" width="16" customWidth="1"/>
  </cols>
  <sheetData>
    <row r="1" spans="1:25" ht="50.1" customHeight="1" thickBot="1" x14ac:dyDescent="0.3">
      <c r="A1" s="863" t="s">
        <v>2474</v>
      </c>
      <c r="B1" s="2" t="s">
        <v>0</v>
      </c>
      <c r="C1" s="864" t="s">
        <v>1</v>
      </c>
      <c r="D1" s="864" t="s">
        <v>2</v>
      </c>
      <c r="E1" s="864" t="s">
        <v>3</v>
      </c>
      <c r="F1" s="864" t="s">
        <v>4</v>
      </c>
      <c r="G1" s="864" t="s">
        <v>6</v>
      </c>
      <c r="H1" s="864" t="s">
        <v>5</v>
      </c>
      <c r="I1" s="864" t="s">
        <v>2475</v>
      </c>
      <c r="J1" s="864" t="s">
        <v>7</v>
      </c>
      <c r="K1" s="864" t="s">
        <v>8</v>
      </c>
      <c r="L1" s="865" t="s">
        <v>9</v>
      </c>
      <c r="M1" s="864" t="s">
        <v>10</v>
      </c>
      <c r="N1" s="864" t="s">
        <v>11</v>
      </c>
      <c r="O1" s="864" t="s">
        <v>12</v>
      </c>
      <c r="P1" s="866" t="s">
        <v>13</v>
      </c>
      <c r="Q1" s="866" t="s">
        <v>14</v>
      </c>
      <c r="R1" s="866" t="s">
        <v>15</v>
      </c>
      <c r="S1" s="866" t="s">
        <v>16</v>
      </c>
      <c r="T1" s="866" t="s">
        <v>17</v>
      </c>
      <c r="U1" s="866" t="s">
        <v>18</v>
      </c>
      <c r="V1" s="866" t="s">
        <v>2476</v>
      </c>
      <c r="W1" s="866" t="s">
        <v>2477</v>
      </c>
      <c r="X1" s="866" t="s">
        <v>2478</v>
      </c>
      <c r="Y1" s="883" t="s">
        <v>2479</v>
      </c>
    </row>
    <row r="2" spans="1:25" ht="50.1" customHeight="1" thickBot="1" x14ac:dyDescent="0.3">
      <c r="A2" s="867" t="s">
        <v>680</v>
      </c>
      <c r="B2" s="224" t="s">
        <v>681</v>
      </c>
      <c r="C2" s="868">
        <v>46266</v>
      </c>
      <c r="D2" s="224" t="s">
        <v>33</v>
      </c>
      <c r="E2" s="224" t="s">
        <v>29</v>
      </c>
      <c r="F2" s="869" t="s">
        <v>682</v>
      </c>
      <c r="G2" s="224" t="s">
        <v>30</v>
      </c>
      <c r="H2" s="224">
        <v>500</v>
      </c>
      <c r="I2" s="224" t="s">
        <v>49</v>
      </c>
      <c r="J2" s="224" t="s">
        <v>53</v>
      </c>
      <c r="K2" s="224" t="s">
        <v>25</v>
      </c>
      <c r="L2" s="869" t="s">
        <v>683</v>
      </c>
      <c r="M2" s="224">
        <v>1071802</v>
      </c>
      <c r="N2" s="224">
        <v>3163075656</v>
      </c>
      <c r="O2" s="870"/>
      <c r="P2" s="224">
        <v>14</v>
      </c>
      <c r="Q2" s="868">
        <v>46283</v>
      </c>
      <c r="R2" s="224" t="s">
        <v>26</v>
      </c>
      <c r="S2" s="224" t="s">
        <v>26</v>
      </c>
      <c r="T2" s="115">
        <v>46283</v>
      </c>
      <c r="U2" s="115">
        <v>46283</v>
      </c>
      <c r="V2" s="114" t="s">
        <v>684</v>
      </c>
      <c r="W2" s="145" t="s">
        <v>27</v>
      </c>
      <c r="X2" s="146" t="s">
        <v>25</v>
      </c>
      <c r="Y2" s="884"/>
    </row>
    <row r="3" spans="1:25" ht="50.1" customHeight="1" thickBot="1" x14ac:dyDescent="0.3">
      <c r="A3" s="4" t="s">
        <v>685</v>
      </c>
      <c r="B3" s="6" t="s">
        <v>686</v>
      </c>
      <c r="C3" s="5">
        <v>46266</v>
      </c>
      <c r="D3" s="6" t="s">
        <v>33</v>
      </c>
      <c r="E3" s="6" t="s">
        <v>20</v>
      </c>
      <c r="F3" s="7" t="s">
        <v>687</v>
      </c>
      <c r="G3" s="6" t="s">
        <v>34</v>
      </c>
      <c r="H3" s="6">
        <v>109</v>
      </c>
      <c r="I3" s="6" t="s">
        <v>118</v>
      </c>
      <c r="J3" s="6" t="s">
        <v>688</v>
      </c>
      <c r="K3" s="6" t="s">
        <v>47</v>
      </c>
      <c r="L3" s="7" t="s">
        <v>689</v>
      </c>
      <c r="M3" s="6">
        <v>1250874</v>
      </c>
      <c r="N3" s="6">
        <v>3226633048</v>
      </c>
      <c r="O3" s="8"/>
      <c r="P3" s="6">
        <v>14</v>
      </c>
      <c r="Q3" s="5">
        <v>46286</v>
      </c>
      <c r="R3" s="6" t="s">
        <v>236</v>
      </c>
      <c r="S3" s="6" t="s">
        <v>236</v>
      </c>
      <c r="T3" s="5">
        <v>46266</v>
      </c>
      <c r="U3" s="5">
        <v>46286</v>
      </c>
      <c r="V3" s="6" t="s">
        <v>690</v>
      </c>
      <c r="W3" s="9" t="s">
        <v>27</v>
      </c>
      <c r="X3" s="10" t="s">
        <v>25</v>
      </c>
      <c r="Y3" s="885"/>
    </row>
    <row r="4" spans="1:25" ht="50.1" customHeight="1" thickBot="1" x14ac:dyDescent="0.3">
      <c r="A4" s="4" t="s">
        <v>691</v>
      </c>
      <c r="B4" s="12" t="s">
        <v>692</v>
      </c>
      <c r="C4" s="5">
        <v>46266</v>
      </c>
      <c r="D4" s="6" t="s">
        <v>28</v>
      </c>
      <c r="E4" s="6" t="s">
        <v>84</v>
      </c>
      <c r="F4" s="7" t="s">
        <v>693</v>
      </c>
      <c r="G4" s="6" t="s">
        <v>30</v>
      </c>
      <c r="H4" s="6">
        <v>503</v>
      </c>
      <c r="I4" s="6" t="s">
        <v>31</v>
      </c>
      <c r="J4" s="6" t="s">
        <v>59</v>
      </c>
      <c r="K4" s="6" t="s">
        <v>25</v>
      </c>
      <c r="L4" s="871" t="s">
        <v>694</v>
      </c>
      <c r="M4" s="8"/>
      <c r="N4" s="8"/>
      <c r="O4" s="6" t="s">
        <v>695</v>
      </c>
      <c r="P4" s="6">
        <v>14</v>
      </c>
      <c r="Q4" s="5">
        <v>46286</v>
      </c>
      <c r="R4" s="5">
        <v>46266</v>
      </c>
      <c r="S4" s="6" t="s">
        <v>26</v>
      </c>
      <c r="T4" s="6" t="s">
        <v>26</v>
      </c>
      <c r="U4" s="5">
        <v>46280</v>
      </c>
      <c r="V4" s="6" t="s">
        <v>696</v>
      </c>
      <c r="W4" s="9" t="s">
        <v>27</v>
      </c>
      <c r="X4" s="10" t="s">
        <v>25</v>
      </c>
      <c r="Y4" s="886" t="s">
        <v>25</v>
      </c>
    </row>
    <row r="5" spans="1:25" ht="50.1" customHeight="1" thickBot="1" x14ac:dyDescent="0.3">
      <c r="A5" s="4" t="s">
        <v>697</v>
      </c>
      <c r="B5" s="6" t="s">
        <v>698</v>
      </c>
      <c r="C5" s="5">
        <v>46266</v>
      </c>
      <c r="D5" s="6" t="s">
        <v>19</v>
      </c>
      <c r="E5" s="6" t="s">
        <v>39</v>
      </c>
      <c r="F5" s="7" t="s">
        <v>58</v>
      </c>
      <c r="G5" s="6" t="s">
        <v>34</v>
      </c>
      <c r="H5" s="6">
        <v>114</v>
      </c>
      <c r="I5" s="6" t="s">
        <v>41</v>
      </c>
      <c r="J5" s="6" t="s">
        <v>42</v>
      </c>
      <c r="K5" s="6" t="s">
        <v>47</v>
      </c>
      <c r="L5" s="7" t="s">
        <v>699</v>
      </c>
      <c r="M5" s="6">
        <v>1045540</v>
      </c>
      <c r="N5" s="8"/>
      <c r="O5" s="8"/>
      <c r="P5" s="6">
        <v>14</v>
      </c>
      <c r="Q5" s="5">
        <v>46286</v>
      </c>
      <c r="R5" s="6" t="s">
        <v>26</v>
      </c>
      <c r="S5" s="6" t="s">
        <v>26</v>
      </c>
      <c r="T5" s="5">
        <v>46286</v>
      </c>
      <c r="U5" s="5">
        <v>46286</v>
      </c>
      <c r="V5" s="6" t="s">
        <v>700</v>
      </c>
      <c r="W5" s="9" t="s">
        <v>27</v>
      </c>
      <c r="X5" s="10" t="s">
        <v>25</v>
      </c>
      <c r="Y5" s="885"/>
    </row>
    <row r="6" spans="1:25" ht="50.1" customHeight="1" thickBot="1" x14ac:dyDescent="0.3">
      <c r="A6" s="4" t="s">
        <v>701</v>
      </c>
      <c r="B6" s="562" t="s">
        <v>702</v>
      </c>
      <c r="C6" s="5">
        <v>46267</v>
      </c>
      <c r="D6" s="6" t="s">
        <v>33</v>
      </c>
      <c r="E6" s="6" t="s">
        <v>460</v>
      </c>
      <c r="F6" s="7" t="s">
        <v>703</v>
      </c>
      <c r="G6" s="6" t="s">
        <v>22</v>
      </c>
      <c r="H6" s="6">
        <v>316</v>
      </c>
      <c r="I6" s="6" t="s">
        <v>23</v>
      </c>
      <c r="J6" s="6" t="s">
        <v>56</v>
      </c>
      <c r="K6" s="8"/>
      <c r="L6" s="7" t="s">
        <v>704</v>
      </c>
      <c r="M6" s="8"/>
      <c r="N6" s="8"/>
      <c r="O6" s="8"/>
      <c r="P6" s="6">
        <v>14</v>
      </c>
      <c r="Q6" s="5">
        <v>46286</v>
      </c>
      <c r="R6" s="8"/>
      <c r="S6" s="8"/>
      <c r="T6" s="8"/>
      <c r="U6" s="8"/>
      <c r="V6" s="8"/>
      <c r="W6" s="562" t="s">
        <v>461</v>
      </c>
      <c r="X6" s="6"/>
      <c r="Y6" s="885"/>
    </row>
    <row r="7" spans="1:25" ht="50.1" customHeight="1" thickBot="1" x14ac:dyDescent="0.3">
      <c r="A7" s="4" t="s">
        <v>705</v>
      </c>
      <c r="B7" s="12" t="s">
        <v>706</v>
      </c>
      <c r="C7" s="5">
        <v>46267</v>
      </c>
      <c r="D7" s="6" t="s">
        <v>33</v>
      </c>
      <c r="E7" s="6" t="s">
        <v>61</v>
      </c>
      <c r="F7" s="7" t="s">
        <v>707</v>
      </c>
      <c r="G7" s="6" t="s">
        <v>30</v>
      </c>
      <c r="H7" s="6">
        <v>503</v>
      </c>
      <c r="I7" s="6" t="s">
        <v>31</v>
      </c>
      <c r="J7" s="6" t="s">
        <v>59</v>
      </c>
      <c r="K7" s="6" t="s">
        <v>25</v>
      </c>
      <c r="L7" s="7" t="s">
        <v>708</v>
      </c>
      <c r="M7" s="8"/>
      <c r="N7" s="8"/>
      <c r="O7" s="6" t="s">
        <v>621</v>
      </c>
      <c r="P7" s="6">
        <v>14</v>
      </c>
      <c r="Q7" s="5">
        <v>46287</v>
      </c>
      <c r="R7" s="6" t="s">
        <v>709</v>
      </c>
      <c r="S7" s="6" t="s">
        <v>26</v>
      </c>
      <c r="T7" s="6" t="s">
        <v>26</v>
      </c>
      <c r="U7" s="5">
        <v>46273</v>
      </c>
      <c r="V7" s="6" t="s">
        <v>710</v>
      </c>
      <c r="W7" s="9" t="s">
        <v>27</v>
      </c>
      <c r="X7" s="10" t="s">
        <v>25</v>
      </c>
      <c r="Y7" s="886" t="s">
        <v>25</v>
      </c>
    </row>
    <row r="8" spans="1:25" ht="50.1" customHeight="1" thickBot="1" x14ac:dyDescent="0.3">
      <c r="A8" s="13"/>
      <c r="B8" s="562" t="s">
        <v>711</v>
      </c>
      <c r="C8" s="5">
        <v>46267</v>
      </c>
      <c r="D8" s="6" t="s">
        <v>33</v>
      </c>
      <c r="E8" s="6" t="s">
        <v>460</v>
      </c>
      <c r="F8" s="7" t="s">
        <v>712</v>
      </c>
      <c r="G8" s="6" t="s">
        <v>34</v>
      </c>
      <c r="H8" s="6">
        <v>127</v>
      </c>
      <c r="I8" s="6" t="s">
        <v>88</v>
      </c>
      <c r="J8" s="6" t="s">
        <v>71</v>
      </c>
      <c r="K8" s="6" t="s">
        <v>47</v>
      </c>
      <c r="L8" s="7" t="s">
        <v>713</v>
      </c>
      <c r="M8" s="8"/>
      <c r="N8" s="8"/>
      <c r="O8" s="8"/>
      <c r="P8" s="6">
        <v>14</v>
      </c>
      <c r="Q8" s="5">
        <v>46287</v>
      </c>
      <c r="R8" s="6" t="s">
        <v>26</v>
      </c>
      <c r="S8" s="6" t="s">
        <v>26</v>
      </c>
      <c r="T8" s="5">
        <v>46283</v>
      </c>
      <c r="U8" s="5">
        <v>46283</v>
      </c>
      <c r="V8" s="6" t="s">
        <v>714</v>
      </c>
      <c r="W8" s="9" t="s">
        <v>27</v>
      </c>
      <c r="X8" s="10" t="s">
        <v>25</v>
      </c>
      <c r="Y8" s="885"/>
    </row>
    <row r="9" spans="1:25" ht="50.1" customHeight="1" thickBot="1" x14ac:dyDescent="0.3">
      <c r="A9" s="13"/>
      <c r="B9" s="562" t="s">
        <v>715</v>
      </c>
      <c r="C9" s="5">
        <v>46267</v>
      </c>
      <c r="D9" s="6" t="s">
        <v>33</v>
      </c>
      <c r="E9" s="6" t="s">
        <v>460</v>
      </c>
      <c r="F9" s="7" t="s">
        <v>716</v>
      </c>
      <c r="G9" s="6" t="s">
        <v>34</v>
      </c>
      <c r="H9" s="6">
        <v>127</v>
      </c>
      <c r="I9" s="6" t="s">
        <v>88</v>
      </c>
      <c r="J9" s="6" t="s">
        <v>71</v>
      </c>
      <c r="K9" s="6" t="s">
        <v>47</v>
      </c>
      <c r="L9" s="7" t="s">
        <v>717</v>
      </c>
      <c r="M9" s="8"/>
      <c r="N9" s="8"/>
      <c r="O9" s="8"/>
      <c r="P9" s="6">
        <v>14</v>
      </c>
      <c r="Q9" s="5">
        <v>46287</v>
      </c>
      <c r="R9" s="6" t="s">
        <v>709</v>
      </c>
      <c r="S9" s="6" t="s">
        <v>26</v>
      </c>
      <c r="T9" s="6" t="s">
        <v>26</v>
      </c>
      <c r="U9" s="5">
        <v>46287</v>
      </c>
      <c r="V9" s="6" t="s">
        <v>718</v>
      </c>
      <c r="W9" s="9" t="s">
        <v>27</v>
      </c>
      <c r="X9" s="10" t="s">
        <v>25</v>
      </c>
      <c r="Y9" s="885"/>
    </row>
    <row r="10" spans="1:25" ht="50.1" customHeight="1" thickBot="1" x14ac:dyDescent="0.3">
      <c r="A10" s="13"/>
      <c r="B10" s="562" t="s">
        <v>719</v>
      </c>
      <c r="C10" s="5">
        <v>46267</v>
      </c>
      <c r="D10" s="6" t="s">
        <v>33</v>
      </c>
      <c r="E10" s="6" t="s">
        <v>20</v>
      </c>
      <c r="F10" s="7" t="s">
        <v>720</v>
      </c>
      <c r="G10" s="6" t="s">
        <v>34</v>
      </c>
      <c r="H10" s="6">
        <v>127</v>
      </c>
      <c r="I10" s="6" t="s">
        <v>88</v>
      </c>
      <c r="J10" s="6" t="s">
        <v>71</v>
      </c>
      <c r="K10" s="6" t="s">
        <v>47</v>
      </c>
      <c r="L10" s="7" t="s">
        <v>721</v>
      </c>
      <c r="M10" s="6">
        <v>1234580</v>
      </c>
      <c r="N10" s="8"/>
      <c r="O10" s="6" t="s">
        <v>722</v>
      </c>
      <c r="P10" s="6">
        <v>14</v>
      </c>
      <c r="Q10" s="5">
        <v>46287</v>
      </c>
      <c r="R10" s="6" t="s">
        <v>26</v>
      </c>
      <c r="S10" s="6" t="s">
        <v>26</v>
      </c>
      <c r="T10" s="6" t="s">
        <v>26</v>
      </c>
      <c r="U10" s="5">
        <v>46287</v>
      </c>
      <c r="V10" s="6" t="s">
        <v>723</v>
      </c>
      <c r="W10" s="9" t="s">
        <v>27</v>
      </c>
      <c r="X10" s="10" t="s">
        <v>25</v>
      </c>
      <c r="Y10" s="885"/>
    </row>
    <row r="11" spans="1:25" ht="50.1" customHeight="1" thickBot="1" x14ac:dyDescent="0.3">
      <c r="A11" s="4" t="s">
        <v>724</v>
      </c>
      <c r="B11" s="6" t="s">
        <v>725</v>
      </c>
      <c r="C11" s="5">
        <v>46267</v>
      </c>
      <c r="D11" s="6" t="s">
        <v>19</v>
      </c>
      <c r="E11" s="6" t="s">
        <v>39</v>
      </c>
      <c r="F11" s="7" t="s">
        <v>726</v>
      </c>
      <c r="G11" s="6" t="s">
        <v>30</v>
      </c>
      <c r="H11" s="6">
        <v>503</v>
      </c>
      <c r="I11" s="6" t="s">
        <v>31</v>
      </c>
      <c r="J11" s="6" t="s">
        <v>93</v>
      </c>
      <c r="K11" s="6" t="s">
        <v>25</v>
      </c>
      <c r="L11" s="7" t="s">
        <v>727</v>
      </c>
      <c r="M11" s="8"/>
      <c r="N11" s="8"/>
      <c r="O11" s="8"/>
      <c r="P11" s="6">
        <v>14</v>
      </c>
      <c r="Q11" s="5">
        <v>46287</v>
      </c>
      <c r="R11" s="5">
        <v>46267</v>
      </c>
      <c r="S11" s="6" t="s">
        <v>26</v>
      </c>
      <c r="T11" s="6" t="s">
        <v>26</v>
      </c>
      <c r="U11" s="5">
        <v>46286</v>
      </c>
      <c r="V11" s="6" t="s">
        <v>728</v>
      </c>
      <c r="W11" s="9" t="s">
        <v>27</v>
      </c>
      <c r="X11" s="10" t="s">
        <v>25</v>
      </c>
      <c r="Y11" s="885"/>
    </row>
    <row r="12" spans="1:25" ht="50.1" customHeight="1" thickBot="1" x14ac:dyDescent="0.3">
      <c r="A12" s="4" t="s">
        <v>729</v>
      </c>
      <c r="B12" s="6" t="s">
        <v>730</v>
      </c>
      <c r="C12" s="5">
        <v>46267</v>
      </c>
      <c r="D12" s="6" t="s">
        <v>19</v>
      </c>
      <c r="E12" s="6" t="s">
        <v>39</v>
      </c>
      <c r="F12" s="7" t="s">
        <v>731</v>
      </c>
      <c r="G12" s="6" t="s">
        <v>22</v>
      </c>
      <c r="H12" s="6">
        <v>316</v>
      </c>
      <c r="I12" s="6" t="s">
        <v>23</v>
      </c>
      <c r="J12" s="6" t="s">
        <v>54</v>
      </c>
      <c r="K12" s="6" t="s">
        <v>25</v>
      </c>
      <c r="L12" s="7" t="s">
        <v>732</v>
      </c>
      <c r="M12" s="6">
        <v>1151960</v>
      </c>
      <c r="N12" s="8"/>
      <c r="O12" s="8"/>
      <c r="P12" s="6">
        <v>14</v>
      </c>
      <c r="Q12" s="5">
        <v>46287</v>
      </c>
      <c r="R12" s="5">
        <v>46267</v>
      </c>
      <c r="S12" s="6" t="s">
        <v>26</v>
      </c>
      <c r="T12" s="6" t="s">
        <v>26</v>
      </c>
      <c r="U12" s="5">
        <v>46286</v>
      </c>
      <c r="V12" s="6" t="s">
        <v>733</v>
      </c>
      <c r="W12" s="9" t="s">
        <v>27</v>
      </c>
      <c r="X12" s="10" t="s">
        <v>25</v>
      </c>
      <c r="Y12" s="885"/>
    </row>
    <row r="13" spans="1:25" ht="50.1" customHeight="1" thickBot="1" x14ac:dyDescent="0.3">
      <c r="A13" s="872" t="s">
        <v>734</v>
      </c>
      <c r="B13" s="6" t="s">
        <v>735</v>
      </c>
      <c r="C13" s="5">
        <v>46267</v>
      </c>
      <c r="D13" s="6" t="s">
        <v>19</v>
      </c>
      <c r="E13" s="6" t="s">
        <v>39</v>
      </c>
      <c r="F13" s="7" t="s">
        <v>40</v>
      </c>
      <c r="G13" s="6" t="s">
        <v>34</v>
      </c>
      <c r="H13" s="6">
        <v>114</v>
      </c>
      <c r="I13" s="6" t="s">
        <v>41</v>
      </c>
      <c r="J13" s="6" t="s">
        <v>42</v>
      </c>
      <c r="K13" s="6" t="s">
        <v>25</v>
      </c>
      <c r="L13" s="7" t="s">
        <v>736</v>
      </c>
      <c r="M13" s="6">
        <v>1188100</v>
      </c>
      <c r="N13" s="8"/>
      <c r="O13" s="8"/>
      <c r="P13" s="6">
        <v>14</v>
      </c>
      <c r="Q13" s="5">
        <v>46287</v>
      </c>
      <c r="R13" s="5">
        <v>46267</v>
      </c>
      <c r="S13" s="6" t="s">
        <v>26</v>
      </c>
      <c r="T13" s="6" t="s">
        <v>26</v>
      </c>
      <c r="U13" s="5">
        <v>46287</v>
      </c>
      <c r="V13" s="6" t="s">
        <v>737</v>
      </c>
      <c r="W13" s="9" t="s">
        <v>27</v>
      </c>
      <c r="X13" s="10" t="s">
        <v>25</v>
      </c>
      <c r="Y13" s="885"/>
    </row>
    <row r="14" spans="1:25" ht="50.1" customHeight="1" thickBot="1" x14ac:dyDescent="0.3">
      <c r="A14" s="872" t="s">
        <v>734</v>
      </c>
      <c r="B14" s="6" t="s">
        <v>738</v>
      </c>
      <c r="C14" s="5">
        <v>46267</v>
      </c>
      <c r="D14" s="6" t="s">
        <v>19</v>
      </c>
      <c r="E14" s="6" t="s">
        <v>39</v>
      </c>
      <c r="F14" s="7" t="s">
        <v>739</v>
      </c>
      <c r="G14" s="6" t="s">
        <v>34</v>
      </c>
      <c r="H14" s="6">
        <v>114</v>
      </c>
      <c r="I14" s="6" t="s">
        <v>41</v>
      </c>
      <c r="J14" s="6" t="s">
        <v>365</v>
      </c>
      <c r="K14" s="6" t="s">
        <v>25</v>
      </c>
      <c r="L14" s="7" t="s">
        <v>740</v>
      </c>
      <c r="M14" s="6">
        <v>1107220</v>
      </c>
      <c r="N14" s="8"/>
      <c r="O14" s="8"/>
      <c r="P14" s="6">
        <v>14</v>
      </c>
      <c r="Q14" s="5">
        <v>46287</v>
      </c>
      <c r="R14" s="144" t="s">
        <v>26</v>
      </c>
      <c r="S14" s="114" t="s">
        <v>26</v>
      </c>
      <c r="T14" s="114" t="s">
        <v>26</v>
      </c>
      <c r="U14" s="115">
        <v>46287</v>
      </c>
      <c r="V14" s="114" t="s">
        <v>741</v>
      </c>
      <c r="W14" s="9" t="s">
        <v>27</v>
      </c>
      <c r="X14" s="10" t="s">
        <v>25</v>
      </c>
      <c r="Y14" s="885"/>
    </row>
    <row r="15" spans="1:25" ht="50.1" customHeight="1" thickBot="1" x14ac:dyDescent="0.3">
      <c r="A15" s="4" t="s">
        <v>742</v>
      </c>
      <c r="B15" s="6" t="s">
        <v>743</v>
      </c>
      <c r="C15" s="5">
        <v>46267</v>
      </c>
      <c r="D15" s="6" t="s">
        <v>19</v>
      </c>
      <c r="E15" s="6" t="s">
        <v>61</v>
      </c>
      <c r="F15" s="7" t="s">
        <v>744</v>
      </c>
      <c r="G15" s="6" t="s">
        <v>22</v>
      </c>
      <c r="H15" s="6">
        <v>316</v>
      </c>
      <c r="I15" s="6" t="s">
        <v>23</v>
      </c>
      <c r="J15" s="6" t="s">
        <v>175</v>
      </c>
      <c r="K15" s="6" t="s">
        <v>25</v>
      </c>
      <c r="L15" s="7" t="s">
        <v>590</v>
      </c>
      <c r="M15" s="6">
        <v>1082321</v>
      </c>
      <c r="N15" s="8"/>
      <c r="O15" s="8"/>
      <c r="P15" s="6">
        <v>14</v>
      </c>
      <c r="Q15" s="5">
        <v>46287</v>
      </c>
      <c r="R15" s="6" t="s">
        <v>26</v>
      </c>
      <c r="S15" s="6" t="s">
        <v>26</v>
      </c>
      <c r="T15" s="6" t="s">
        <v>26</v>
      </c>
      <c r="U15" s="5">
        <v>46287</v>
      </c>
      <c r="V15" s="6" t="s">
        <v>741</v>
      </c>
      <c r="W15" s="9" t="s">
        <v>27</v>
      </c>
      <c r="X15" s="10" t="s">
        <v>25</v>
      </c>
      <c r="Y15" s="885"/>
    </row>
    <row r="16" spans="1:25" ht="50.1" customHeight="1" thickBot="1" x14ac:dyDescent="0.3">
      <c r="A16" s="4" t="s">
        <v>745</v>
      </c>
      <c r="B16" s="6" t="s">
        <v>746</v>
      </c>
      <c r="C16" s="5">
        <v>46267</v>
      </c>
      <c r="D16" s="6" t="s">
        <v>19</v>
      </c>
      <c r="E16" s="6" t="s">
        <v>20</v>
      </c>
      <c r="F16" s="7" t="s">
        <v>747</v>
      </c>
      <c r="G16" s="6" t="s">
        <v>34</v>
      </c>
      <c r="H16" s="6">
        <v>113</v>
      </c>
      <c r="I16" s="6" t="s">
        <v>35</v>
      </c>
      <c r="J16" s="6" t="s">
        <v>36</v>
      </c>
      <c r="K16" s="6" t="s">
        <v>25</v>
      </c>
      <c r="L16" s="7" t="s">
        <v>748</v>
      </c>
      <c r="M16" s="6">
        <v>1037520</v>
      </c>
      <c r="N16" s="8"/>
      <c r="O16" s="8"/>
      <c r="P16" s="6">
        <v>14</v>
      </c>
      <c r="Q16" s="5">
        <v>46287</v>
      </c>
      <c r="R16" s="5">
        <v>46267</v>
      </c>
      <c r="S16" s="6" t="s">
        <v>26</v>
      </c>
      <c r="T16" s="6" t="s">
        <v>26</v>
      </c>
      <c r="U16" s="5">
        <v>46286</v>
      </c>
      <c r="V16" s="6" t="s">
        <v>749</v>
      </c>
      <c r="W16" s="9" t="s">
        <v>27</v>
      </c>
      <c r="X16" s="10" t="s">
        <v>25</v>
      </c>
      <c r="Y16" s="885"/>
    </row>
    <row r="17" spans="1:25" ht="50.1" customHeight="1" thickBot="1" x14ac:dyDescent="0.3">
      <c r="A17" s="872" t="s">
        <v>750</v>
      </c>
      <c r="B17" s="6" t="s">
        <v>751</v>
      </c>
      <c r="C17" s="5">
        <v>46267</v>
      </c>
      <c r="D17" s="6" t="s">
        <v>19</v>
      </c>
      <c r="E17" s="6" t="s">
        <v>20</v>
      </c>
      <c r="F17" s="7" t="s">
        <v>752</v>
      </c>
      <c r="G17" s="6" t="s">
        <v>22</v>
      </c>
      <c r="H17" s="6">
        <v>316</v>
      </c>
      <c r="I17" s="6" t="s">
        <v>23</v>
      </c>
      <c r="J17" s="6" t="s">
        <v>24</v>
      </c>
      <c r="K17" s="6" t="s">
        <v>25</v>
      </c>
      <c r="L17" s="7" t="s">
        <v>753</v>
      </c>
      <c r="M17" s="6">
        <v>1243117</v>
      </c>
      <c r="N17" s="8"/>
      <c r="O17" s="8"/>
      <c r="P17" s="6">
        <v>14</v>
      </c>
      <c r="Q17" s="5">
        <v>46287</v>
      </c>
      <c r="R17" s="5">
        <v>46267</v>
      </c>
      <c r="S17" s="6" t="s">
        <v>26</v>
      </c>
      <c r="T17" s="6" t="s">
        <v>26</v>
      </c>
      <c r="U17" s="5">
        <v>46286</v>
      </c>
      <c r="V17" s="6" t="s">
        <v>754</v>
      </c>
      <c r="W17" s="9" t="s">
        <v>27</v>
      </c>
      <c r="X17" s="10" t="s">
        <v>25</v>
      </c>
      <c r="Y17" s="885"/>
    </row>
    <row r="18" spans="1:25" ht="50.1" customHeight="1" thickBot="1" x14ac:dyDescent="0.3">
      <c r="A18" s="872" t="s">
        <v>755</v>
      </c>
      <c r="B18" s="6" t="s">
        <v>756</v>
      </c>
      <c r="C18" s="5">
        <v>46267</v>
      </c>
      <c r="D18" s="6" t="s">
        <v>19</v>
      </c>
      <c r="E18" s="6" t="s">
        <v>20</v>
      </c>
      <c r="F18" s="7" t="s">
        <v>286</v>
      </c>
      <c r="G18" s="6" t="s">
        <v>22</v>
      </c>
      <c r="H18" s="6">
        <v>316</v>
      </c>
      <c r="I18" s="6" t="s">
        <v>23</v>
      </c>
      <c r="J18" s="6" t="s">
        <v>24</v>
      </c>
      <c r="K18" s="6"/>
      <c r="L18" s="7" t="s">
        <v>753</v>
      </c>
      <c r="M18" s="6">
        <v>1243117</v>
      </c>
      <c r="N18" s="8"/>
      <c r="O18" s="8"/>
      <c r="P18" s="6">
        <v>14</v>
      </c>
      <c r="Q18" s="5">
        <v>46287</v>
      </c>
      <c r="R18" s="8"/>
      <c r="S18" s="8"/>
      <c r="T18" s="8"/>
      <c r="U18" s="8"/>
      <c r="V18" s="8"/>
      <c r="W18" s="562" t="s">
        <v>461</v>
      </c>
      <c r="X18" s="6"/>
      <c r="Y18" s="885"/>
    </row>
    <row r="19" spans="1:25" ht="50.1" customHeight="1" thickBot="1" x14ac:dyDescent="0.3">
      <c r="A19" s="4" t="s">
        <v>757</v>
      </c>
      <c r="B19" s="6" t="s">
        <v>758</v>
      </c>
      <c r="C19" s="5">
        <v>46267</v>
      </c>
      <c r="D19" s="6" t="s">
        <v>19</v>
      </c>
      <c r="E19" s="6" t="s">
        <v>39</v>
      </c>
      <c r="F19" s="7" t="s">
        <v>759</v>
      </c>
      <c r="G19" s="6" t="s">
        <v>30</v>
      </c>
      <c r="H19" s="6">
        <v>503</v>
      </c>
      <c r="I19" s="6" t="s">
        <v>31</v>
      </c>
      <c r="J19" s="6" t="s">
        <v>93</v>
      </c>
      <c r="K19" s="6" t="s">
        <v>47</v>
      </c>
      <c r="L19" s="7" t="s">
        <v>760</v>
      </c>
      <c r="M19" s="8"/>
      <c r="N19" s="8"/>
      <c r="O19" s="8"/>
      <c r="P19" s="6">
        <v>14</v>
      </c>
      <c r="Q19" s="5">
        <v>46287</v>
      </c>
      <c r="R19" s="5">
        <v>46267</v>
      </c>
      <c r="S19" s="6" t="s">
        <v>26</v>
      </c>
      <c r="T19" s="6" t="s">
        <v>26</v>
      </c>
      <c r="U19" s="5">
        <v>46286</v>
      </c>
      <c r="V19" s="6" t="s">
        <v>761</v>
      </c>
      <c r="W19" s="9" t="s">
        <v>27</v>
      </c>
      <c r="X19" s="10" t="s">
        <v>25</v>
      </c>
      <c r="Y19" s="885"/>
    </row>
    <row r="20" spans="1:25" ht="50.1" customHeight="1" thickBot="1" x14ac:dyDescent="0.3">
      <c r="A20" s="4" t="s">
        <v>762</v>
      </c>
      <c r="B20" s="12" t="s">
        <v>763</v>
      </c>
      <c r="C20" s="5">
        <v>46267</v>
      </c>
      <c r="D20" s="6" t="s">
        <v>33</v>
      </c>
      <c r="E20" s="6" t="s">
        <v>61</v>
      </c>
      <c r="F20" s="7" t="s">
        <v>764</v>
      </c>
      <c r="G20" s="6" t="s">
        <v>22</v>
      </c>
      <c r="H20" s="6">
        <v>316</v>
      </c>
      <c r="I20" s="6" t="s">
        <v>23</v>
      </c>
      <c r="J20" s="6" t="s">
        <v>175</v>
      </c>
      <c r="K20" s="6" t="s">
        <v>25</v>
      </c>
      <c r="L20" s="7" t="s">
        <v>534</v>
      </c>
      <c r="M20" s="8"/>
      <c r="N20" s="8"/>
      <c r="O20" s="8"/>
      <c r="P20" s="6">
        <v>14</v>
      </c>
      <c r="Q20" s="5">
        <v>46287</v>
      </c>
      <c r="R20" s="8"/>
      <c r="S20" s="8"/>
      <c r="T20" s="8"/>
      <c r="U20" s="8"/>
      <c r="V20" s="8"/>
      <c r="W20" s="562" t="s">
        <v>461</v>
      </c>
      <c r="X20" s="6"/>
      <c r="Y20" s="885"/>
    </row>
    <row r="21" spans="1:25" ht="50.1" customHeight="1" thickBot="1" x14ac:dyDescent="0.3">
      <c r="A21" s="872" t="s">
        <v>765</v>
      </c>
      <c r="B21" s="6" t="s">
        <v>766</v>
      </c>
      <c r="C21" s="5">
        <v>46267</v>
      </c>
      <c r="D21" s="6" t="s">
        <v>19</v>
      </c>
      <c r="E21" s="6" t="s">
        <v>20</v>
      </c>
      <c r="F21" s="7" t="s">
        <v>408</v>
      </c>
      <c r="G21" s="6" t="s">
        <v>22</v>
      </c>
      <c r="H21" s="6">
        <v>304</v>
      </c>
      <c r="I21" s="6" t="s">
        <v>43</v>
      </c>
      <c r="J21" s="6" t="s">
        <v>44</v>
      </c>
      <c r="K21" s="8"/>
      <c r="L21" s="7" t="s">
        <v>767</v>
      </c>
      <c r="M21" s="6">
        <v>1145540</v>
      </c>
      <c r="N21" s="8"/>
      <c r="O21" s="8"/>
      <c r="P21" s="6">
        <v>14</v>
      </c>
      <c r="Q21" s="5">
        <v>46287</v>
      </c>
      <c r="R21" s="8"/>
      <c r="S21" s="8"/>
      <c r="T21" s="8"/>
      <c r="U21" s="8"/>
      <c r="V21" s="8"/>
      <c r="W21" s="562" t="s">
        <v>461</v>
      </c>
      <c r="X21" s="6"/>
      <c r="Y21" s="885"/>
    </row>
    <row r="22" spans="1:25" ht="50.1" customHeight="1" thickBot="1" x14ac:dyDescent="0.3">
      <c r="A22" s="4" t="s">
        <v>768</v>
      </c>
      <c r="B22" s="12" t="s">
        <v>769</v>
      </c>
      <c r="C22" s="5">
        <v>46267</v>
      </c>
      <c r="D22" s="6" t="s">
        <v>28</v>
      </c>
      <c r="E22" s="6" t="s">
        <v>84</v>
      </c>
      <c r="F22" s="7" t="s">
        <v>770</v>
      </c>
      <c r="G22" s="6" t="s">
        <v>30</v>
      </c>
      <c r="H22" s="6">
        <v>503</v>
      </c>
      <c r="I22" s="6" t="s">
        <v>31</v>
      </c>
      <c r="J22" s="6" t="s">
        <v>59</v>
      </c>
      <c r="K22" s="6" t="s">
        <v>25</v>
      </c>
      <c r="L22" s="7" t="s">
        <v>771</v>
      </c>
      <c r="M22" s="8"/>
      <c r="N22" s="8"/>
      <c r="O22" s="6" t="s">
        <v>621</v>
      </c>
      <c r="P22" s="6">
        <v>14</v>
      </c>
      <c r="Q22" s="5">
        <v>46287</v>
      </c>
      <c r="R22" s="5">
        <v>46267</v>
      </c>
      <c r="S22" s="6" t="s">
        <v>26</v>
      </c>
      <c r="T22" s="6" t="s">
        <v>26</v>
      </c>
      <c r="U22" s="5">
        <v>46282</v>
      </c>
      <c r="V22" s="6" t="s">
        <v>772</v>
      </c>
      <c r="W22" s="9" t="s">
        <v>27</v>
      </c>
      <c r="X22" s="10" t="s">
        <v>25</v>
      </c>
      <c r="Y22" s="886" t="s">
        <v>25</v>
      </c>
    </row>
    <row r="23" spans="1:25" ht="50.1" customHeight="1" thickBot="1" x14ac:dyDescent="0.3">
      <c r="A23" s="872" t="s">
        <v>773</v>
      </c>
      <c r="B23" s="12" t="s">
        <v>774</v>
      </c>
      <c r="C23" s="5">
        <v>46267</v>
      </c>
      <c r="D23" s="6" t="s">
        <v>28</v>
      </c>
      <c r="E23" s="6" t="s">
        <v>61</v>
      </c>
      <c r="F23" s="7" t="s">
        <v>775</v>
      </c>
      <c r="G23" s="6" t="s">
        <v>22</v>
      </c>
      <c r="H23" s="6">
        <v>316</v>
      </c>
      <c r="I23" s="6" t="s">
        <v>23</v>
      </c>
      <c r="J23" s="6" t="s">
        <v>62</v>
      </c>
      <c r="K23" s="6" t="s">
        <v>25</v>
      </c>
      <c r="L23" s="7" t="s">
        <v>627</v>
      </c>
      <c r="M23" s="8"/>
      <c r="N23" s="8"/>
      <c r="O23" s="6" t="s">
        <v>776</v>
      </c>
      <c r="P23" s="6">
        <v>14</v>
      </c>
      <c r="Q23" s="5">
        <v>46287</v>
      </c>
      <c r="R23" s="8"/>
      <c r="S23" s="8"/>
      <c r="T23" s="8"/>
      <c r="U23" s="8"/>
      <c r="V23" s="8"/>
      <c r="W23" s="562" t="s">
        <v>461</v>
      </c>
      <c r="X23" s="6"/>
      <c r="Y23" s="885"/>
    </row>
    <row r="24" spans="1:25" ht="50.1" customHeight="1" thickBot="1" x14ac:dyDescent="0.3">
      <c r="A24" s="872" t="s">
        <v>777</v>
      </c>
      <c r="B24" s="12" t="s">
        <v>778</v>
      </c>
      <c r="C24" s="5">
        <v>46267</v>
      </c>
      <c r="D24" s="6" t="s">
        <v>28</v>
      </c>
      <c r="E24" s="6" t="s">
        <v>61</v>
      </c>
      <c r="F24" s="7" t="s">
        <v>779</v>
      </c>
      <c r="G24" s="6" t="s">
        <v>22</v>
      </c>
      <c r="H24" s="6">
        <v>316</v>
      </c>
      <c r="I24" s="6" t="s">
        <v>23</v>
      </c>
      <c r="J24" s="6" t="s">
        <v>175</v>
      </c>
      <c r="K24" s="8"/>
      <c r="L24" s="7" t="s">
        <v>636</v>
      </c>
      <c r="M24" s="8"/>
      <c r="N24" s="8"/>
      <c r="O24" s="6" t="s">
        <v>546</v>
      </c>
      <c r="P24" s="6">
        <v>14</v>
      </c>
      <c r="Q24" s="5">
        <v>46287</v>
      </c>
      <c r="R24" s="8"/>
      <c r="S24" s="8"/>
      <c r="T24" s="8"/>
      <c r="U24" s="8"/>
      <c r="V24" s="8"/>
      <c r="W24" s="562" t="s">
        <v>461</v>
      </c>
      <c r="X24" s="6"/>
      <c r="Y24" s="885"/>
    </row>
    <row r="25" spans="1:25" ht="50.1" customHeight="1" thickBot="1" x14ac:dyDescent="0.3">
      <c r="A25" s="4" t="s">
        <v>780</v>
      </c>
      <c r="B25" s="6" t="s">
        <v>781</v>
      </c>
      <c r="C25" s="5">
        <v>46267</v>
      </c>
      <c r="D25" s="6" t="s">
        <v>19</v>
      </c>
      <c r="E25" s="6" t="s">
        <v>39</v>
      </c>
      <c r="F25" s="7" t="s">
        <v>782</v>
      </c>
      <c r="G25" s="6" t="s">
        <v>30</v>
      </c>
      <c r="H25" s="6">
        <v>503</v>
      </c>
      <c r="I25" s="6" t="s">
        <v>31</v>
      </c>
      <c r="J25" s="6" t="s">
        <v>93</v>
      </c>
      <c r="K25" s="6" t="s">
        <v>25</v>
      </c>
      <c r="L25" s="7" t="s">
        <v>783</v>
      </c>
      <c r="M25" s="8"/>
      <c r="N25" s="8"/>
      <c r="O25" s="8"/>
      <c r="P25" s="6">
        <v>14</v>
      </c>
      <c r="Q25" s="5">
        <v>46287</v>
      </c>
      <c r="R25" s="6" t="s">
        <v>26</v>
      </c>
      <c r="S25" s="6" t="s">
        <v>26</v>
      </c>
      <c r="T25" s="5">
        <v>46286</v>
      </c>
      <c r="U25" s="5">
        <v>46287</v>
      </c>
      <c r="V25" s="6" t="s">
        <v>784</v>
      </c>
      <c r="W25" s="9" t="s">
        <v>27</v>
      </c>
      <c r="X25" s="10" t="s">
        <v>25</v>
      </c>
      <c r="Y25" s="885"/>
    </row>
    <row r="26" spans="1:25" ht="50.1" customHeight="1" thickBot="1" x14ac:dyDescent="0.3">
      <c r="A26" s="872" t="s">
        <v>785</v>
      </c>
      <c r="B26" s="6" t="s">
        <v>786</v>
      </c>
      <c r="C26" s="5">
        <v>46267</v>
      </c>
      <c r="D26" s="6" t="s">
        <v>19</v>
      </c>
      <c r="E26" s="6" t="s">
        <v>20</v>
      </c>
      <c r="F26" s="7" t="s">
        <v>787</v>
      </c>
      <c r="G26" s="6" t="s">
        <v>22</v>
      </c>
      <c r="H26" s="6">
        <v>304</v>
      </c>
      <c r="I26" s="6" t="s">
        <v>43</v>
      </c>
      <c r="J26" s="6" t="s">
        <v>44</v>
      </c>
      <c r="K26" s="6" t="s">
        <v>47</v>
      </c>
      <c r="L26" s="7" t="s">
        <v>788</v>
      </c>
      <c r="M26" s="6">
        <v>1215940</v>
      </c>
      <c r="N26" s="8"/>
      <c r="O26" s="8"/>
      <c r="P26" s="6">
        <v>14</v>
      </c>
      <c r="Q26" s="5">
        <v>46287</v>
      </c>
      <c r="R26" s="6" t="s">
        <v>26</v>
      </c>
      <c r="S26" s="6" t="s">
        <v>26</v>
      </c>
      <c r="T26" s="5">
        <v>46286</v>
      </c>
      <c r="U26" s="5">
        <v>46287</v>
      </c>
      <c r="V26" s="6" t="s">
        <v>789</v>
      </c>
      <c r="W26" s="9" t="s">
        <v>27</v>
      </c>
      <c r="X26" s="10" t="s">
        <v>25</v>
      </c>
      <c r="Y26" s="885"/>
    </row>
    <row r="27" spans="1:25" ht="50.1" customHeight="1" thickBot="1" x14ac:dyDescent="0.3">
      <c r="A27" s="872" t="s">
        <v>790</v>
      </c>
      <c r="B27" s="6" t="s">
        <v>791</v>
      </c>
      <c r="C27" s="5">
        <v>46267</v>
      </c>
      <c r="D27" s="6" t="s">
        <v>19</v>
      </c>
      <c r="E27" s="6" t="s">
        <v>20</v>
      </c>
      <c r="F27" s="7" t="s">
        <v>21</v>
      </c>
      <c r="G27" s="6" t="s">
        <v>22</v>
      </c>
      <c r="H27" s="6">
        <v>316</v>
      </c>
      <c r="I27" s="6" t="s">
        <v>23</v>
      </c>
      <c r="J27" s="6" t="s">
        <v>24</v>
      </c>
      <c r="K27" s="6" t="s">
        <v>25</v>
      </c>
      <c r="L27" s="7" t="s">
        <v>792</v>
      </c>
      <c r="M27" s="8"/>
      <c r="N27" s="8"/>
      <c r="O27" s="8"/>
      <c r="P27" s="6">
        <v>14</v>
      </c>
      <c r="Q27" s="5">
        <v>46287</v>
      </c>
      <c r="R27" s="6" t="s">
        <v>26</v>
      </c>
      <c r="S27" s="6" t="s">
        <v>26</v>
      </c>
      <c r="T27" s="5">
        <v>46286</v>
      </c>
      <c r="U27" s="5">
        <v>46287</v>
      </c>
      <c r="V27" s="6" t="s">
        <v>793</v>
      </c>
      <c r="W27" s="9" t="s">
        <v>27</v>
      </c>
      <c r="X27" s="10" t="s">
        <v>25</v>
      </c>
      <c r="Y27" s="885"/>
    </row>
    <row r="28" spans="1:25" ht="50.1" customHeight="1" thickBot="1" x14ac:dyDescent="0.3">
      <c r="A28" s="872" t="s">
        <v>794</v>
      </c>
      <c r="B28" s="6" t="s">
        <v>795</v>
      </c>
      <c r="C28" s="5">
        <v>46267</v>
      </c>
      <c r="D28" s="6" t="s">
        <v>19</v>
      </c>
      <c r="E28" s="6" t="s">
        <v>460</v>
      </c>
      <c r="F28" s="7" t="s">
        <v>796</v>
      </c>
      <c r="G28" s="6" t="s">
        <v>34</v>
      </c>
      <c r="H28" s="6">
        <v>127</v>
      </c>
      <c r="I28" s="6" t="s">
        <v>88</v>
      </c>
      <c r="J28" s="6" t="s">
        <v>71</v>
      </c>
      <c r="K28" s="6" t="s">
        <v>47</v>
      </c>
      <c r="L28" s="7" t="s">
        <v>797</v>
      </c>
      <c r="M28" s="6">
        <v>1000100</v>
      </c>
      <c r="N28" s="8"/>
      <c r="O28" s="8"/>
      <c r="P28" s="6">
        <v>14</v>
      </c>
      <c r="Q28" s="5">
        <v>46287</v>
      </c>
      <c r="R28" s="6" t="s">
        <v>26</v>
      </c>
      <c r="S28" s="6" t="s">
        <v>26</v>
      </c>
      <c r="T28" s="5">
        <v>46286</v>
      </c>
      <c r="U28" s="5">
        <v>46287</v>
      </c>
      <c r="V28" s="6" t="s">
        <v>798</v>
      </c>
      <c r="W28" s="9" t="s">
        <v>27</v>
      </c>
      <c r="X28" s="10" t="s">
        <v>25</v>
      </c>
      <c r="Y28" s="885"/>
    </row>
    <row r="29" spans="1:25" ht="50.1" customHeight="1" thickBot="1" x14ac:dyDescent="0.3">
      <c r="A29" s="872" t="s">
        <v>799</v>
      </c>
      <c r="B29" s="6" t="s">
        <v>800</v>
      </c>
      <c r="C29" s="5">
        <v>46267</v>
      </c>
      <c r="D29" s="6" t="s">
        <v>19</v>
      </c>
      <c r="E29" s="6" t="s">
        <v>39</v>
      </c>
      <c r="F29" s="7" t="s">
        <v>58</v>
      </c>
      <c r="G29" s="6" t="s">
        <v>34</v>
      </c>
      <c r="H29" s="6">
        <v>114</v>
      </c>
      <c r="I29" s="6" t="s">
        <v>41</v>
      </c>
      <c r="J29" s="6" t="s">
        <v>42</v>
      </c>
      <c r="K29" s="8"/>
      <c r="L29" s="7" t="s">
        <v>610</v>
      </c>
      <c r="M29" s="6">
        <v>1214960</v>
      </c>
      <c r="N29" s="8"/>
      <c r="O29" s="6" t="s">
        <v>801</v>
      </c>
      <c r="P29" s="6">
        <v>14</v>
      </c>
      <c r="Q29" s="5">
        <v>46287</v>
      </c>
      <c r="R29" s="6" t="s">
        <v>26</v>
      </c>
      <c r="S29" s="6" t="s">
        <v>26</v>
      </c>
      <c r="T29" s="5">
        <v>46286</v>
      </c>
      <c r="U29" s="5">
        <v>46287</v>
      </c>
      <c r="V29" s="6" t="s">
        <v>802</v>
      </c>
      <c r="W29" s="9" t="s">
        <v>27</v>
      </c>
      <c r="X29" s="10" t="s">
        <v>25</v>
      </c>
      <c r="Y29" s="885"/>
    </row>
    <row r="30" spans="1:25" ht="50.1" customHeight="1" thickBot="1" x14ac:dyDescent="0.3">
      <c r="A30" s="872" t="s">
        <v>803</v>
      </c>
      <c r="B30" s="6" t="s">
        <v>804</v>
      </c>
      <c r="C30" s="5">
        <v>46267</v>
      </c>
      <c r="D30" s="6" t="s">
        <v>19</v>
      </c>
      <c r="E30" s="6" t="s">
        <v>39</v>
      </c>
      <c r="F30" s="7" t="s">
        <v>58</v>
      </c>
      <c r="G30" s="6" t="s">
        <v>34</v>
      </c>
      <c r="H30" s="6">
        <v>114</v>
      </c>
      <c r="I30" s="6" t="s">
        <v>41</v>
      </c>
      <c r="J30" s="6" t="s">
        <v>42</v>
      </c>
      <c r="K30" s="8"/>
      <c r="L30" s="7" t="s">
        <v>805</v>
      </c>
      <c r="M30" s="8"/>
      <c r="N30" s="8"/>
      <c r="O30" s="8"/>
      <c r="P30" s="6">
        <v>14</v>
      </c>
      <c r="Q30" s="5">
        <v>46287</v>
      </c>
      <c r="R30" s="6" t="s">
        <v>26</v>
      </c>
      <c r="S30" s="6" t="s">
        <v>26</v>
      </c>
      <c r="T30" s="5">
        <v>46286</v>
      </c>
      <c r="U30" s="5">
        <v>46287</v>
      </c>
      <c r="V30" s="6" t="s">
        <v>806</v>
      </c>
      <c r="W30" s="9" t="s">
        <v>27</v>
      </c>
      <c r="X30" s="10" t="s">
        <v>25</v>
      </c>
      <c r="Y30" s="885"/>
    </row>
    <row r="31" spans="1:25" ht="50.1" customHeight="1" thickBot="1" x14ac:dyDescent="0.3">
      <c r="A31" s="4" t="s">
        <v>807</v>
      </c>
      <c r="B31" s="6" t="s">
        <v>808</v>
      </c>
      <c r="C31" s="5">
        <v>46267</v>
      </c>
      <c r="D31" s="6" t="s">
        <v>19</v>
      </c>
      <c r="E31" s="6" t="s">
        <v>63</v>
      </c>
      <c r="F31" s="7" t="s">
        <v>809</v>
      </c>
      <c r="G31" s="6" t="s">
        <v>22</v>
      </c>
      <c r="H31" s="6">
        <v>316</v>
      </c>
      <c r="I31" s="6" t="s">
        <v>23</v>
      </c>
      <c r="J31" s="6" t="s">
        <v>75</v>
      </c>
      <c r="K31" s="8"/>
      <c r="L31" s="7" t="s">
        <v>810</v>
      </c>
      <c r="M31" s="6">
        <v>1116300</v>
      </c>
      <c r="N31" s="8"/>
      <c r="O31" s="8"/>
      <c r="P31" s="6">
        <v>14</v>
      </c>
      <c r="Q31" s="5">
        <v>46287</v>
      </c>
      <c r="R31" s="8"/>
      <c r="S31" s="8"/>
      <c r="T31" s="8"/>
      <c r="U31" s="8"/>
      <c r="V31" s="8"/>
      <c r="W31" s="562" t="s">
        <v>461</v>
      </c>
      <c r="X31" s="6"/>
      <c r="Y31" s="885"/>
    </row>
    <row r="32" spans="1:25" ht="50.1" customHeight="1" thickBot="1" x14ac:dyDescent="0.3">
      <c r="A32" s="872" t="s">
        <v>811</v>
      </c>
      <c r="B32" s="6" t="s">
        <v>812</v>
      </c>
      <c r="C32" s="5">
        <v>46267</v>
      </c>
      <c r="D32" s="6" t="s">
        <v>19</v>
      </c>
      <c r="E32" s="6" t="s">
        <v>20</v>
      </c>
      <c r="F32" s="7" t="s">
        <v>587</v>
      </c>
      <c r="G32" s="6" t="s">
        <v>22</v>
      </c>
      <c r="H32" s="6">
        <v>304</v>
      </c>
      <c r="I32" s="6" t="s">
        <v>43</v>
      </c>
      <c r="J32" s="6" t="s">
        <v>44</v>
      </c>
      <c r="K32" s="8"/>
      <c r="L32" s="7" t="s">
        <v>813</v>
      </c>
      <c r="M32" s="8"/>
      <c r="N32" s="8"/>
      <c r="O32" s="8"/>
      <c r="P32" s="6">
        <v>14</v>
      </c>
      <c r="Q32" s="5">
        <v>46287</v>
      </c>
      <c r="R32" s="8"/>
      <c r="S32" s="8"/>
      <c r="T32" s="8"/>
      <c r="U32" s="8"/>
      <c r="V32" s="8"/>
      <c r="W32" s="562" t="s">
        <v>461</v>
      </c>
      <c r="X32" s="6"/>
      <c r="Y32" s="885"/>
    </row>
    <row r="33" spans="1:25" ht="50.1" customHeight="1" thickBot="1" x14ac:dyDescent="0.3">
      <c r="A33" s="872" t="s">
        <v>814</v>
      </c>
      <c r="B33" s="6" t="s">
        <v>815</v>
      </c>
      <c r="C33" s="5">
        <v>46267</v>
      </c>
      <c r="D33" s="6" t="s">
        <v>19</v>
      </c>
      <c r="E33" s="6" t="s">
        <v>39</v>
      </c>
      <c r="F33" s="7" t="s">
        <v>58</v>
      </c>
      <c r="G33" s="6" t="s">
        <v>34</v>
      </c>
      <c r="H33" s="6">
        <v>114</v>
      </c>
      <c r="I33" s="6" t="s">
        <v>41</v>
      </c>
      <c r="J33" s="6" t="s">
        <v>42</v>
      </c>
      <c r="K33" s="8"/>
      <c r="L33" s="7" t="s">
        <v>816</v>
      </c>
      <c r="M33" s="6"/>
      <c r="N33" s="8"/>
      <c r="O33" s="8"/>
      <c r="P33" s="6">
        <v>14</v>
      </c>
      <c r="Q33" s="5">
        <v>46287</v>
      </c>
      <c r="R33" s="6" t="s">
        <v>26</v>
      </c>
      <c r="S33" s="6" t="s">
        <v>26</v>
      </c>
      <c r="T33" s="5">
        <v>46286</v>
      </c>
      <c r="U33" s="5">
        <v>46287</v>
      </c>
      <c r="V33" s="6" t="s">
        <v>817</v>
      </c>
      <c r="W33" s="9" t="s">
        <v>27</v>
      </c>
      <c r="X33" s="10" t="s">
        <v>25</v>
      </c>
      <c r="Y33" s="885"/>
    </row>
    <row r="34" spans="1:25" ht="50.1" customHeight="1" thickBot="1" x14ac:dyDescent="0.3">
      <c r="A34" s="872" t="s">
        <v>750</v>
      </c>
      <c r="B34" s="12" t="s">
        <v>818</v>
      </c>
      <c r="C34" s="5">
        <v>46268</v>
      </c>
      <c r="D34" s="6" t="s">
        <v>33</v>
      </c>
      <c r="E34" s="6" t="s">
        <v>20</v>
      </c>
      <c r="F34" s="7" t="s">
        <v>819</v>
      </c>
      <c r="G34" s="6" t="s">
        <v>22</v>
      </c>
      <c r="H34" s="6">
        <v>306</v>
      </c>
      <c r="I34" s="6" t="s">
        <v>79</v>
      </c>
      <c r="J34" s="6" t="s">
        <v>80</v>
      </c>
      <c r="K34" s="8"/>
      <c r="L34" s="7" t="s">
        <v>544</v>
      </c>
      <c r="M34" s="8"/>
      <c r="N34" s="8"/>
      <c r="O34" s="8"/>
      <c r="P34" s="6">
        <v>14</v>
      </c>
      <c r="Q34" s="5">
        <v>46287</v>
      </c>
      <c r="R34" s="6" t="s">
        <v>26</v>
      </c>
      <c r="S34" s="6" t="s">
        <v>26</v>
      </c>
      <c r="T34" s="5">
        <v>46286</v>
      </c>
      <c r="U34" s="5">
        <v>46287</v>
      </c>
      <c r="V34" s="6" t="s">
        <v>820</v>
      </c>
      <c r="W34" s="9" t="s">
        <v>27</v>
      </c>
      <c r="X34" s="10" t="s">
        <v>25</v>
      </c>
      <c r="Y34" s="885"/>
    </row>
    <row r="35" spans="1:25" ht="50.1" customHeight="1" thickBot="1" x14ac:dyDescent="0.3">
      <c r="A35" s="872" t="s">
        <v>821</v>
      </c>
      <c r="B35" s="12" t="s">
        <v>822</v>
      </c>
      <c r="C35" s="5">
        <v>46268</v>
      </c>
      <c r="D35" s="6" t="s">
        <v>33</v>
      </c>
      <c r="E35" s="6" t="s">
        <v>39</v>
      </c>
      <c r="F35" s="7" t="s">
        <v>823</v>
      </c>
      <c r="G35" s="6" t="s">
        <v>34</v>
      </c>
      <c r="H35" s="6">
        <v>114</v>
      </c>
      <c r="I35" s="6" t="s">
        <v>41</v>
      </c>
      <c r="J35" s="6" t="s">
        <v>42</v>
      </c>
      <c r="K35" s="6" t="s">
        <v>25</v>
      </c>
      <c r="L35" s="7" t="s">
        <v>824</v>
      </c>
      <c r="M35" s="8"/>
      <c r="N35" s="8"/>
      <c r="O35" s="8"/>
      <c r="P35" s="6">
        <v>14</v>
      </c>
      <c r="Q35" s="5">
        <v>46288</v>
      </c>
      <c r="R35" s="5">
        <v>46269</v>
      </c>
      <c r="S35" s="6" t="s">
        <v>26</v>
      </c>
      <c r="T35" s="6" t="s">
        <v>26</v>
      </c>
      <c r="U35" s="5">
        <v>46287</v>
      </c>
      <c r="V35" s="6" t="s">
        <v>825</v>
      </c>
      <c r="W35" s="9" t="s">
        <v>27</v>
      </c>
      <c r="X35" s="10" t="s">
        <v>25</v>
      </c>
      <c r="Y35" s="885"/>
    </row>
    <row r="36" spans="1:25" ht="50.1" customHeight="1" thickBot="1" x14ac:dyDescent="0.3">
      <c r="A36" s="872" t="s">
        <v>826</v>
      </c>
      <c r="B36" s="12" t="s">
        <v>827</v>
      </c>
      <c r="C36" s="5">
        <v>46268</v>
      </c>
      <c r="D36" s="6" t="s">
        <v>33</v>
      </c>
      <c r="E36" s="6" t="s">
        <v>61</v>
      </c>
      <c r="F36" s="7" t="s">
        <v>828</v>
      </c>
      <c r="G36" s="6" t="s">
        <v>22</v>
      </c>
      <c r="H36" s="6">
        <v>316</v>
      </c>
      <c r="I36" s="6" t="s">
        <v>23</v>
      </c>
      <c r="J36" s="6" t="s">
        <v>78</v>
      </c>
      <c r="K36" s="6" t="s">
        <v>25</v>
      </c>
      <c r="L36" s="7" t="s">
        <v>829</v>
      </c>
      <c r="M36" s="8"/>
      <c r="N36" s="8"/>
      <c r="O36" s="8"/>
      <c r="P36" s="6">
        <v>14</v>
      </c>
      <c r="Q36" s="5">
        <v>46288</v>
      </c>
      <c r="R36" s="5">
        <v>46269</v>
      </c>
      <c r="S36" s="6" t="s">
        <v>26</v>
      </c>
      <c r="T36" s="6" t="s">
        <v>26</v>
      </c>
      <c r="U36" s="5">
        <v>46288</v>
      </c>
      <c r="V36" s="6" t="s">
        <v>830</v>
      </c>
      <c r="W36" s="9" t="s">
        <v>27</v>
      </c>
      <c r="X36" s="10" t="s">
        <v>25</v>
      </c>
      <c r="Y36" s="885"/>
    </row>
    <row r="37" spans="1:25" ht="50.1" customHeight="1" thickBot="1" x14ac:dyDescent="0.3">
      <c r="A37" s="872" t="s">
        <v>831</v>
      </c>
      <c r="B37" s="12" t="s">
        <v>832</v>
      </c>
      <c r="C37" s="5">
        <v>46268</v>
      </c>
      <c r="D37" s="6" t="s">
        <v>33</v>
      </c>
      <c r="E37" s="6" t="s">
        <v>61</v>
      </c>
      <c r="F37" s="7" t="s">
        <v>833</v>
      </c>
      <c r="G37" s="6" t="s">
        <v>22</v>
      </c>
      <c r="H37" s="6">
        <v>316</v>
      </c>
      <c r="I37" s="6" t="s">
        <v>23</v>
      </c>
      <c r="J37" s="6" t="s">
        <v>175</v>
      </c>
      <c r="K37" s="8"/>
      <c r="L37" s="7" t="s">
        <v>834</v>
      </c>
      <c r="M37" s="8"/>
      <c r="N37" s="8"/>
      <c r="O37" s="8"/>
      <c r="P37" s="6">
        <v>14</v>
      </c>
      <c r="Q37" s="5">
        <v>46288</v>
      </c>
      <c r="R37" s="8"/>
      <c r="S37" s="8"/>
      <c r="T37" s="8"/>
      <c r="U37" s="8"/>
      <c r="V37" s="8"/>
      <c r="W37" s="562" t="s">
        <v>461</v>
      </c>
      <c r="X37" s="6"/>
      <c r="Y37" s="885"/>
    </row>
    <row r="38" spans="1:25" ht="50.1" customHeight="1" thickBot="1" x14ac:dyDescent="0.3">
      <c r="A38" s="4" t="s">
        <v>835</v>
      </c>
      <c r="B38" s="12" t="s">
        <v>836</v>
      </c>
      <c r="C38" s="5">
        <v>46268</v>
      </c>
      <c r="D38" s="6" t="s">
        <v>33</v>
      </c>
      <c r="E38" s="6" t="s">
        <v>67</v>
      </c>
      <c r="F38" s="7" t="s">
        <v>837</v>
      </c>
      <c r="G38" s="6" t="s">
        <v>30</v>
      </c>
      <c r="H38" s="6">
        <v>502</v>
      </c>
      <c r="I38" s="6" t="s">
        <v>37</v>
      </c>
      <c r="J38" s="6" t="s">
        <v>287</v>
      </c>
      <c r="K38" s="8"/>
      <c r="L38" s="7" t="s">
        <v>838</v>
      </c>
      <c r="M38" s="8"/>
      <c r="N38" s="8"/>
      <c r="O38" s="8"/>
      <c r="P38" s="6">
        <v>14</v>
      </c>
      <c r="Q38" s="5">
        <v>46288</v>
      </c>
      <c r="R38" s="6" t="s">
        <v>26</v>
      </c>
      <c r="S38" s="6" t="s">
        <v>26</v>
      </c>
      <c r="T38" s="6" t="s">
        <v>26</v>
      </c>
      <c r="U38" s="5">
        <v>46288</v>
      </c>
      <c r="V38" s="6" t="s">
        <v>839</v>
      </c>
      <c r="W38" s="9" t="s">
        <v>27</v>
      </c>
      <c r="X38" s="10" t="s">
        <v>25</v>
      </c>
      <c r="Y38" s="885"/>
    </row>
    <row r="39" spans="1:25" ht="50.1" customHeight="1" thickBot="1" x14ac:dyDescent="0.3">
      <c r="A39" s="872" t="s">
        <v>840</v>
      </c>
      <c r="B39" s="6" t="s">
        <v>841</v>
      </c>
      <c r="C39" s="5">
        <v>46268</v>
      </c>
      <c r="D39" s="6" t="s">
        <v>19</v>
      </c>
      <c r="E39" s="6" t="s">
        <v>39</v>
      </c>
      <c r="F39" s="7" t="s">
        <v>40</v>
      </c>
      <c r="G39" s="6" t="s">
        <v>34</v>
      </c>
      <c r="H39" s="6">
        <v>114</v>
      </c>
      <c r="I39" s="6" t="s">
        <v>41</v>
      </c>
      <c r="J39" s="6" t="s">
        <v>42</v>
      </c>
      <c r="K39" s="6" t="s">
        <v>25</v>
      </c>
      <c r="L39" s="7" t="s">
        <v>842</v>
      </c>
      <c r="M39" s="8"/>
      <c r="N39" s="8"/>
      <c r="O39" s="8"/>
      <c r="P39" s="6">
        <v>14</v>
      </c>
      <c r="Q39" s="5">
        <v>46288</v>
      </c>
      <c r="R39" s="6" t="s">
        <v>26</v>
      </c>
      <c r="S39" s="6" t="s">
        <v>26</v>
      </c>
      <c r="T39" s="5">
        <v>46288</v>
      </c>
      <c r="U39" s="5">
        <v>46288</v>
      </c>
      <c r="V39" s="6" t="s">
        <v>843</v>
      </c>
      <c r="W39" s="9" t="s">
        <v>27</v>
      </c>
      <c r="X39" s="10" t="s">
        <v>25</v>
      </c>
      <c r="Y39" s="885"/>
    </row>
    <row r="40" spans="1:25" ht="50.1" customHeight="1" thickBot="1" x14ac:dyDescent="0.3">
      <c r="A40" s="872" t="s">
        <v>844</v>
      </c>
      <c r="B40" s="6" t="s">
        <v>845</v>
      </c>
      <c r="C40" s="5">
        <v>46268</v>
      </c>
      <c r="D40" s="6" t="s">
        <v>19</v>
      </c>
      <c r="E40" s="6" t="s">
        <v>39</v>
      </c>
      <c r="F40" s="7" t="s">
        <v>846</v>
      </c>
      <c r="G40" s="6" t="s">
        <v>34</v>
      </c>
      <c r="H40" s="6">
        <v>114</v>
      </c>
      <c r="I40" s="6" t="s">
        <v>41</v>
      </c>
      <c r="J40" s="6" t="s">
        <v>42</v>
      </c>
      <c r="K40" s="6" t="s">
        <v>25</v>
      </c>
      <c r="L40" s="7" t="s">
        <v>847</v>
      </c>
      <c r="M40" s="8"/>
      <c r="N40" s="8"/>
      <c r="O40" s="8"/>
      <c r="P40" s="6">
        <v>14</v>
      </c>
      <c r="Q40" s="5">
        <v>46288</v>
      </c>
      <c r="R40" s="6" t="s">
        <v>26</v>
      </c>
      <c r="S40" s="6" t="s">
        <v>26</v>
      </c>
      <c r="T40" s="5">
        <v>46288</v>
      </c>
      <c r="U40" s="5">
        <v>46288</v>
      </c>
      <c r="V40" s="6" t="s">
        <v>848</v>
      </c>
      <c r="W40" s="9" t="s">
        <v>27</v>
      </c>
      <c r="X40" s="10" t="s">
        <v>25</v>
      </c>
      <c r="Y40" s="885"/>
    </row>
    <row r="41" spans="1:25" ht="50.1" customHeight="1" thickBot="1" x14ac:dyDescent="0.3">
      <c r="A41" s="872" t="s">
        <v>849</v>
      </c>
      <c r="B41" s="873" t="s">
        <v>850</v>
      </c>
      <c r="C41" s="5">
        <v>46268</v>
      </c>
      <c r="D41" s="6" t="s">
        <v>33</v>
      </c>
      <c r="E41" s="6" t="s">
        <v>63</v>
      </c>
      <c r="F41" s="7" t="s">
        <v>851</v>
      </c>
      <c r="G41" s="6" t="s">
        <v>22</v>
      </c>
      <c r="H41" s="6">
        <v>316</v>
      </c>
      <c r="I41" s="6" t="s">
        <v>23</v>
      </c>
      <c r="J41" s="6" t="s">
        <v>173</v>
      </c>
      <c r="K41" s="8"/>
      <c r="L41" s="7" t="s">
        <v>852</v>
      </c>
      <c r="M41" s="8"/>
      <c r="N41" s="8"/>
      <c r="O41" s="8"/>
      <c r="P41" s="6">
        <v>14</v>
      </c>
      <c r="Q41" s="5">
        <v>46288</v>
      </c>
      <c r="R41" s="8"/>
      <c r="S41" s="8"/>
      <c r="T41" s="8"/>
      <c r="U41" s="8"/>
      <c r="V41" s="8"/>
      <c r="W41" s="562" t="s">
        <v>461</v>
      </c>
      <c r="X41" s="6"/>
      <c r="Y41" s="885"/>
    </row>
    <row r="42" spans="1:25" ht="50.1" customHeight="1" thickBot="1" x14ac:dyDescent="0.3">
      <c r="A42" s="4" t="s">
        <v>853</v>
      </c>
      <c r="B42" s="873" t="s">
        <v>854</v>
      </c>
      <c r="C42" s="5">
        <v>46268</v>
      </c>
      <c r="D42" s="6" t="s">
        <v>33</v>
      </c>
      <c r="E42" s="6" t="s">
        <v>84</v>
      </c>
      <c r="F42" s="7" t="s">
        <v>855</v>
      </c>
      <c r="G42" s="6" t="s">
        <v>30</v>
      </c>
      <c r="H42" s="6">
        <v>503</v>
      </c>
      <c r="I42" s="6" t="s">
        <v>31</v>
      </c>
      <c r="J42" s="6" t="s">
        <v>59</v>
      </c>
      <c r="K42" s="6" t="s">
        <v>25</v>
      </c>
      <c r="L42" s="7" t="s">
        <v>856</v>
      </c>
      <c r="M42" s="8"/>
      <c r="N42" s="6">
        <v>3113209682</v>
      </c>
      <c r="O42" s="6" t="s">
        <v>857</v>
      </c>
      <c r="P42" s="6">
        <v>14</v>
      </c>
      <c r="Q42" s="5">
        <v>46288</v>
      </c>
      <c r="R42" s="5">
        <v>46268</v>
      </c>
      <c r="S42" s="6" t="s">
        <v>26</v>
      </c>
      <c r="T42" s="6" t="s">
        <v>26</v>
      </c>
      <c r="U42" s="5">
        <v>46280</v>
      </c>
      <c r="V42" s="6" t="s">
        <v>858</v>
      </c>
      <c r="W42" s="9" t="s">
        <v>27</v>
      </c>
      <c r="X42" s="10" t="s">
        <v>25</v>
      </c>
      <c r="Y42" s="886" t="s">
        <v>25</v>
      </c>
    </row>
    <row r="43" spans="1:25" ht="50.1" customHeight="1" thickBot="1" x14ac:dyDescent="0.3">
      <c r="A43" s="872" t="s">
        <v>859</v>
      </c>
      <c r="B43" s="873" t="s">
        <v>860</v>
      </c>
      <c r="C43" s="5">
        <v>46268</v>
      </c>
      <c r="D43" s="6" t="s">
        <v>19</v>
      </c>
      <c r="E43" s="6" t="s">
        <v>39</v>
      </c>
      <c r="F43" s="7" t="s">
        <v>861</v>
      </c>
      <c r="G43" s="6" t="s">
        <v>34</v>
      </c>
      <c r="H43" s="6">
        <v>114</v>
      </c>
      <c r="I43" s="6" t="s">
        <v>41</v>
      </c>
      <c r="J43" s="6" t="s">
        <v>42</v>
      </c>
      <c r="K43" s="6" t="s">
        <v>25</v>
      </c>
      <c r="L43" s="7" t="s">
        <v>862</v>
      </c>
      <c r="M43" s="8"/>
      <c r="N43" s="8"/>
      <c r="O43" s="8"/>
      <c r="P43" s="6">
        <v>14</v>
      </c>
      <c r="Q43" s="5">
        <v>46288</v>
      </c>
      <c r="R43" s="6" t="s">
        <v>26</v>
      </c>
      <c r="S43" s="6" t="s">
        <v>26</v>
      </c>
      <c r="T43" s="5">
        <v>46288</v>
      </c>
      <c r="U43" s="5">
        <v>46288</v>
      </c>
      <c r="V43" s="6" t="s">
        <v>863</v>
      </c>
      <c r="W43" s="9" t="s">
        <v>27</v>
      </c>
      <c r="X43" s="10" t="s">
        <v>25</v>
      </c>
      <c r="Y43" s="885"/>
    </row>
    <row r="44" spans="1:25" ht="50.1" customHeight="1" thickBot="1" x14ac:dyDescent="0.3">
      <c r="A44" s="872" t="s">
        <v>864</v>
      </c>
      <c r="B44" s="6" t="s">
        <v>865</v>
      </c>
      <c r="C44" s="5">
        <v>46268</v>
      </c>
      <c r="D44" s="6" t="s">
        <v>19</v>
      </c>
      <c r="E44" s="6" t="s">
        <v>20</v>
      </c>
      <c r="F44" s="7" t="s">
        <v>866</v>
      </c>
      <c r="G44" s="6" t="s">
        <v>22</v>
      </c>
      <c r="H44" s="6">
        <v>316</v>
      </c>
      <c r="I44" s="6" t="s">
        <v>23</v>
      </c>
      <c r="J44" s="6" t="s">
        <v>173</v>
      </c>
      <c r="K44" s="6" t="s">
        <v>25</v>
      </c>
      <c r="L44" s="7" t="s">
        <v>867</v>
      </c>
      <c r="M44" s="8"/>
      <c r="N44" s="8"/>
      <c r="O44" s="8"/>
      <c r="P44" s="6">
        <v>14</v>
      </c>
      <c r="Q44" s="5">
        <v>46288</v>
      </c>
      <c r="R44" s="5">
        <v>46268</v>
      </c>
      <c r="S44" s="6" t="s">
        <v>26</v>
      </c>
      <c r="T44" s="6" t="s">
        <v>26</v>
      </c>
      <c r="U44" s="5">
        <v>46288</v>
      </c>
      <c r="V44" s="6" t="s">
        <v>868</v>
      </c>
      <c r="W44" s="9" t="s">
        <v>27</v>
      </c>
      <c r="X44" s="10" t="s">
        <v>25</v>
      </c>
      <c r="Y44" s="885"/>
    </row>
    <row r="45" spans="1:25" ht="50.1" customHeight="1" thickBot="1" x14ac:dyDescent="0.3">
      <c r="A45" s="872" t="s">
        <v>869</v>
      </c>
      <c r="B45" s="6" t="s">
        <v>870</v>
      </c>
      <c r="C45" s="5">
        <v>46268</v>
      </c>
      <c r="D45" s="6" t="s">
        <v>19</v>
      </c>
      <c r="E45" s="6" t="s">
        <v>39</v>
      </c>
      <c r="F45" s="7" t="s">
        <v>871</v>
      </c>
      <c r="G45" s="6" t="s">
        <v>34</v>
      </c>
      <c r="H45" s="6">
        <v>114</v>
      </c>
      <c r="I45" s="6" t="s">
        <v>41</v>
      </c>
      <c r="J45" s="6" t="s">
        <v>42</v>
      </c>
      <c r="K45" s="6" t="s">
        <v>25</v>
      </c>
      <c r="L45" s="7" t="s">
        <v>872</v>
      </c>
      <c r="M45" s="6">
        <v>1048520</v>
      </c>
      <c r="N45" s="8"/>
      <c r="O45" s="8"/>
      <c r="P45" s="6">
        <v>14</v>
      </c>
      <c r="Q45" s="5">
        <v>46288</v>
      </c>
      <c r="R45" s="6" t="s">
        <v>26</v>
      </c>
      <c r="S45" s="6" t="s">
        <v>26</v>
      </c>
      <c r="T45" s="5">
        <v>46287</v>
      </c>
      <c r="U45" s="5">
        <v>46288</v>
      </c>
      <c r="V45" s="6" t="s">
        <v>873</v>
      </c>
      <c r="W45" s="9" t="s">
        <v>27</v>
      </c>
      <c r="X45" s="10" t="s">
        <v>25</v>
      </c>
      <c r="Y45" s="885"/>
    </row>
    <row r="46" spans="1:25" ht="50.1" customHeight="1" thickBot="1" x14ac:dyDescent="0.3">
      <c r="A46" s="872" t="s">
        <v>874</v>
      </c>
      <c r="B46" s="562" t="s">
        <v>875</v>
      </c>
      <c r="C46" s="5">
        <v>46268</v>
      </c>
      <c r="D46" s="6" t="s">
        <v>19</v>
      </c>
      <c r="E46" s="6" t="s">
        <v>39</v>
      </c>
      <c r="F46" s="7" t="s">
        <v>876</v>
      </c>
      <c r="G46" s="6" t="s">
        <v>34</v>
      </c>
      <c r="H46" s="6">
        <v>114</v>
      </c>
      <c r="I46" s="6" t="s">
        <v>41</v>
      </c>
      <c r="J46" s="6" t="s">
        <v>42</v>
      </c>
      <c r="K46" s="8"/>
      <c r="L46" s="7" t="s">
        <v>877</v>
      </c>
      <c r="M46" s="6">
        <v>1216940</v>
      </c>
      <c r="N46" s="8"/>
      <c r="O46" s="8"/>
      <c r="P46" s="6">
        <v>14</v>
      </c>
      <c r="Q46" s="5">
        <v>46288</v>
      </c>
      <c r="R46" s="8"/>
      <c r="S46" s="8"/>
      <c r="T46" s="8"/>
      <c r="U46" s="8"/>
      <c r="V46" s="8"/>
      <c r="W46" s="562" t="s">
        <v>461</v>
      </c>
      <c r="X46" s="6"/>
      <c r="Y46" s="885"/>
    </row>
    <row r="47" spans="1:25" ht="50.1" customHeight="1" thickBot="1" x14ac:dyDescent="0.3">
      <c r="A47" s="872" t="s">
        <v>878</v>
      </c>
      <c r="B47" s="6" t="s">
        <v>879</v>
      </c>
      <c r="C47" s="5">
        <v>46269</v>
      </c>
      <c r="D47" s="6" t="s">
        <v>19</v>
      </c>
      <c r="E47" s="6" t="s">
        <v>39</v>
      </c>
      <c r="F47" s="7" t="s">
        <v>58</v>
      </c>
      <c r="G47" s="6" t="s">
        <v>34</v>
      </c>
      <c r="H47" s="6">
        <v>114</v>
      </c>
      <c r="I47" s="6" t="s">
        <v>41</v>
      </c>
      <c r="J47" s="6" t="s">
        <v>42</v>
      </c>
      <c r="K47" s="6" t="s">
        <v>25</v>
      </c>
      <c r="L47" s="7" t="s">
        <v>880</v>
      </c>
      <c r="M47" s="6">
        <v>1251278</v>
      </c>
      <c r="N47" s="8"/>
      <c r="O47" s="8"/>
      <c r="P47" s="6">
        <v>14</v>
      </c>
      <c r="Q47" s="5">
        <v>46288</v>
      </c>
      <c r="R47" s="6" t="s">
        <v>26</v>
      </c>
      <c r="S47" s="6" t="s">
        <v>26</v>
      </c>
      <c r="T47" s="5">
        <v>46287</v>
      </c>
      <c r="U47" s="5">
        <v>46288</v>
      </c>
      <c r="V47" s="6" t="s">
        <v>881</v>
      </c>
      <c r="W47" s="9" t="s">
        <v>27</v>
      </c>
      <c r="X47" s="10" t="s">
        <v>25</v>
      </c>
      <c r="Y47" s="885"/>
    </row>
    <row r="48" spans="1:25" ht="50.1" customHeight="1" thickBot="1" x14ac:dyDescent="0.3">
      <c r="A48" s="4" t="s">
        <v>882</v>
      </c>
      <c r="B48" s="6" t="s">
        <v>883</v>
      </c>
      <c r="C48" s="5">
        <v>46269</v>
      </c>
      <c r="D48" s="6" t="s">
        <v>33</v>
      </c>
      <c r="E48" s="6" t="s">
        <v>39</v>
      </c>
      <c r="F48" s="7" t="s">
        <v>884</v>
      </c>
      <c r="G48" s="6" t="s">
        <v>30</v>
      </c>
      <c r="H48" s="6">
        <v>503</v>
      </c>
      <c r="I48" s="6" t="s">
        <v>31</v>
      </c>
      <c r="J48" s="6" t="s">
        <v>93</v>
      </c>
      <c r="K48" s="6" t="s">
        <v>47</v>
      </c>
      <c r="L48" s="7" t="s">
        <v>885</v>
      </c>
      <c r="M48" s="8"/>
      <c r="N48" s="8"/>
      <c r="O48" s="8"/>
      <c r="P48" s="6">
        <v>14</v>
      </c>
      <c r="Q48" s="5">
        <v>46289</v>
      </c>
      <c r="R48" s="5">
        <v>46269</v>
      </c>
      <c r="S48" s="6" t="s">
        <v>26</v>
      </c>
      <c r="T48" s="6" t="s">
        <v>26</v>
      </c>
      <c r="U48" s="5">
        <v>46288</v>
      </c>
      <c r="V48" s="6" t="s">
        <v>886</v>
      </c>
      <c r="W48" s="9" t="s">
        <v>27</v>
      </c>
      <c r="X48" s="10" t="s">
        <v>25</v>
      </c>
      <c r="Y48" s="885"/>
    </row>
    <row r="49" spans="1:25" ht="50.1" customHeight="1" thickBot="1" x14ac:dyDescent="0.3">
      <c r="A49" s="677" t="s">
        <v>887</v>
      </c>
      <c r="B49" s="12" t="s">
        <v>888</v>
      </c>
      <c r="C49" s="874">
        <v>46269</v>
      </c>
      <c r="D49" s="12" t="s">
        <v>19</v>
      </c>
      <c r="E49" s="12" t="s">
        <v>39</v>
      </c>
      <c r="F49" s="875" t="s">
        <v>889</v>
      </c>
      <c r="G49" s="12" t="s">
        <v>34</v>
      </c>
      <c r="H49" s="12">
        <v>114</v>
      </c>
      <c r="I49" s="12" t="s">
        <v>41</v>
      </c>
      <c r="J49" s="12" t="s">
        <v>42</v>
      </c>
      <c r="K49" s="863"/>
      <c r="L49" s="875" t="s">
        <v>890</v>
      </c>
      <c r="M49" s="863"/>
      <c r="N49" s="863"/>
      <c r="O49" s="863"/>
      <c r="P49" s="12">
        <v>14</v>
      </c>
      <c r="Q49" s="874">
        <v>46289</v>
      </c>
      <c r="R49" s="863"/>
      <c r="S49" s="863"/>
      <c r="T49" s="863"/>
      <c r="U49" s="863"/>
      <c r="V49" s="863"/>
      <c r="W49" s="562" t="s">
        <v>461</v>
      </c>
      <c r="X49" s="12"/>
      <c r="Y49" s="887"/>
    </row>
    <row r="50" spans="1:25" ht="50.1" customHeight="1" thickBot="1" x14ac:dyDescent="0.3">
      <c r="A50" s="677" t="s">
        <v>891</v>
      </c>
      <c r="B50" s="12" t="s">
        <v>892</v>
      </c>
      <c r="C50" s="874">
        <v>46269</v>
      </c>
      <c r="D50" s="12" t="s">
        <v>19</v>
      </c>
      <c r="E50" s="12" t="s">
        <v>460</v>
      </c>
      <c r="F50" s="875" t="s">
        <v>893</v>
      </c>
      <c r="G50" s="12" t="s">
        <v>34</v>
      </c>
      <c r="H50" s="12">
        <v>127</v>
      </c>
      <c r="I50" s="12" t="s">
        <v>88</v>
      </c>
      <c r="J50" s="12" t="s">
        <v>71</v>
      </c>
      <c r="K50" s="863"/>
      <c r="L50" s="875" t="s">
        <v>598</v>
      </c>
      <c r="M50" s="863"/>
      <c r="N50" s="863"/>
      <c r="O50" s="863"/>
      <c r="P50" s="12">
        <v>14</v>
      </c>
      <c r="Q50" s="874">
        <v>46289</v>
      </c>
      <c r="R50" s="863"/>
      <c r="S50" s="863"/>
      <c r="T50" s="863"/>
      <c r="U50" s="863"/>
      <c r="V50" s="863"/>
      <c r="W50" s="562" t="s">
        <v>461</v>
      </c>
      <c r="X50" s="12"/>
      <c r="Y50" s="887"/>
    </row>
    <row r="51" spans="1:25" ht="50.1" customHeight="1" thickBot="1" x14ac:dyDescent="0.3">
      <c r="A51" s="4" t="s">
        <v>894</v>
      </c>
      <c r="B51" s="6" t="s">
        <v>895</v>
      </c>
      <c r="C51" s="5">
        <v>46269</v>
      </c>
      <c r="D51" s="6" t="s">
        <v>33</v>
      </c>
      <c r="E51" s="6" t="s">
        <v>39</v>
      </c>
      <c r="F51" s="7" t="s">
        <v>896</v>
      </c>
      <c r="G51" s="6" t="s">
        <v>30</v>
      </c>
      <c r="H51" s="6">
        <v>503</v>
      </c>
      <c r="I51" s="6" t="s">
        <v>31</v>
      </c>
      <c r="J51" s="6" t="s">
        <v>93</v>
      </c>
      <c r="K51" s="6" t="s">
        <v>25</v>
      </c>
      <c r="L51" s="7" t="s">
        <v>897</v>
      </c>
      <c r="M51" s="8"/>
      <c r="N51" s="8"/>
      <c r="O51" s="8"/>
      <c r="P51" s="6">
        <v>14</v>
      </c>
      <c r="Q51" s="5">
        <v>46289</v>
      </c>
      <c r="R51" s="5">
        <v>46269</v>
      </c>
      <c r="S51" s="6" t="s">
        <v>26</v>
      </c>
      <c r="T51" s="6" t="s">
        <v>26</v>
      </c>
      <c r="U51" s="5">
        <v>46288</v>
      </c>
      <c r="V51" s="6" t="s">
        <v>898</v>
      </c>
      <c r="W51" s="9" t="s">
        <v>27</v>
      </c>
      <c r="X51" s="10" t="s">
        <v>25</v>
      </c>
      <c r="Y51" s="885"/>
    </row>
    <row r="52" spans="1:25" ht="50.1" customHeight="1" thickBot="1" x14ac:dyDescent="0.3">
      <c r="A52" s="872" t="s">
        <v>899</v>
      </c>
      <c r="B52" s="6" t="s">
        <v>900</v>
      </c>
      <c r="C52" s="5">
        <v>46269</v>
      </c>
      <c r="D52" s="6" t="s">
        <v>33</v>
      </c>
      <c r="E52" s="6" t="s">
        <v>460</v>
      </c>
      <c r="F52" s="7" t="s">
        <v>901</v>
      </c>
      <c r="G52" s="6" t="s">
        <v>34</v>
      </c>
      <c r="H52" s="6">
        <v>127</v>
      </c>
      <c r="I52" s="6" t="s">
        <v>88</v>
      </c>
      <c r="J52" s="6" t="s">
        <v>71</v>
      </c>
      <c r="K52" s="6" t="s">
        <v>47</v>
      </c>
      <c r="L52" s="7" t="s">
        <v>902</v>
      </c>
      <c r="M52" s="6">
        <v>1254016</v>
      </c>
      <c r="N52" s="8"/>
      <c r="O52" s="8"/>
      <c r="P52" s="6">
        <v>14</v>
      </c>
      <c r="Q52" s="5">
        <v>46289</v>
      </c>
      <c r="R52" s="6" t="s">
        <v>26</v>
      </c>
      <c r="S52" s="6" t="s">
        <v>26</v>
      </c>
      <c r="T52" s="5">
        <v>46287</v>
      </c>
      <c r="U52" s="5">
        <v>46289</v>
      </c>
      <c r="V52" s="6" t="s">
        <v>903</v>
      </c>
      <c r="W52" s="9" t="s">
        <v>27</v>
      </c>
      <c r="X52" s="10" t="s">
        <v>25</v>
      </c>
      <c r="Y52" s="885"/>
    </row>
    <row r="53" spans="1:25" ht="50.1" customHeight="1" thickBot="1" x14ac:dyDescent="0.3">
      <c r="A53" s="872" t="s">
        <v>904</v>
      </c>
      <c r="B53" s="6" t="s">
        <v>905</v>
      </c>
      <c r="C53" s="5">
        <v>46272</v>
      </c>
      <c r="D53" s="6" t="s">
        <v>19</v>
      </c>
      <c r="E53" s="6" t="s">
        <v>39</v>
      </c>
      <c r="F53" s="7" t="s">
        <v>871</v>
      </c>
      <c r="G53" s="6" t="s">
        <v>34</v>
      </c>
      <c r="H53" s="6">
        <v>114</v>
      </c>
      <c r="I53" s="6" t="s">
        <v>41</v>
      </c>
      <c r="J53" s="6" t="s">
        <v>42</v>
      </c>
      <c r="K53" s="6" t="s">
        <v>25</v>
      </c>
      <c r="L53" s="7" t="s">
        <v>877</v>
      </c>
      <c r="M53" s="6">
        <v>1016340</v>
      </c>
      <c r="N53" s="8"/>
      <c r="O53" s="8"/>
      <c r="P53" s="6">
        <v>14</v>
      </c>
      <c r="Q53" s="5">
        <v>46289</v>
      </c>
      <c r="R53" s="6" t="s">
        <v>26</v>
      </c>
      <c r="S53" s="6" t="s">
        <v>26</v>
      </c>
      <c r="T53" s="5">
        <v>46287</v>
      </c>
      <c r="U53" s="5">
        <v>46288</v>
      </c>
      <c r="V53" s="6" t="s">
        <v>906</v>
      </c>
      <c r="W53" s="9" t="s">
        <v>27</v>
      </c>
      <c r="X53" s="10" t="s">
        <v>25</v>
      </c>
      <c r="Y53" s="885"/>
    </row>
    <row r="54" spans="1:25" ht="50.1" customHeight="1" thickBot="1" x14ac:dyDescent="0.3">
      <c r="A54" s="872" t="s">
        <v>907</v>
      </c>
      <c r="B54" s="6" t="s">
        <v>908</v>
      </c>
      <c r="C54" s="5">
        <v>46272</v>
      </c>
      <c r="D54" s="6" t="s">
        <v>19</v>
      </c>
      <c r="E54" s="6" t="s">
        <v>20</v>
      </c>
      <c r="F54" s="7" t="s">
        <v>45</v>
      </c>
      <c r="G54" s="6" t="s">
        <v>22</v>
      </c>
      <c r="H54" s="6">
        <v>316</v>
      </c>
      <c r="I54" s="6" t="s">
        <v>23</v>
      </c>
      <c r="J54" s="6" t="s">
        <v>46</v>
      </c>
      <c r="K54" s="6" t="s">
        <v>25</v>
      </c>
      <c r="L54" s="7" t="s">
        <v>909</v>
      </c>
      <c r="M54" s="6">
        <v>1202460</v>
      </c>
      <c r="N54" s="8"/>
      <c r="O54" s="8"/>
      <c r="P54" s="6">
        <v>14</v>
      </c>
      <c r="Q54" s="5">
        <v>46290</v>
      </c>
      <c r="R54" s="5">
        <v>46272</v>
      </c>
      <c r="S54" s="6" t="s">
        <v>26</v>
      </c>
      <c r="T54" s="5">
        <v>46272</v>
      </c>
      <c r="U54" s="5">
        <v>46289</v>
      </c>
      <c r="V54" s="6" t="s">
        <v>910</v>
      </c>
      <c r="W54" s="9" t="s">
        <v>27</v>
      </c>
      <c r="X54" s="10" t="s">
        <v>25</v>
      </c>
      <c r="Y54" s="885"/>
    </row>
    <row r="55" spans="1:25" ht="50.1" customHeight="1" thickBot="1" x14ac:dyDescent="0.3">
      <c r="A55" s="4" t="s">
        <v>911</v>
      </c>
      <c r="B55" s="6" t="s">
        <v>912</v>
      </c>
      <c r="C55" s="5">
        <v>46272</v>
      </c>
      <c r="D55" s="6" t="s">
        <v>33</v>
      </c>
      <c r="E55" s="6" t="s">
        <v>39</v>
      </c>
      <c r="F55" s="7" t="s">
        <v>913</v>
      </c>
      <c r="G55" s="6" t="s">
        <v>30</v>
      </c>
      <c r="H55" s="6">
        <v>503</v>
      </c>
      <c r="I55" s="6" t="s">
        <v>31</v>
      </c>
      <c r="J55" s="6" t="s">
        <v>93</v>
      </c>
      <c r="K55" s="6" t="s">
        <v>25</v>
      </c>
      <c r="L55" s="7" t="s">
        <v>914</v>
      </c>
      <c r="M55" s="8"/>
      <c r="N55" s="8"/>
      <c r="O55" s="8"/>
      <c r="P55" s="6">
        <v>14</v>
      </c>
      <c r="Q55" s="5">
        <v>46290</v>
      </c>
      <c r="R55" s="5">
        <v>46272</v>
      </c>
      <c r="S55" s="6" t="s">
        <v>26</v>
      </c>
      <c r="T55" s="5">
        <v>46272</v>
      </c>
      <c r="U55" s="5">
        <v>46290</v>
      </c>
      <c r="V55" s="6" t="s">
        <v>915</v>
      </c>
      <c r="W55" s="9" t="s">
        <v>27</v>
      </c>
      <c r="X55" s="10" t="s">
        <v>25</v>
      </c>
      <c r="Y55" s="885"/>
    </row>
    <row r="56" spans="1:25" ht="50.1" customHeight="1" thickBot="1" x14ac:dyDescent="0.3">
      <c r="A56" s="872" t="s">
        <v>916</v>
      </c>
      <c r="B56" s="6" t="s">
        <v>917</v>
      </c>
      <c r="C56" s="5">
        <v>46272</v>
      </c>
      <c r="D56" s="6" t="s">
        <v>19</v>
      </c>
      <c r="E56" s="6" t="s">
        <v>460</v>
      </c>
      <c r="F56" s="7" t="s">
        <v>918</v>
      </c>
      <c r="G56" s="6" t="s">
        <v>22</v>
      </c>
      <c r="H56" s="6">
        <v>316</v>
      </c>
      <c r="I56" s="6" t="s">
        <v>23</v>
      </c>
      <c r="J56" s="6" t="s">
        <v>57</v>
      </c>
      <c r="K56" s="6" t="s">
        <v>25</v>
      </c>
      <c r="L56" s="7" t="s">
        <v>919</v>
      </c>
      <c r="M56" s="8"/>
      <c r="N56" s="8"/>
      <c r="O56" s="8"/>
      <c r="P56" s="6">
        <v>14</v>
      </c>
      <c r="Q56" s="5">
        <v>46290</v>
      </c>
      <c r="R56" s="5">
        <v>46272</v>
      </c>
      <c r="S56" s="6" t="s">
        <v>26</v>
      </c>
      <c r="T56" s="5">
        <v>46275</v>
      </c>
      <c r="U56" s="5">
        <v>46289</v>
      </c>
      <c r="V56" s="6" t="s">
        <v>920</v>
      </c>
      <c r="W56" s="9" t="s">
        <v>27</v>
      </c>
      <c r="X56" s="10" t="s">
        <v>25</v>
      </c>
      <c r="Y56" s="885"/>
    </row>
    <row r="57" spans="1:25" ht="50.1" customHeight="1" thickBot="1" x14ac:dyDescent="0.3">
      <c r="A57" s="872" t="s">
        <v>921</v>
      </c>
      <c r="B57" s="6" t="s">
        <v>922</v>
      </c>
      <c r="C57" s="5">
        <v>46272</v>
      </c>
      <c r="D57" s="6" t="s">
        <v>19</v>
      </c>
      <c r="E57" s="6" t="s">
        <v>20</v>
      </c>
      <c r="F57" s="7" t="s">
        <v>923</v>
      </c>
      <c r="G57" s="6" t="s">
        <v>22</v>
      </c>
      <c r="H57" s="6">
        <v>316</v>
      </c>
      <c r="I57" s="6" t="s">
        <v>23</v>
      </c>
      <c r="J57" s="6" t="s">
        <v>169</v>
      </c>
      <c r="K57" s="6" t="s">
        <v>25</v>
      </c>
      <c r="L57" s="7" t="s">
        <v>638</v>
      </c>
      <c r="M57" s="6">
        <v>1167160</v>
      </c>
      <c r="N57" s="8"/>
      <c r="O57" s="8"/>
      <c r="P57" s="6">
        <v>14</v>
      </c>
      <c r="Q57" s="5">
        <v>46290</v>
      </c>
      <c r="R57" s="6" t="s">
        <v>26</v>
      </c>
      <c r="S57" s="6" t="s">
        <v>26</v>
      </c>
      <c r="T57" s="5">
        <v>46287</v>
      </c>
      <c r="U57" s="5">
        <v>46289</v>
      </c>
      <c r="V57" s="6" t="s">
        <v>924</v>
      </c>
      <c r="W57" s="9" t="s">
        <v>27</v>
      </c>
      <c r="X57" s="10" t="s">
        <v>25</v>
      </c>
      <c r="Y57" s="885"/>
    </row>
    <row r="58" spans="1:25" ht="50.1" customHeight="1" thickBot="1" x14ac:dyDescent="0.3">
      <c r="A58" s="872" t="s">
        <v>925</v>
      </c>
      <c r="B58" s="6" t="s">
        <v>926</v>
      </c>
      <c r="C58" s="5">
        <v>46272</v>
      </c>
      <c r="D58" s="6" t="s">
        <v>19</v>
      </c>
      <c r="E58" s="6" t="s">
        <v>39</v>
      </c>
      <c r="F58" s="7" t="s">
        <v>40</v>
      </c>
      <c r="G58" s="6" t="s">
        <v>34</v>
      </c>
      <c r="H58" s="6">
        <v>114</v>
      </c>
      <c r="I58" s="6" t="s">
        <v>41</v>
      </c>
      <c r="J58" s="6" t="s">
        <v>42</v>
      </c>
      <c r="K58" s="6" t="s">
        <v>25</v>
      </c>
      <c r="L58" s="7" t="s">
        <v>927</v>
      </c>
      <c r="M58" s="8"/>
      <c r="N58" s="8"/>
      <c r="O58" s="8"/>
      <c r="P58" s="6">
        <v>14</v>
      </c>
      <c r="Q58" s="5">
        <v>46290</v>
      </c>
      <c r="R58" s="6" t="s">
        <v>26</v>
      </c>
      <c r="S58" s="6" t="s">
        <v>26</v>
      </c>
      <c r="T58" s="5">
        <v>46287</v>
      </c>
      <c r="U58" s="5">
        <v>46289</v>
      </c>
      <c r="V58" s="6" t="s">
        <v>928</v>
      </c>
      <c r="W58" s="9" t="s">
        <v>27</v>
      </c>
      <c r="X58" s="10" t="s">
        <v>25</v>
      </c>
      <c r="Y58" s="885"/>
    </row>
    <row r="59" spans="1:25" ht="50.1" customHeight="1" thickBot="1" x14ac:dyDescent="0.3">
      <c r="A59" s="872" t="s">
        <v>929</v>
      </c>
      <c r="B59" s="6" t="s">
        <v>930</v>
      </c>
      <c r="C59" s="5">
        <v>46272</v>
      </c>
      <c r="D59" s="6" t="s">
        <v>33</v>
      </c>
      <c r="E59" s="6" t="s">
        <v>29</v>
      </c>
      <c r="F59" s="7" t="s">
        <v>931</v>
      </c>
      <c r="G59" s="6" t="s">
        <v>30</v>
      </c>
      <c r="H59" s="6">
        <v>502</v>
      </c>
      <c r="I59" s="6" t="s">
        <v>37</v>
      </c>
      <c r="J59" s="6" t="s">
        <v>38</v>
      </c>
      <c r="K59" s="6" t="s">
        <v>25</v>
      </c>
      <c r="L59" s="7" t="s">
        <v>582</v>
      </c>
      <c r="M59" s="8"/>
      <c r="N59" s="6">
        <v>3044089981</v>
      </c>
      <c r="O59" s="6" t="s">
        <v>932</v>
      </c>
      <c r="P59" s="6">
        <v>14</v>
      </c>
      <c r="Q59" s="5">
        <v>46290</v>
      </c>
      <c r="R59" s="5">
        <v>46272</v>
      </c>
      <c r="S59" s="6" t="s">
        <v>26</v>
      </c>
      <c r="T59" s="6" t="s">
        <v>26</v>
      </c>
      <c r="U59" s="5">
        <v>46280</v>
      </c>
      <c r="V59" s="6" t="s">
        <v>933</v>
      </c>
      <c r="W59" s="9" t="s">
        <v>27</v>
      </c>
      <c r="X59" s="10" t="s">
        <v>25</v>
      </c>
      <c r="Y59" s="886" t="s">
        <v>25</v>
      </c>
    </row>
    <row r="60" spans="1:25" ht="50.1" customHeight="1" thickBot="1" x14ac:dyDescent="0.3">
      <c r="A60" s="872" t="s">
        <v>934</v>
      </c>
      <c r="B60" s="6" t="s">
        <v>935</v>
      </c>
      <c r="C60" s="5">
        <v>46272</v>
      </c>
      <c r="D60" s="6" t="s">
        <v>19</v>
      </c>
      <c r="E60" s="6" t="s">
        <v>39</v>
      </c>
      <c r="F60" s="7" t="s">
        <v>380</v>
      </c>
      <c r="G60" s="6" t="s">
        <v>22</v>
      </c>
      <c r="H60" s="6">
        <v>316</v>
      </c>
      <c r="I60" s="6" t="s">
        <v>23</v>
      </c>
      <c r="J60" s="6" t="s">
        <v>288</v>
      </c>
      <c r="K60" s="8"/>
      <c r="L60" s="7" t="s">
        <v>936</v>
      </c>
      <c r="M60" s="6">
        <v>1092380</v>
      </c>
      <c r="N60" s="8"/>
      <c r="O60" s="8"/>
      <c r="P60" s="6">
        <v>14</v>
      </c>
      <c r="Q60" s="5">
        <v>46290</v>
      </c>
      <c r="R60" s="8"/>
      <c r="S60" s="8"/>
      <c r="T60" s="8"/>
      <c r="U60" s="8"/>
      <c r="V60" s="8"/>
      <c r="W60" s="562" t="s">
        <v>461</v>
      </c>
      <c r="X60" s="6"/>
      <c r="Y60" s="885"/>
    </row>
    <row r="61" spans="1:25" ht="50.1" customHeight="1" thickBot="1" x14ac:dyDescent="0.3">
      <c r="A61" s="4" t="s">
        <v>937</v>
      </c>
      <c r="B61" s="6" t="s">
        <v>938</v>
      </c>
      <c r="C61" s="5">
        <v>46272</v>
      </c>
      <c r="D61" s="6" t="s">
        <v>33</v>
      </c>
      <c r="E61" s="6" t="s">
        <v>29</v>
      </c>
      <c r="F61" s="7" t="s">
        <v>939</v>
      </c>
      <c r="G61" s="6" t="s">
        <v>30</v>
      </c>
      <c r="H61" s="6">
        <v>502</v>
      </c>
      <c r="I61" s="6" t="s">
        <v>37</v>
      </c>
      <c r="J61" s="6" t="s">
        <v>38</v>
      </c>
      <c r="K61" s="6" t="s">
        <v>25</v>
      </c>
      <c r="L61" s="7" t="s">
        <v>940</v>
      </c>
      <c r="M61" s="8"/>
      <c r="N61" s="8"/>
      <c r="O61" s="8"/>
      <c r="P61" s="6">
        <v>14</v>
      </c>
      <c r="Q61" s="5">
        <v>46290</v>
      </c>
      <c r="R61" s="5">
        <v>46272</v>
      </c>
      <c r="S61" s="6" t="s">
        <v>26</v>
      </c>
      <c r="T61" s="6" t="s">
        <v>26</v>
      </c>
      <c r="U61" s="5">
        <v>46290</v>
      </c>
      <c r="V61" s="6" t="s">
        <v>941</v>
      </c>
      <c r="W61" s="9" t="s">
        <v>27</v>
      </c>
      <c r="X61" s="10" t="s">
        <v>25</v>
      </c>
      <c r="Y61" s="885"/>
    </row>
    <row r="62" spans="1:25" ht="50.1" customHeight="1" thickBot="1" x14ac:dyDescent="0.3">
      <c r="A62" s="872" t="s">
        <v>942</v>
      </c>
      <c r="B62" s="6" t="s">
        <v>943</v>
      </c>
      <c r="C62" s="5">
        <v>46272</v>
      </c>
      <c r="D62" s="6" t="s">
        <v>33</v>
      </c>
      <c r="E62" s="6" t="s">
        <v>29</v>
      </c>
      <c r="F62" s="7" t="s">
        <v>944</v>
      </c>
      <c r="G62" s="6" t="s">
        <v>34</v>
      </c>
      <c r="H62" s="6">
        <v>127</v>
      </c>
      <c r="I62" s="6" t="s">
        <v>88</v>
      </c>
      <c r="J62" s="6" t="s">
        <v>71</v>
      </c>
      <c r="K62" s="6" t="s">
        <v>47</v>
      </c>
      <c r="L62" s="7" t="s">
        <v>945</v>
      </c>
      <c r="M62" s="8"/>
      <c r="N62" s="8"/>
      <c r="O62" s="6" t="s">
        <v>946</v>
      </c>
      <c r="P62" s="6">
        <v>14</v>
      </c>
      <c r="Q62" s="5">
        <v>46290</v>
      </c>
      <c r="R62" s="6" t="s">
        <v>26</v>
      </c>
      <c r="S62" s="6" t="s">
        <v>26</v>
      </c>
      <c r="T62" s="6" t="s">
        <v>26</v>
      </c>
      <c r="U62" s="5">
        <v>46290</v>
      </c>
      <c r="V62" s="6" t="s">
        <v>947</v>
      </c>
      <c r="W62" s="9" t="s">
        <v>27</v>
      </c>
      <c r="X62" s="10" t="s">
        <v>25</v>
      </c>
      <c r="Y62" s="885"/>
    </row>
    <row r="63" spans="1:25" ht="50.1" customHeight="1" thickBot="1" x14ac:dyDescent="0.3">
      <c r="A63" s="872" t="s">
        <v>948</v>
      </c>
      <c r="B63" s="6" t="s">
        <v>949</v>
      </c>
      <c r="C63" s="5">
        <v>46272</v>
      </c>
      <c r="D63" s="6" t="s">
        <v>19</v>
      </c>
      <c r="E63" s="6" t="s">
        <v>39</v>
      </c>
      <c r="F63" s="7" t="s">
        <v>58</v>
      </c>
      <c r="G63" s="6" t="s">
        <v>34</v>
      </c>
      <c r="H63" s="6">
        <v>114</v>
      </c>
      <c r="I63" s="6" t="s">
        <v>41</v>
      </c>
      <c r="J63" s="6" t="s">
        <v>42</v>
      </c>
      <c r="K63" s="6" t="s">
        <v>25</v>
      </c>
      <c r="L63" s="7" t="s">
        <v>597</v>
      </c>
      <c r="M63" s="6">
        <v>1215780</v>
      </c>
      <c r="N63" s="8"/>
      <c r="O63" s="8"/>
      <c r="P63" s="6">
        <v>14</v>
      </c>
      <c r="Q63" s="5">
        <v>46290</v>
      </c>
      <c r="R63" s="6" t="s">
        <v>26</v>
      </c>
      <c r="S63" s="6" t="s">
        <v>26</v>
      </c>
      <c r="T63" s="6" t="s">
        <v>26</v>
      </c>
      <c r="U63" s="5">
        <v>46290</v>
      </c>
      <c r="V63" s="6" t="s">
        <v>950</v>
      </c>
      <c r="W63" s="9" t="s">
        <v>27</v>
      </c>
      <c r="X63" s="10" t="s">
        <v>25</v>
      </c>
      <c r="Y63" s="885"/>
    </row>
    <row r="64" spans="1:25" ht="50.1" customHeight="1" thickBot="1" x14ac:dyDescent="0.3">
      <c r="A64" s="4" t="s">
        <v>951</v>
      </c>
      <c r="B64" s="6" t="s">
        <v>952</v>
      </c>
      <c r="C64" s="5">
        <v>46272</v>
      </c>
      <c r="D64" s="6" t="s">
        <v>19</v>
      </c>
      <c r="E64" s="6" t="s">
        <v>39</v>
      </c>
      <c r="F64" s="7" t="s">
        <v>953</v>
      </c>
      <c r="G64" s="6" t="s">
        <v>30</v>
      </c>
      <c r="H64" s="6">
        <v>503</v>
      </c>
      <c r="I64" s="6" t="s">
        <v>31</v>
      </c>
      <c r="J64" s="6" t="s">
        <v>93</v>
      </c>
      <c r="K64" s="6" t="s">
        <v>25</v>
      </c>
      <c r="L64" s="7" t="s">
        <v>954</v>
      </c>
      <c r="M64" s="6">
        <v>1173100</v>
      </c>
      <c r="N64" s="8"/>
      <c r="O64" s="8"/>
      <c r="P64" s="6">
        <v>14</v>
      </c>
      <c r="Q64" s="5">
        <v>46290</v>
      </c>
      <c r="R64" s="5">
        <v>46272</v>
      </c>
      <c r="S64" s="6" t="s">
        <v>26</v>
      </c>
      <c r="T64" s="6" t="s">
        <v>26</v>
      </c>
      <c r="U64" s="5">
        <v>46289</v>
      </c>
      <c r="V64" s="6" t="s">
        <v>955</v>
      </c>
      <c r="W64" s="9" t="s">
        <v>27</v>
      </c>
      <c r="X64" s="10" t="s">
        <v>25</v>
      </c>
      <c r="Y64" s="885"/>
    </row>
    <row r="65" spans="1:25" ht="50.1" customHeight="1" thickBot="1" x14ac:dyDescent="0.3">
      <c r="A65" s="872" t="s">
        <v>956</v>
      </c>
      <c r="B65" s="6" t="s">
        <v>957</v>
      </c>
      <c r="C65" s="5">
        <v>46272</v>
      </c>
      <c r="D65" s="6" t="s">
        <v>33</v>
      </c>
      <c r="E65" s="6" t="s">
        <v>460</v>
      </c>
      <c r="F65" s="7" t="s">
        <v>958</v>
      </c>
      <c r="G65" s="6" t="s">
        <v>30</v>
      </c>
      <c r="H65" s="6">
        <v>506</v>
      </c>
      <c r="I65" s="6" t="s">
        <v>94</v>
      </c>
      <c r="J65" s="6" t="s">
        <v>95</v>
      </c>
      <c r="K65" s="8"/>
      <c r="L65" s="7" t="s">
        <v>959</v>
      </c>
      <c r="M65" s="8"/>
      <c r="N65" s="8"/>
      <c r="O65" s="8"/>
      <c r="P65" s="6">
        <v>14</v>
      </c>
      <c r="Q65" s="5">
        <v>46290</v>
      </c>
      <c r="R65" s="6" t="s">
        <v>26</v>
      </c>
      <c r="S65" s="6" t="s">
        <v>26</v>
      </c>
      <c r="T65" s="6" t="s">
        <v>26</v>
      </c>
      <c r="U65" s="5">
        <v>46290</v>
      </c>
      <c r="V65" s="6" t="s">
        <v>960</v>
      </c>
      <c r="W65" s="9" t="s">
        <v>27</v>
      </c>
      <c r="X65" s="10" t="s">
        <v>25</v>
      </c>
      <c r="Y65" s="885"/>
    </row>
    <row r="66" spans="1:25" ht="50.1" customHeight="1" thickBot="1" x14ac:dyDescent="0.3">
      <c r="A66" s="872" t="s">
        <v>961</v>
      </c>
      <c r="B66" s="6" t="s">
        <v>962</v>
      </c>
      <c r="C66" s="5">
        <v>46272</v>
      </c>
      <c r="D66" s="6" t="s">
        <v>28</v>
      </c>
      <c r="E66" s="6" t="s">
        <v>460</v>
      </c>
      <c r="F66" s="7" t="s">
        <v>963</v>
      </c>
      <c r="G66" s="6" t="s">
        <v>34</v>
      </c>
      <c r="H66" s="6">
        <v>127</v>
      </c>
      <c r="I66" s="6" t="s">
        <v>88</v>
      </c>
      <c r="J66" s="6" t="s">
        <v>71</v>
      </c>
      <c r="K66" s="6" t="s">
        <v>47</v>
      </c>
      <c r="L66" s="7" t="s">
        <v>964</v>
      </c>
      <c r="M66" s="8"/>
      <c r="N66" s="8"/>
      <c r="O66" s="8"/>
      <c r="P66" s="6">
        <v>14</v>
      </c>
      <c r="Q66" s="5">
        <v>46290</v>
      </c>
      <c r="R66" s="6" t="s">
        <v>26</v>
      </c>
      <c r="S66" s="6" t="s">
        <v>26</v>
      </c>
      <c r="T66" s="6" t="s">
        <v>26</v>
      </c>
      <c r="U66" s="5">
        <v>46290</v>
      </c>
      <c r="V66" s="6" t="s">
        <v>965</v>
      </c>
      <c r="W66" s="9" t="s">
        <v>27</v>
      </c>
      <c r="X66" s="10" t="s">
        <v>25</v>
      </c>
      <c r="Y66" s="885"/>
    </row>
    <row r="67" spans="1:25" ht="50.1" customHeight="1" thickBot="1" x14ac:dyDescent="0.3">
      <c r="A67" s="872" t="s">
        <v>966</v>
      </c>
      <c r="B67" s="6" t="s">
        <v>967</v>
      </c>
      <c r="C67" s="5">
        <v>46272</v>
      </c>
      <c r="D67" s="6" t="s">
        <v>19</v>
      </c>
      <c r="E67" s="6" t="s">
        <v>39</v>
      </c>
      <c r="F67" s="7" t="s">
        <v>515</v>
      </c>
      <c r="G67" s="6" t="s">
        <v>34</v>
      </c>
      <c r="H67" s="6">
        <v>127</v>
      </c>
      <c r="I67" s="6" t="s">
        <v>88</v>
      </c>
      <c r="J67" s="6" t="s">
        <v>71</v>
      </c>
      <c r="K67" s="6" t="s">
        <v>25</v>
      </c>
      <c r="L67" s="7" t="s">
        <v>968</v>
      </c>
      <c r="M67" s="8"/>
      <c r="N67" s="8"/>
      <c r="O67" s="8"/>
      <c r="P67" s="6">
        <v>14</v>
      </c>
      <c r="Q67" s="5">
        <v>46290</v>
      </c>
      <c r="R67" s="5">
        <v>46272</v>
      </c>
      <c r="S67" s="6" t="s">
        <v>26</v>
      </c>
      <c r="T67" s="6" t="s">
        <v>26</v>
      </c>
      <c r="U67" s="5">
        <v>46290</v>
      </c>
      <c r="V67" s="6" t="s">
        <v>969</v>
      </c>
      <c r="W67" s="9" t="s">
        <v>27</v>
      </c>
      <c r="X67" s="10" t="s">
        <v>25</v>
      </c>
      <c r="Y67" s="885"/>
    </row>
    <row r="68" spans="1:25" ht="50.1" customHeight="1" thickBot="1" x14ac:dyDescent="0.3">
      <c r="A68" s="13"/>
      <c r="B68" s="6" t="s">
        <v>970</v>
      </c>
      <c r="C68" s="5">
        <v>46272</v>
      </c>
      <c r="D68" s="6" t="s">
        <v>33</v>
      </c>
      <c r="E68" s="6" t="s">
        <v>29</v>
      </c>
      <c r="F68" s="7" t="s">
        <v>620</v>
      </c>
      <c r="G68" s="6" t="s">
        <v>34</v>
      </c>
      <c r="H68" s="6">
        <v>106</v>
      </c>
      <c r="I68" s="6" t="s">
        <v>112</v>
      </c>
      <c r="J68" s="6" t="s">
        <v>53</v>
      </c>
      <c r="K68" s="6" t="s">
        <v>25</v>
      </c>
      <c r="L68" s="7" t="s">
        <v>683</v>
      </c>
      <c r="M68" s="8"/>
      <c r="N68" s="8"/>
      <c r="O68" s="8"/>
      <c r="P68" s="6">
        <v>14</v>
      </c>
      <c r="Q68" s="5">
        <v>46290</v>
      </c>
      <c r="R68" s="6" t="s">
        <v>26</v>
      </c>
      <c r="S68" s="6" t="s">
        <v>26</v>
      </c>
      <c r="T68" s="6" t="s">
        <v>26</v>
      </c>
      <c r="U68" s="5">
        <v>46290</v>
      </c>
      <c r="V68" s="8"/>
      <c r="W68" s="9" t="s">
        <v>27</v>
      </c>
      <c r="X68" s="10" t="s">
        <v>25</v>
      </c>
      <c r="Y68" s="885"/>
    </row>
    <row r="69" spans="1:25" ht="50.1" customHeight="1" thickBot="1" x14ac:dyDescent="0.3">
      <c r="A69" s="872" t="s">
        <v>971</v>
      </c>
      <c r="B69" s="6" t="s">
        <v>972</v>
      </c>
      <c r="C69" s="5">
        <v>46272</v>
      </c>
      <c r="D69" s="6" t="s">
        <v>19</v>
      </c>
      <c r="E69" s="6" t="s">
        <v>39</v>
      </c>
      <c r="F69" s="7" t="s">
        <v>40</v>
      </c>
      <c r="G69" s="6" t="s">
        <v>34</v>
      </c>
      <c r="H69" s="6">
        <v>114</v>
      </c>
      <c r="I69" s="6" t="s">
        <v>41</v>
      </c>
      <c r="J69" s="6" t="s">
        <v>42</v>
      </c>
      <c r="K69" s="6" t="s">
        <v>25</v>
      </c>
      <c r="L69" s="7" t="s">
        <v>470</v>
      </c>
      <c r="M69" s="6">
        <v>1239372</v>
      </c>
      <c r="N69" s="8"/>
      <c r="O69" s="8"/>
      <c r="P69" s="6">
        <v>14</v>
      </c>
      <c r="Q69" s="5">
        <v>46290</v>
      </c>
      <c r="R69" s="6" t="s">
        <v>26</v>
      </c>
      <c r="S69" s="6" t="s">
        <v>26</v>
      </c>
      <c r="T69" s="6" t="s">
        <v>26</v>
      </c>
      <c r="U69" s="5">
        <v>46290</v>
      </c>
      <c r="V69" s="6" t="s">
        <v>973</v>
      </c>
      <c r="W69" s="9" t="s">
        <v>27</v>
      </c>
      <c r="X69" s="10" t="s">
        <v>25</v>
      </c>
      <c r="Y69" s="885"/>
    </row>
    <row r="70" spans="1:25" ht="50.1" customHeight="1" thickBot="1" x14ac:dyDescent="0.3">
      <c r="A70" s="872" t="s">
        <v>974</v>
      </c>
      <c r="B70" s="6" t="s">
        <v>975</v>
      </c>
      <c r="C70" s="5">
        <v>46272</v>
      </c>
      <c r="D70" s="6" t="s">
        <v>33</v>
      </c>
      <c r="E70" s="6" t="s">
        <v>61</v>
      </c>
      <c r="F70" s="7" t="s">
        <v>976</v>
      </c>
      <c r="G70" s="6" t="s">
        <v>22</v>
      </c>
      <c r="H70" s="6">
        <v>316</v>
      </c>
      <c r="I70" s="6" t="s">
        <v>23</v>
      </c>
      <c r="J70" s="12" t="s">
        <v>175</v>
      </c>
      <c r="K70" s="6" t="s">
        <v>25</v>
      </c>
      <c r="L70" s="7" t="s">
        <v>977</v>
      </c>
      <c r="M70" s="8"/>
      <c r="N70" s="8"/>
      <c r="O70" s="8"/>
      <c r="P70" s="6">
        <v>14</v>
      </c>
      <c r="Q70" s="5">
        <v>46290</v>
      </c>
      <c r="R70" s="5">
        <v>46272</v>
      </c>
      <c r="S70" s="6" t="s">
        <v>26</v>
      </c>
      <c r="T70" s="5">
        <v>46282</v>
      </c>
      <c r="U70" s="5">
        <v>46289</v>
      </c>
      <c r="V70" s="6" t="s">
        <v>978</v>
      </c>
      <c r="W70" s="9" t="s">
        <v>27</v>
      </c>
      <c r="X70" s="10" t="s">
        <v>25</v>
      </c>
      <c r="Y70" s="885"/>
    </row>
    <row r="71" spans="1:25" ht="50.1" customHeight="1" thickBot="1" x14ac:dyDescent="0.3">
      <c r="A71" s="872" t="s">
        <v>979</v>
      </c>
      <c r="B71" s="6" t="s">
        <v>980</v>
      </c>
      <c r="C71" s="5">
        <v>46272</v>
      </c>
      <c r="D71" s="6" t="s">
        <v>33</v>
      </c>
      <c r="E71" s="6" t="s">
        <v>460</v>
      </c>
      <c r="F71" s="7" t="s">
        <v>981</v>
      </c>
      <c r="G71" s="6" t="s">
        <v>34</v>
      </c>
      <c r="H71" s="6">
        <v>127</v>
      </c>
      <c r="I71" s="6" t="s">
        <v>88</v>
      </c>
      <c r="J71" s="6" t="s">
        <v>71</v>
      </c>
      <c r="K71" s="6" t="s">
        <v>47</v>
      </c>
      <c r="L71" s="7" t="s">
        <v>982</v>
      </c>
      <c r="M71" s="8"/>
      <c r="N71" s="8"/>
      <c r="O71" s="8"/>
      <c r="P71" s="6">
        <v>14</v>
      </c>
      <c r="Q71" s="5">
        <v>46290</v>
      </c>
      <c r="R71" s="6" t="s">
        <v>26</v>
      </c>
      <c r="S71" s="6" t="s">
        <v>26</v>
      </c>
      <c r="T71" s="6" t="s">
        <v>26</v>
      </c>
      <c r="U71" s="5">
        <v>46290</v>
      </c>
      <c r="V71" s="6" t="s">
        <v>983</v>
      </c>
      <c r="W71" s="9" t="s">
        <v>27</v>
      </c>
      <c r="X71" s="10" t="s">
        <v>25</v>
      </c>
      <c r="Y71" s="885"/>
    </row>
    <row r="72" spans="1:25" ht="50.1" customHeight="1" thickBot="1" x14ac:dyDescent="0.3">
      <c r="A72" s="872" t="s">
        <v>984</v>
      </c>
      <c r="B72" s="6" t="s">
        <v>985</v>
      </c>
      <c r="C72" s="5">
        <v>46272</v>
      </c>
      <c r="D72" s="6" t="s">
        <v>19</v>
      </c>
      <c r="E72" s="6" t="s">
        <v>39</v>
      </c>
      <c r="F72" s="7" t="s">
        <v>40</v>
      </c>
      <c r="G72" s="6" t="s">
        <v>34</v>
      </c>
      <c r="H72" s="6">
        <v>114</v>
      </c>
      <c r="I72" s="6" t="s">
        <v>41</v>
      </c>
      <c r="J72" s="6" t="s">
        <v>42</v>
      </c>
      <c r="K72" s="6" t="s">
        <v>25</v>
      </c>
      <c r="L72" s="7" t="s">
        <v>986</v>
      </c>
      <c r="M72" s="8"/>
      <c r="N72" s="8"/>
      <c r="O72" s="8"/>
      <c r="P72" s="6">
        <v>14</v>
      </c>
      <c r="Q72" s="5">
        <v>46290</v>
      </c>
      <c r="R72" s="6" t="s">
        <v>26</v>
      </c>
      <c r="S72" s="6" t="s">
        <v>26</v>
      </c>
      <c r="T72" s="6" t="s">
        <v>26</v>
      </c>
      <c r="U72" s="5">
        <v>46290</v>
      </c>
      <c r="V72" s="6" t="s">
        <v>987</v>
      </c>
      <c r="W72" s="9" t="s">
        <v>27</v>
      </c>
      <c r="X72" s="10" t="s">
        <v>25</v>
      </c>
      <c r="Y72" s="885"/>
    </row>
    <row r="73" spans="1:25" ht="50.1" customHeight="1" thickBot="1" x14ac:dyDescent="0.3">
      <c r="A73" s="4" t="s">
        <v>988</v>
      </c>
      <c r="B73" s="6" t="s">
        <v>989</v>
      </c>
      <c r="C73" s="5">
        <v>46272</v>
      </c>
      <c r="D73" s="6" t="s">
        <v>33</v>
      </c>
      <c r="E73" s="6" t="s">
        <v>63</v>
      </c>
      <c r="F73" s="7" t="s">
        <v>990</v>
      </c>
      <c r="G73" s="6" t="s">
        <v>22</v>
      </c>
      <c r="H73" s="6">
        <v>316</v>
      </c>
      <c r="I73" s="6" t="s">
        <v>23</v>
      </c>
      <c r="J73" s="6" t="s">
        <v>518</v>
      </c>
      <c r="K73" s="6" t="s">
        <v>25</v>
      </c>
      <c r="L73" s="7" t="s">
        <v>991</v>
      </c>
      <c r="M73" s="8"/>
      <c r="N73" s="8"/>
      <c r="O73" s="8"/>
      <c r="P73" s="6">
        <v>14</v>
      </c>
      <c r="Q73" s="5">
        <v>46290</v>
      </c>
      <c r="R73" s="5">
        <v>46272</v>
      </c>
      <c r="S73" s="6" t="s">
        <v>26</v>
      </c>
      <c r="T73" s="5">
        <v>46282</v>
      </c>
      <c r="U73" s="5">
        <v>46289</v>
      </c>
      <c r="V73" s="6" t="s">
        <v>992</v>
      </c>
      <c r="W73" s="9" t="s">
        <v>27</v>
      </c>
      <c r="X73" s="10" t="s">
        <v>25</v>
      </c>
      <c r="Y73" s="885"/>
    </row>
    <row r="74" spans="1:25" ht="50.1" customHeight="1" thickBot="1" x14ac:dyDescent="0.3">
      <c r="A74" s="4" t="s">
        <v>993</v>
      </c>
      <c r="B74" s="6" t="s">
        <v>994</v>
      </c>
      <c r="C74" s="5">
        <v>46272</v>
      </c>
      <c r="D74" s="6" t="s">
        <v>28</v>
      </c>
      <c r="E74" s="6" t="s">
        <v>584</v>
      </c>
      <c r="F74" s="7" t="s">
        <v>995</v>
      </c>
      <c r="G74" s="6" t="s">
        <v>30</v>
      </c>
      <c r="H74" s="6">
        <v>503</v>
      </c>
      <c r="I74" s="6" t="s">
        <v>31</v>
      </c>
      <c r="J74" s="6" t="s">
        <v>580</v>
      </c>
      <c r="K74" s="6" t="s">
        <v>25</v>
      </c>
      <c r="L74" s="7" t="s">
        <v>996</v>
      </c>
      <c r="M74" s="8"/>
      <c r="N74" s="8"/>
      <c r="O74" s="8"/>
      <c r="P74" s="6">
        <v>14</v>
      </c>
      <c r="Q74" s="5">
        <v>46290</v>
      </c>
      <c r="R74" s="5">
        <v>46272</v>
      </c>
      <c r="S74" s="6" t="s">
        <v>26</v>
      </c>
      <c r="T74" s="5">
        <v>46275</v>
      </c>
      <c r="U74" s="5">
        <v>46289</v>
      </c>
      <c r="V74" s="6" t="s">
        <v>997</v>
      </c>
      <c r="W74" s="9" t="s">
        <v>27</v>
      </c>
      <c r="X74" s="10" t="s">
        <v>25</v>
      </c>
      <c r="Y74" s="885"/>
    </row>
    <row r="75" spans="1:25" ht="50.1" customHeight="1" thickBot="1" x14ac:dyDescent="0.3">
      <c r="A75" s="4" t="s">
        <v>998</v>
      </c>
      <c r="B75" s="6" t="s">
        <v>999</v>
      </c>
      <c r="C75" s="5">
        <v>46272</v>
      </c>
      <c r="D75" s="6" t="s">
        <v>19</v>
      </c>
      <c r="E75" s="6" t="s">
        <v>39</v>
      </c>
      <c r="F75" s="7" t="s">
        <v>1000</v>
      </c>
      <c r="G75" s="6" t="s">
        <v>30</v>
      </c>
      <c r="H75" s="6">
        <v>503</v>
      </c>
      <c r="I75" s="6" t="s">
        <v>31</v>
      </c>
      <c r="J75" s="6" t="s">
        <v>93</v>
      </c>
      <c r="K75" s="6" t="s">
        <v>25</v>
      </c>
      <c r="L75" s="7" t="s">
        <v>1001</v>
      </c>
      <c r="M75" s="6">
        <v>1242114</v>
      </c>
      <c r="N75" s="8"/>
      <c r="O75" s="8"/>
      <c r="P75" s="6">
        <v>14</v>
      </c>
      <c r="Q75" s="5">
        <v>46290</v>
      </c>
      <c r="R75" s="5">
        <v>46272</v>
      </c>
      <c r="S75" s="6" t="s">
        <v>26</v>
      </c>
      <c r="T75" s="5">
        <v>46274</v>
      </c>
      <c r="U75" s="5">
        <v>46289</v>
      </c>
      <c r="V75" s="6" t="s">
        <v>1002</v>
      </c>
      <c r="W75" s="9" t="s">
        <v>27</v>
      </c>
      <c r="X75" s="10" t="s">
        <v>25</v>
      </c>
      <c r="Y75" s="885"/>
    </row>
    <row r="76" spans="1:25" ht="50.1" customHeight="1" thickBot="1" x14ac:dyDescent="0.3">
      <c r="A76" s="4" t="s">
        <v>1003</v>
      </c>
      <c r="B76" s="6" t="s">
        <v>1004</v>
      </c>
      <c r="C76" s="5">
        <v>46272</v>
      </c>
      <c r="D76" s="6" t="s">
        <v>28</v>
      </c>
      <c r="E76" s="6" t="s">
        <v>39</v>
      </c>
      <c r="F76" s="7" t="s">
        <v>1005</v>
      </c>
      <c r="G76" s="6" t="s">
        <v>30</v>
      </c>
      <c r="H76" s="6">
        <v>503</v>
      </c>
      <c r="I76" s="6" t="s">
        <v>31</v>
      </c>
      <c r="J76" s="6" t="s">
        <v>93</v>
      </c>
      <c r="K76" s="6" t="s">
        <v>25</v>
      </c>
      <c r="L76" s="7" t="s">
        <v>1006</v>
      </c>
      <c r="M76" s="8"/>
      <c r="N76" s="8"/>
      <c r="O76" s="8"/>
      <c r="P76" s="6">
        <v>14</v>
      </c>
      <c r="Q76" s="5">
        <v>46290</v>
      </c>
      <c r="R76" s="5">
        <v>46272</v>
      </c>
      <c r="S76" s="6" t="s">
        <v>26</v>
      </c>
      <c r="T76" s="5">
        <v>46275</v>
      </c>
      <c r="U76" s="5">
        <v>46289</v>
      </c>
      <c r="V76" s="6" t="s">
        <v>1007</v>
      </c>
      <c r="W76" s="9" t="s">
        <v>27</v>
      </c>
      <c r="X76" s="10" t="s">
        <v>25</v>
      </c>
      <c r="Y76" s="885"/>
    </row>
    <row r="77" spans="1:25" ht="50.1" customHeight="1" thickBot="1" x14ac:dyDescent="0.3">
      <c r="A77" s="872" t="s">
        <v>1008</v>
      </c>
      <c r="B77" s="6" t="s">
        <v>1009</v>
      </c>
      <c r="C77" s="5">
        <v>46272</v>
      </c>
      <c r="D77" s="6" t="s">
        <v>19</v>
      </c>
      <c r="E77" s="6" t="s">
        <v>29</v>
      </c>
      <c r="F77" s="7" t="s">
        <v>1010</v>
      </c>
      <c r="G77" s="6" t="s">
        <v>34</v>
      </c>
      <c r="H77" s="6">
        <v>122</v>
      </c>
      <c r="I77" s="6" t="s">
        <v>50</v>
      </c>
      <c r="J77" s="6" t="s">
        <v>285</v>
      </c>
      <c r="K77" s="6" t="s">
        <v>25</v>
      </c>
      <c r="L77" s="7" t="s">
        <v>1011</v>
      </c>
      <c r="M77" s="8"/>
      <c r="N77" s="8"/>
      <c r="O77" s="8"/>
      <c r="P77" s="6">
        <v>14</v>
      </c>
      <c r="Q77" s="5">
        <v>46290</v>
      </c>
      <c r="R77" s="6" t="s">
        <v>26</v>
      </c>
      <c r="S77" s="6" t="s">
        <v>26</v>
      </c>
      <c r="T77" s="6" t="s">
        <v>26</v>
      </c>
      <c r="U77" s="5">
        <v>46290</v>
      </c>
      <c r="V77" s="6" t="s">
        <v>1012</v>
      </c>
      <c r="W77" s="9" t="s">
        <v>27</v>
      </c>
      <c r="X77" s="10" t="s">
        <v>25</v>
      </c>
      <c r="Y77" s="885"/>
    </row>
    <row r="78" spans="1:25" ht="50.1" customHeight="1" thickBot="1" x14ac:dyDescent="0.3">
      <c r="A78" s="872" t="s">
        <v>1013</v>
      </c>
      <c r="B78" s="6" t="s">
        <v>1014</v>
      </c>
      <c r="C78" s="5">
        <v>46272</v>
      </c>
      <c r="D78" s="6" t="s">
        <v>28</v>
      </c>
      <c r="E78" s="6" t="s">
        <v>460</v>
      </c>
      <c r="F78" s="7" t="s">
        <v>1015</v>
      </c>
      <c r="G78" s="6" t="s">
        <v>22</v>
      </c>
      <c r="H78" s="6">
        <v>316</v>
      </c>
      <c r="I78" s="6" t="s">
        <v>23</v>
      </c>
      <c r="J78" s="6" t="s">
        <v>496</v>
      </c>
      <c r="K78" s="8"/>
      <c r="L78" s="7" t="s">
        <v>1016</v>
      </c>
      <c r="M78" s="8"/>
      <c r="N78" s="8"/>
      <c r="O78" s="8"/>
      <c r="P78" s="6">
        <v>14</v>
      </c>
      <c r="Q78" s="5">
        <v>46290</v>
      </c>
      <c r="R78" s="8"/>
      <c r="S78" s="8"/>
      <c r="T78" s="8"/>
      <c r="U78" s="8"/>
      <c r="V78" s="8"/>
      <c r="W78" s="562" t="s">
        <v>461</v>
      </c>
      <c r="X78" s="6"/>
      <c r="Y78" s="885"/>
    </row>
    <row r="79" spans="1:25" ht="50.1" customHeight="1" thickBot="1" x14ac:dyDescent="0.3">
      <c r="A79" s="4" t="s">
        <v>1017</v>
      </c>
      <c r="B79" s="6" t="s">
        <v>1018</v>
      </c>
      <c r="C79" s="5">
        <v>46272</v>
      </c>
      <c r="D79" s="6" t="s">
        <v>19</v>
      </c>
      <c r="E79" s="6" t="s">
        <v>39</v>
      </c>
      <c r="F79" s="7" t="s">
        <v>1019</v>
      </c>
      <c r="G79" s="6" t="s">
        <v>30</v>
      </c>
      <c r="H79" s="6">
        <v>503</v>
      </c>
      <c r="I79" s="6" t="s">
        <v>31</v>
      </c>
      <c r="J79" s="6" t="s">
        <v>93</v>
      </c>
      <c r="K79" s="6" t="s">
        <v>25</v>
      </c>
      <c r="L79" s="7" t="s">
        <v>1020</v>
      </c>
      <c r="M79" s="6">
        <v>1147440</v>
      </c>
      <c r="N79" s="8"/>
      <c r="O79" s="8"/>
      <c r="P79" s="6">
        <v>14</v>
      </c>
      <c r="Q79" s="5">
        <v>46290</v>
      </c>
      <c r="R79" s="5">
        <v>46272</v>
      </c>
      <c r="S79" s="6" t="s">
        <v>26</v>
      </c>
      <c r="T79" s="5">
        <v>46274</v>
      </c>
      <c r="U79" s="5">
        <v>46289</v>
      </c>
      <c r="V79" s="6" t="s">
        <v>1021</v>
      </c>
      <c r="W79" s="9" t="s">
        <v>27</v>
      </c>
      <c r="X79" s="10" t="s">
        <v>25</v>
      </c>
      <c r="Y79" s="885"/>
    </row>
    <row r="80" spans="1:25" ht="50.1" customHeight="1" thickBot="1" x14ac:dyDescent="0.3">
      <c r="A80" s="4" t="s">
        <v>1022</v>
      </c>
      <c r="B80" s="562" t="s">
        <v>1023</v>
      </c>
      <c r="C80" s="5">
        <v>46272</v>
      </c>
      <c r="D80" s="6" t="s">
        <v>33</v>
      </c>
      <c r="E80" s="6" t="s">
        <v>39</v>
      </c>
      <c r="F80" s="7" t="s">
        <v>1024</v>
      </c>
      <c r="G80" s="6" t="s">
        <v>30</v>
      </c>
      <c r="H80" s="6">
        <v>503</v>
      </c>
      <c r="I80" s="6" t="s">
        <v>31</v>
      </c>
      <c r="J80" s="6" t="s">
        <v>1025</v>
      </c>
      <c r="K80" s="8"/>
      <c r="L80" s="7" t="s">
        <v>536</v>
      </c>
      <c r="M80" s="8"/>
      <c r="N80" s="8"/>
      <c r="O80" s="8"/>
      <c r="P80" s="6">
        <v>14</v>
      </c>
      <c r="Q80" s="5">
        <v>46290</v>
      </c>
      <c r="R80" s="5">
        <v>46272</v>
      </c>
      <c r="S80" s="6" t="s">
        <v>26</v>
      </c>
      <c r="T80" s="5">
        <v>46272</v>
      </c>
      <c r="U80" s="5">
        <v>46290</v>
      </c>
      <c r="V80" s="6" t="s">
        <v>1026</v>
      </c>
      <c r="W80" s="9" t="s">
        <v>27</v>
      </c>
      <c r="X80" s="10" t="s">
        <v>25</v>
      </c>
      <c r="Y80" s="885"/>
    </row>
    <row r="81" spans="1:25" ht="50.1" customHeight="1" thickBot="1" x14ac:dyDescent="0.3">
      <c r="A81" s="4" t="s">
        <v>1027</v>
      </c>
      <c r="B81" s="6" t="s">
        <v>1028</v>
      </c>
      <c r="C81" s="5">
        <v>46272</v>
      </c>
      <c r="D81" s="6" t="s">
        <v>33</v>
      </c>
      <c r="E81" s="6" t="s">
        <v>20</v>
      </c>
      <c r="F81" s="7" t="s">
        <v>1029</v>
      </c>
      <c r="G81" s="6" t="s">
        <v>22</v>
      </c>
      <c r="H81" s="6">
        <v>306</v>
      </c>
      <c r="I81" s="6" t="s">
        <v>79</v>
      </c>
      <c r="J81" s="12" t="s">
        <v>1030</v>
      </c>
      <c r="K81" s="6" t="s">
        <v>25</v>
      </c>
      <c r="L81" s="7" t="s">
        <v>636</v>
      </c>
      <c r="M81" s="8"/>
      <c r="N81" s="8"/>
      <c r="O81" s="6" t="s">
        <v>546</v>
      </c>
      <c r="P81" s="6">
        <v>14</v>
      </c>
      <c r="Q81" s="5">
        <v>46290</v>
      </c>
      <c r="R81" s="5">
        <v>46272</v>
      </c>
      <c r="S81" s="6" t="s">
        <v>26</v>
      </c>
      <c r="T81" s="5">
        <v>46272</v>
      </c>
      <c r="U81" s="5">
        <v>46289</v>
      </c>
      <c r="V81" s="6" t="s">
        <v>1031</v>
      </c>
      <c r="W81" s="9" t="s">
        <v>27</v>
      </c>
      <c r="X81" s="10" t="s">
        <v>25</v>
      </c>
      <c r="Y81" s="885"/>
    </row>
    <row r="82" spans="1:25" ht="50.1" customHeight="1" thickBot="1" x14ac:dyDescent="0.3">
      <c r="A82" s="872" t="s">
        <v>1032</v>
      </c>
      <c r="B82" s="6" t="s">
        <v>1033</v>
      </c>
      <c r="C82" s="5">
        <v>46272</v>
      </c>
      <c r="D82" s="6" t="s">
        <v>19</v>
      </c>
      <c r="E82" s="6" t="s">
        <v>460</v>
      </c>
      <c r="F82" s="7" t="s">
        <v>1034</v>
      </c>
      <c r="G82" s="6" t="s">
        <v>34</v>
      </c>
      <c r="H82" s="6">
        <v>127</v>
      </c>
      <c r="I82" s="6" t="s">
        <v>88</v>
      </c>
      <c r="J82" s="6" t="s">
        <v>71</v>
      </c>
      <c r="K82" s="8"/>
      <c r="L82" s="7" t="s">
        <v>1035</v>
      </c>
      <c r="M82" s="8"/>
      <c r="N82" s="8"/>
      <c r="O82" s="8"/>
      <c r="P82" s="6">
        <v>14</v>
      </c>
      <c r="Q82" s="5">
        <v>46290</v>
      </c>
      <c r="R82" s="8"/>
      <c r="S82" s="8"/>
      <c r="T82" s="8"/>
      <c r="U82" s="8"/>
      <c r="V82" s="8"/>
      <c r="W82" s="562" t="s">
        <v>461</v>
      </c>
      <c r="X82" s="6"/>
      <c r="Y82" s="885"/>
    </row>
    <row r="83" spans="1:25" ht="50.1" customHeight="1" thickBot="1" x14ac:dyDescent="0.3">
      <c r="A83" s="4" t="s">
        <v>1036</v>
      </c>
      <c r="B83" s="6" t="s">
        <v>1037</v>
      </c>
      <c r="C83" s="5">
        <v>46272</v>
      </c>
      <c r="D83" s="6" t="s">
        <v>33</v>
      </c>
      <c r="E83" s="6" t="s">
        <v>460</v>
      </c>
      <c r="F83" s="7" t="s">
        <v>1038</v>
      </c>
      <c r="G83" s="6" t="s">
        <v>30</v>
      </c>
      <c r="H83" s="6">
        <v>503</v>
      </c>
      <c r="I83" s="6" t="s">
        <v>31</v>
      </c>
      <c r="J83" s="6" t="s">
        <v>93</v>
      </c>
      <c r="K83" s="8"/>
      <c r="L83" s="7" t="s">
        <v>1039</v>
      </c>
      <c r="M83" s="8"/>
      <c r="N83" s="8"/>
      <c r="O83" s="8"/>
      <c r="P83" s="6">
        <v>14</v>
      </c>
      <c r="Q83" s="5">
        <v>46290</v>
      </c>
      <c r="R83" s="5">
        <v>46272</v>
      </c>
      <c r="S83" s="6" t="s">
        <v>26</v>
      </c>
      <c r="T83" s="5">
        <v>46272</v>
      </c>
      <c r="U83" s="5">
        <v>46290</v>
      </c>
      <c r="V83" s="6" t="s">
        <v>1040</v>
      </c>
      <c r="W83" s="9" t="s">
        <v>27</v>
      </c>
      <c r="X83" s="10" t="s">
        <v>25</v>
      </c>
      <c r="Y83" s="885"/>
    </row>
    <row r="84" spans="1:25" ht="50.1" customHeight="1" thickBot="1" x14ac:dyDescent="0.3">
      <c r="A84" s="4" t="s">
        <v>1041</v>
      </c>
      <c r="B84" s="6" t="s">
        <v>1042</v>
      </c>
      <c r="C84" s="5">
        <v>46272</v>
      </c>
      <c r="D84" s="6" t="s">
        <v>28</v>
      </c>
      <c r="E84" s="6" t="s">
        <v>39</v>
      </c>
      <c r="F84" s="7" t="s">
        <v>1043</v>
      </c>
      <c r="G84" s="6" t="s">
        <v>30</v>
      </c>
      <c r="H84" s="6">
        <v>503</v>
      </c>
      <c r="I84" s="6" t="s">
        <v>31</v>
      </c>
      <c r="J84" s="6" t="s">
        <v>93</v>
      </c>
      <c r="K84" s="6" t="s">
        <v>25</v>
      </c>
      <c r="L84" s="7" t="s">
        <v>1044</v>
      </c>
      <c r="M84" s="8"/>
      <c r="N84" s="8"/>
      <c r="O84" s="8"/>
      <c r="P84" s="6">
        <v>14</v>
      </c>
      <c r="Q84" s="5">
        <v>46290</v>
      </c>
      <c r="R84" s="5">
        <v>46272</v>
      </c>
      <c r="S84" s="6" t="s">
        <v>26</v>
      </c>
      <c r="T84" s="6" t="s">
        <v>26</v>
      </c>
      <c r="U84" s="5">
        <v>46290</v>
      </c>
      <c r="V84" s="6" t="s">
        <v>1045</v>
      </c>
      <c r="W84" s="9" t="s">
        <v>27</v>
      </c>
      <c r="X84" s="10" t="s">
        <v>25</v>
      </c>
      <c r="Y84" s="885"/>
    </row>
    <row r="85" spans="1:25" ht="50.1" customHeight="1" thickBot="1" x14ac:dyDescent="0.3">
      <c r="A85" s="4" t="s">
        <v>1046</v>
      </c>
      <c r="B85" s="6" t="s">
        <v>1047</v>
      </c>
      <c r="C85" s="5">
        <v>46272</v>
      </c>
      <c r="D85" s="6" t="s">
        <v>33</v>
      </c>
      <c r="E85" s="6" t="s">
        <v>29</v>
      </c>
      <c r="F85" s="7" t="s">
        <v>1048</v>
      </c>
      <c r="G85" s="6" t="s">
        <v>30</v>
      </c>
      <c r="H85" s="6">
        <v>502</v>
      </c>
      <c r="I85" s="6" t="s">
        <v>37</v>
      </c>
      <c r="J85" s="6" t="s">
        <v>38</v>
      </c>
      <c r="K85" s="6" t="s">
        <v>25</v>
      </c>
      <c r="L85" s="7" t="s">
        <v>550</v>
      </c>
      <c r="M85" s="8"/>
      <c r="N85" s="6">
        <v>3053006237</v>
      </c>
      <c r="O85" s="6" t="s">
        <v>1049</v>
      </c>
      <c r="P85" s="6">
        <v>14</v>
      </c>
      <c r="Q85" s="5">
        <v>46290</v>
      </c>
      <c r="R85" s="5">
        <v>46272</v>
      </c>
      <c r="S85" s="6" t="s">
        <v>26</v>
      </c>
      <c r="T85" s="6" t="s">
        <v>26</v>
      </c>
      <c r="U85" s="5">
        <v>46280</v>
      </c>
      <c r="V85" s="6" t="s">
        <v>1050</v>
      </c>
      <c r="W85" s="9" t="s">
        <v>27</v>
      </c>
      <c r="X85" s="10" t="s">
        <v>25</v>
      </c>
      <c r="Y85" s="886" t="s">
        <v>25</v>
      </c>
    </row>
    <row r="86" spans="1:25" ht="50.1" customHeight="1" thickBot="1" x14ac:dyDescent="0.3">
      <c r="A86" s="872" t="s">
        <v>1051</v>
      </c>
      <c r="B86" s="6" t="s">
        <v>1052</v>
      </c>
      <c r="C86" s="5">
        <v>46272</v>
      </c>
      <c r="D86" s="6" t="s">
        <v>19</v>
      </c>
      <c r="E86" s="6" t="s">
        <v>39</v>
      </c>
      <c r="F86" s="7" t="s">
        <v>1053</v>
      </c>
      <c r="G86" s="6" t="s">
        <v>34</v>
      </c>
      <c r="H86" s="6">
        <v>114</v>
      </c>
      <c r="I86" s="6" t="s">
        <v>41</v>
      </c>
      <c r="J86" s="6" t="s">
        <v>42</v>
      </c>
      <c r="K86" s="6" t="s">
        <v>25</v>
      </c>
      <c r="L86" s="7" t="s">
        <v>1054</v>
      </c>
      <c r="M86" s="6">
        <v>1177900</v>
      </c>
      <c r="N86" s="8"/>
      <c r="O86" s="8"/>
      <c r="P86" s="6">
        <v>14</v>
      </c>
      <c r="Q86" s="5">
        <v>46290</v>
      </c>
      <c r="R86" s="6" t="s">
        <v>26</v>
      </c>
      <c r="S86" s="6" t="s">
        <v>26</v>
      </c>
      <c r="T86" s="6" t="s">
        <v>26</v>
      </c>
      <c r="U86" s="5">
        <v>46290</v>
      </c>
      <c r="V86" s="6" t="s">
        <v>1055</v>
      </c>
      <c r="W86" s="9" t="s">
        <v>27</v>
      </c>
      <c r="X86" s="10" t="s">
        <v>25</v>
      </c>
      <c r="Y86" s="885"/>
    </row>
    <row r="87" spans="1:25" ht="50.1" customHeight="1" thickBot="1" x14ac:dyDescent="0.3">
      <c r="A87" s="4" t="s">
        <v>1056</v>
      </c>
      <c r="B87" s="6" t="s">
        <v>1057</v>
      </c>
      <c r="C87" s="5">
        <v>46272</v>
      </c>
      <c r="D87" s="6" t="s">
        <v>28</v>
      </c>
      <c r="E87" s="6" t="s">
        <v>61</v>
      </c>
      <c r="F87" s="7" t="s">
        <v>1058</v>
      </c>
      <c r="G87" s="6" t="s">
        <v>30</v>
      </c>
      <c r="H87" s="6">
        <v>503</v>
      </c>
      <c r="I87" s="6" t="s">
        <v>31</v>
      </c>
      <c r="J87" s="6" t="s">
        <v>81</v>
      </c>
      <c r="K87" s="8"/>
      <c r="L87" s="7" t="s">
        <v>1059</v>
      </c>
      <c r="M87" s="8"/>
      <c r="N87" s="8"/>
      <c r="O87" s="8"/>
      <c r="P87" s="6">
        <v>14</v>
      </c>
      <c r="Q87" s="5">
        <v>46290</v>
      </c>
      <c r="R87" s="8"/>
      <c r="S87" s="8"/>
      <c r="T87" s="8"/>
      <c r="U87" s="8"/>
      <c r="V87" s="8"/>
      <c r="W87" s="562" t="s">
        <v>461</v>
      </c>
      <c r="X87" s="6"/>
      <c r="Y87" s="885"/>
    </row>
    <row r="88" spans="1:25" ht="50.1" customHeight="1" thickBot="1" x14ac:dyDescent="0.3">
      <c r="A88" s="4" t="s">
        <v>1060</v>
      </c>
      <c r="B88" s="562" t="s">
        <v>1061</v>
      </c>
      <c r="C88" s="5">
        <v>46272</v>
      </c>
      <c r="D88" s="6" t="s">
        <v>28</v>
      </c>
      <c r="E88" s="6" t="s">
        <v>67</v>
      </c>
      <c r="F88" s="7" t="s">
        <v>1062</v>
      </c>
      <c r="G88" s="6" t="s">
        <v>22</v>
      </c>
      <c r="H88" s="6">
        <v>308</v>
      </c>
      <c r="I88" s="6" t="s">
        <v>77</v>
      </c>
      <c r="J88" s="6" t="s">
        <v>1063</v>
      </c>
      <c r="K88" s="8"/>
      <c r="L88" s="7" t="s">
        <v>416</v>
      </c>
      <c r="M88" s="8"/>
      <c r="N88" s="8"/>
      <c r="O88" s="6" t="s">
        <v>1064</v>
      </c>
      <c r="P88" s="6">
        <v>14</v>
      </c>
      <c r="Q88" s="5">
        <v>46290</v>
      </c>
      <c r="R88" s="5">
        <v>46272</v>
      </c>
      <c r="S88" s="6" t="s">
        <v>26</v>
      </c>
      <c r="T88" s="6" t="s">
        <v>26</v>
      </c>
      <c r="U88" s="5">
        <v>46289</v>
      </c>
      <c r="V88" s="6" t="s">
        <v>1065</v>
      </c>
      <c r="W88" s="9" t="s">
        <v>27</v>
      </c>
      <c r="X88" s="10" t="s">
        <v>25</v>
      </c>
      <c r="Y88" s="885"/>
    </row>
    <row r="89" spans="1:25" ht="50.1" customHeight="1" thickBot="1" x14ac:dyDescent="0.3">
      <c r="A89" s="13"/>
      <c r="B89" s="562" t="s">
        <v>1066</v>
      </c>
      <c r="C89" s="5">
        <v>46272</v>
      </c>
      <c r="D89" s="6" t="s">
        <v>28</v>
      </c>
      <c r="E89" s="6" t="s">
        <v>61</v>
      </c>
      <c r="F89" s="7" t="s">
        <v>1067</v>
      </c>
      <c r="G89" s="8"/>
      <c r="H89" s="8"/>
      <c r="I89" s="8"/>
      <c r="J89" s="8"/>
      <c r="K89" s="8"/>
      <c r="L89" s="7" t="s">
        <v>1068</v>
      </c>
      <c r="M89" s="8"/>
      <c r="N89" s="8"/>
      <c r="O89" s="6" t="s">
        <v>1069</v>
      </c>
      <c r="P89" s="6">
        <v>14</v>
      </c>
      <c r="Q89" s="5">
        <v>46290</v>
      </c>
      <c r="R89" s="8"/>
      <c r="S89" s="8"/>
      <c r="T89" s="8"/>
      <c r="U89" s="8"/>
      <c r="V89" s="8"/>
      <c r="W89" s="562" t="s">
        <v>461</v>
      </c>
      <c r="X89" s="6"/>
      <c r="Y89" s="885"/>
    </row>
    <row r="90" spans="1:25" ht="50.1" customHeight="1" thickBot="1" x14ac:dyDescent="0.3">
      <c r="A90" s="872" t="s">
        <v>1070</v>
      </c>
      <c r="B90" s="6" t="s">
        <v>1071</v>
      </c>
      <c r="C90" s="5">
        <v>46273</v>
      </c>
      <c r="D90" s="6" t="s">
        <v>19</v>
      </c>
      <c r="E90" s="6" t="s">
        <v>20</v>
      </c>
      <c r="F90" s="7" t="s">
        <v>21</v>
      </c>
      <c r="G90" s="6" t="s">
        <v>22</v>
      </c>
      <c r="H90" s="6">
        <v>316</v>
      </c>
      <c r="I90" s="6" t="s">
        <v>23</v>
      </c>
      <c r="J90" s="6" t="s">
        <v>288</v>
      </c>
      <c r="K90" s="8"/>
      <c r="L90" s="7" t="s">
        <v>1072</v>
      </c>
      <c r="M90" s="6">
        <v>1194660</v>
      </c>
      <c r="N90" s="8"/>
      <c r="O90" s="8"/>
      <c r="P90" s="6">
        <v>14</v>
      </c>
      <c r="Q90" s="5">
        <v>46290</v>
      </c>
      <c r="R90" s="8"/>
      <c r="S90" s="8"/>
      <c r="T90" s="8"/>
      <c r="U90" s="8"/>
      <c r="V90" s="8"/>
      <c r="W90" s="562" t="s">
        <v>461</v>
      </c>
      <c r="X90" s="6"/>
      <c r="Y90" s="885"/>
    </row>
    <row r="91" spans="1:25" ht="50.1" customHeight="1" thickBot="1" x14ac:dyDescent="0.3">
      <c r="A91" s="872" t="s">
        <v>1073</v>
      </c>
      <c r="B91" s="6" t="s">
        <v>1074</v>
      </c>
      <c r="C91" s="5">
        <v>46273</v>
      </c>
      <c r="D91" s="6" t="s">
        <v>19</v>
      </c>
      <c r="E91" s="6" t="s">
        <v>20</v>
      </c>
      <c r="F91" s="7" t="s">
        <v>1075</v>
      </c>
      <c r="G91" s="6" t="s">
        <v>22</v>
      </c>
      <c r="H91" s="6">
        <v>316</v>
      </c>
      <c r="I91" s="6" t="s">
        <v>23</v>
      </c>
      <c r="J91" s="6" t="s">
        <v>46</v>
      </c>
      <c r="K91" s="8"/>
      <c r="L91" s="7" t="s">
        <v>1076</v>
      </c>
      <c r="M91" s="6">
        <v>1061740</v>
      </c>
      <c r="N91" s="8"/>
      <c r="O91" s="6" t="s">
        <v>415</v>
      </c>
      <c r="P91" s="6">
        <v>14</v>
      </c>
      <c r="Q91" s="5">
        <v>46293</v>
      </c>
      <c r="R91" s="8"/>
      <c r="S91" s="8"/>
      <c r="T91" s="8"/>
      <c r="U91" s="8"/>
      <c r="V91" s="8"/>
      <c r="W91" s="562" t="s">
        <v>461</v>
      </c>
      <c r="X91" s="6"/>
      <c r="Y91" s="885"/>
    </row>
    <row r="92" spans="1:25" ht="50.1" customHeight="1" thickBot="1" x14ac:dyDescent="0.3">
      <c r="A92" s="872" t="s">
        <v>1077</v>
      </c>
      <c r="B92" s="6" t="s">
        <v>1078</v>
      </c>
      <c r="C92" s="5">
        <v>46273</v>
      </c>
      <c r="D92" s="6" t="s">
        <v>19</v>
      </c>
      <c r="E92" s="6" t="s">
        <v>460</v>
      </c>
      <c r="F92" s="7" t="s">
        <v>1079</v>
      </c>
      <c r="G92" s="6" t="s">
        <v>22</v>
      </c>
      <c r="H92" s="6">
        <v>316</v>
      </c>
      <c r="I92" s="6" t="s">
        <v>23</v>
      </c>
      <c r="J92" s="6" t="s">
        <v>167</v>
      </c>
      <c r="K92" s="8"/>
      <c r="L92" s="7" t="s">
        <v>1080</v>
      </c>
      <c r="M92" s="6">
        <v>1109299</v>
      </c>
      <c r="N92" s="8"/>
      <c r="O92" s="8"/>
      <c r="P92" s="6">
        <v>14</v>
      </c>
      <c r="Q92" s="5">
        <v>46293</v>
      </c>
      <c r="R92" s="8"/>
      <c r="S92" s="8"/>
      <c r="T92" s="8"/>
      <c r="U92" s="8"/>
      <c r="V92" s="8"/>
      <c r="W92" s="562" t="s">
        <v>461</v>
      </c>
      <c r="X92" s="6"/>
      <c r="Y92" s="885"/>
    </row>
    <row r="93" spans="1:25" ht="50.1" customHeight="1" thickBot="1" x14ac:dyDescent="0.3">
      <c r="A93" s="4" t="s">
        <v>1081</v>
      </c>
      <c r="B93" s="6" t="s">
        <v>1082</v>
      </c>
      <c r="C93" s="5">
        <v>46273</v>
      </c>
      <c r="D93" s="6" t="s">
        <v>19</v>
      </c>
      <c r="E93" s="6" t="s">
        <v>39</v>
      </c>
      <c r="F93" s="7" t="s">
        <v>1083</v>
      </c>
      <c r="G93" s="6" t="s">
        <v>30</v>
      </c>
      <c r="H93" s="6">
        <v>503</v>
      </c>
      <c r="I93" s="6" t="s">
        <v>31</v>
      </c>
      <c r="J93" s="6" t="s">
        <v>93</v>
      </c>
      <c r="K93" s="8"/>
      <c r="L93" s="7" t="s">
        <v>502</v>
      </c>
      <c r="M93" s="6">
        <v>1250645</v>
      </c>
      <c r="N93" s="8"/>
      <c r="O93" s="8"/>
      <c r="P93" s="6">
        <v>14</v>
      </c>
      <c r="Q93" s="5">
        <v>46293</v>
      </c>
      <c r="R93" s="5">
        <v>46273</v>
      </c>
      <c r="S93" s="6" t="s">
        <v>26</v>
      </c>
      <c r="T93" s="6" t="s">
        <v>26</v>
      </c>
      <c r="U93" s="5">
        <v>46293</v>
      </c>
      <c r="V93" s="6" t="s">
        <v>1084</v>
      </c>
      <c r="W93" s="9" t="s">
        <v>27</v>
      </c>
      <c r="X93" s="10" t="s">
        <v>25</v>
      </c>
      <c r="Y93" s="885"/>
    </row>
    <row r="94" spans="1:25" ht="50.1" customHeight="1" thickBot="1" x14ac:dyDescent="0.3">
      <c r="A94" s="872" t="s">
        <v>1085</v>
      </c>
      <c r="B94" s="6" t="s">
        <v>1086</v>
      </c>
      <c r="C94" s="5">
        <v>46273</v>
      </c>
      <c r="D94" s="6" t="s">
        <v>28</v>
      </c>
      <c r="E94" s="6" t="s">
        <v>20</v>
      </c>
      <c r="F94" s="7" t="s">
        <v>1087</v>
      </c>
      <c r="G94" s="6" t="s">
        <v>34</v>
      </c>
      <c r="H94" s="6">
        <v>109</v>
      </c>
      <c r="I94" s="6" t="s">
        <v>118</v>
      </c>
      <c r="J94" s="6" t="s">
        <v>513</v>
      </c>
      <c r="K94" s="6" t="s">
        <v>47</v>
      </c>
      <c r="L94" s="7" t="s">
        <v>1088</v>
      </c>
      <c r="M94" s="6">
        <v>1253498</v>
      </c>
      <c r="N94" s="8"/>
      <c r="O94" s="6" t="s">
        <v>1089</v>
      </c>
      <c r="P94" s="6">
        <v>14</v>
      </c>
      <c r="Q94" s="5">
        <v>46293</v>
      </c>
      <c r="R94" s="6" t="s">
        <v>26</v>
      </c>
      <c r="S94" s="6" t="s">
        <v>26</v>
      </c>
      <c r="T94" s="6" t="s">
        <v>26</v>
      </c>
      <c r="U94" s="5">
        <v>46293</v>
      </c>
      <c r="V94" s="6" t="s">
        <v>1090</v>
      </c>
      <c r="W94" s="9" t="s">
        <v>27</v>
      </c>
      <c r="X94" s="10" t="s">
        <v>25</v>
      </c>
      <c r="Y94" s="885"/>
    </row>
    <row r="95" spans="1:25" ht="50.1" customHeight="1" thickBot="1" x14ac:dyDescent="0.3">
      <c r="A95" s="872" t="s">
        <v>1091</v>
      </c>
      <c r="B95" s="6" t="s">
        <v>1092</v>
      </c>
      <c r="C95" s="5">
        <v>46273</v>
      </c>
      <c r="D95" s="6" t="s">
        <v>19</v>
      </c>
      <c r="E95" s="6" t="s">
        <v>20</v>
      </c>
      <c r="F95" s="7" t="s">
        <v>1093</v>
      </c>
      <c r="G95" s="6" t="s">
        <v>22</v>
      </c>
      <c r="H95" s="6">
        <v>316</v>
      </c>
      <c r="I95" s="6" t="s">
        <v>23</v>
      </c>
      <c r="J95" s="6" t="s">
        <v>288</v>
      </c>
      <c r="K95" s="8"/>
      <c r="L95" s="7" t="s">
        <v>1094</v>
      </c>
      <c r="M95" s="6">
        <v>1056620</v>
      </c>
      <c r="N95" s="8"/>
      <c r="O95" s="8"/>
      <c r="P95" s="6">
        <v>14</v>
      </c>
      <c r="Q95" s="5">
        <v>46293</v>
      </c>
      <c r="R95" s="11"/>
      <c r="S95" s="11"/>
      <c r="T95" s="11"/>
      <c r="U95" s="11"/>
      <c r="V95" s="11"/>
      <c r="W95" s="9" t="s">
        <v>27</v>
      </c>
      <c r="X95" s="10" t="s">
        <v>25</v>
      </c>
      <c r="Y95" s="885"/>
    </row>
    <row r="96" spans="1:25" ht="50.1" customHeight="1" thickBot="1" x14ac:dyDescent="0.3">
      <c r="A96" s="4" t="s">
        <v>1095</v>
      </c>
      <c r="B96" s="6" t="s">
        <v>1096</v>
      </c>
      <c r="C96" s="5">
        <v>46273</v>
      </c>
      <c r="D96" s="6" t="s">
        <v>28</v>
      </c>
      <c r="E96" s="6" t="s">
        <v>61</v>
      </c>
      <c r="F96" s="7" t="s">
        <v>1097</v>
      </c>
      <c r="G96" s="6" t="s">
        <v>22</v>
      </c>
      <c r="H96" s="6">
        <v>306</v>
      </c>
      <c r="I96" s="6" t="s">
        <v>79</v>
      </c>
      <c r="J96" s="12" t="s">
        <v>1098</v>
      </c>
      <c r="K96" s="8"/>
      <c r="L96" s="7" t="s">
        <v>619</v>
      </c>
      <c r="M96" s="8"/>
      <c r="N96" s="8"/>
      <c r="O96" s="8"/>
      <c r="P96" s="6">
        <v>14</v>
      </c>
      <c r="Q96" s="5">
        <v>46293</v>
      </c>
      <c r="R96" s="5">
        <v>46273</v>
      </c>
      <c r="S96" s="6" t="s">
        <v>26</v>
      </c>
      <c r="T96" s="5">
        <v>46288</v>
      </c>
      <c r="U96" s="5">
        <v>46293</v>
      </c>
      <c r="V96" s="6" t="s">
        <v>1099</v>
      </c>
      <c r="W96" s="9" t="s">
        <v>27</v>
      </c>
      <c r="X96" s="10" t="s">
        <v>25</v>
      </c>
      <c r="Y96" s="885"/>
    </row>
    <row r="97" spans="1:25" ht="50.1" customHeight="1" thickBot="1" x14ac:dyDescent="0.3">
      <c r="A97" s="872" t="s">
        <v>1100</v>
      </c>
      <c r="B97" s="6" t="s">
        <v>1101</v>
      </c>
      <c r="C97" s="5">
        <v>46273</v>
      </c>
      <c r="D97" s="6" t="s">
        <v>19</v>
      </c>
      <c r="E97" s="6" t="s">
        <v>20</v>
      </c>
      <c r="F97" s="7" t="s">
        <v>1102</v>
      </c>
      <c r="G97" s="6" t="s">
        <v>22</v>
      </c>
      <c r="H97" s="6">
        <v>316</v>
      </c>
      <c r="I97" s="6" t="s">
        <v>23</v>
      </c>
      <c r="J97" s="6" t="s">
        <v>288</v>
      </c>
      <c r="K97" s="8"/>
      <c r="L97" s="7" t="s">
        <v>1103</v>
      </c>
      <c r="M97" s="8"/>
      <c r="N97" s="8"/>
      <c r="O97" s="8"/>
      <c r="P97" s="6">
        <v>14</v>
      </c>
      <c r="Q97" s="5">
        <v>46293</v>
      </c>
      <c r="R97" s="5">
        <v>46273</v>
      </c>
      <c r="S97" s="6" t="s">
        <v>26</v>
      </c>
      <c r="T97" s="5">
        <v>46274</v>
      </c>
      <c r="U97" s="5">
        <v>46293</v>
      </c>
      <c r="V97" s="6" t="s">
        <v>1104</v>
      </c>
      <c r="W97" s="9" t="s">
        <v>27</v>
      </c>
      <c r="X97" s="10" t="s">
        <v>25</v>
      </c>
      <c r="Y97" s="885"/>
    </row>
    <row r="98" spans="1:25" ht="50.1" customHeight="1" thickBot="1" x14ac:dyDescent="0.3">
      <c r="A98" s="872" t="s">
        <v>1105</v>
      </c>
      <c r="B98" s="6" t="s">
        <v>1106</v>
      </c>
      <c r="C98" s="5">
        <v>46273</v>
      </c>
      <c r="D98" s="6" t="s">
        <v>28</v>
      </c>
      <c r="E98" s="6" t="s">
        <v>460</v>
      </c>
      <c r="F98" s="7" t="s">
        <v>1107</v>
      </c>
      <c r="G98" s="6" t="s">
        <v>30</v>
      </c>
      <c r="H98" s="6">
        <v>503</v>
      </c>
      <c r="I98" s="6" t="s">
        <v>31</v>
      </c>
      <c r="J98" s="6" t="s">
        <v>81</v>
      </c>
      <c r="K98" s="6" t="s">
        <v>25</v>
      </c>
      <c r="L98" s="147" t="s">
        <v>490</v>
      </c>
      <c r="M98" s="8"/>
      <c r="N98" s="8"/>
      <c r="O98" s="6" t="s">
        <v>1108</v>
      </c>
      <c r="P98" s="6">
        <v>14</v>
      </c>
      <c r="Q98" s="5">
        <v>46293</v>
      </c>
      <c r="R98" s="6" t="s">
        <v>26</v>
      </c>
      <c r="S98" s="6" t="s">
        <v>26</v>
      </c>
      <c r="T98" s="6" t="s">
        <v>26</v>
      </c>
      <c r="U98" s="5">
        <v>46280</v>
      </c>
      <c r="V98" s="6" t="s">
        <v>1109</v>
      </c>
      <c r="W98" s="9" t="s">
        <v>27</v>
      </c>
      <c r="X98" s="10" t="s">
        <v>25</v>
      </c>
      <c r="Y98" s="886" t="s">
        <v>25</v>
      </c>
    </row>
    <row r="99" spans="1:25" ht="50.1" customHeight="1" thickBot="1" x14ac:dyDescent="0.3">
      <c r="A99" s="4" t="s">
        <v>1110</v>
      </c>
      <c r="B99" s="6" t="s">
        <v>1111</v>
      </c>
      <c r="C99" s="5">
        <v>46273</v>
      </c>
      <c r="D99" s="6" t="s">
        <v>28</v>
      </c>
      <c r="E99" s="6" t="s">
        <v>29</v>
      </c>
      <c r="F99" s="7" t="s">
        <v>1112</v>
      </c>
      <c r="G99" s="6" t="s">
        <v>30</v>
      </c>
      <c r="H99" s="6">
        <v>503</v>
      </c>
      <c r="I99" s="6" t="s">
        <v>31</v>
      </c>
      <c r="J99" s="6" t="s">
        <v>32</v>
      </c>
      <c r="K99" s="8"/>
      <c r="L99" s="7" t="s">
        <v>591</v>
      </c>
      <c r="M99" s="8"/>
      <c r="N99" s="8"/>
      <c r="O99" s="6" t="s">
        <v>583</v>
      </c>
      <c r="P99" s="6">
        <v>14</v>
      </c>
      <c r="Q99" s="5">
        <v>46293</v>
      </c>
      <c r="R99" s="8"/>
      <c r="S99" s="8"/>
      <c r="T99" s="8"/>
      <c r="U99" s="8"/>
      <c r="V99" s="8"/>
      <c r="W99" s="562" t="s">
        <v>461</v>
      </c>
      <c r="X99" s="6"/>
      <c r="Y99" s="885"/>
    </row>
    <row r="100" spans="1:25" ht="50.1" customHeight="1" thickBot="1" x14ac:dyDescent="0.3">
      <c r="A100" s="4" t="s">
        <v>1113</v>
      </c>
      <c r="B100" s="6" t="s">
        <v>1114</v>
      </c>
      <c r="C100" s="5">
        <v>46273</v>
      </c>
      <c r="D100" s="6" t="s">
        <v>33</v>
      </c>
      <c r="E100" s="6" t="s">
        <v>67</v>
      </c>
      <c r="F100" s="7" t="s">
        <v>1115</v>
      </c>
      <c r="G100" s="6" t="s">
        <v>30</v>
      </c>
      <c r="H100" s="6">
        <v>503</v>
      </c>
      <c r="I100" s="6" t="s">
        <v>31</v>
      </c>
      <c r="J100" s="6" t="s">
        <v>607</v>
      </c>
      <c r="K100" s="6" t="s">
        <v>25</v>
      </c>
      <c r="L100" s="7" t="s">
        <v>1116</v>
      </c>
      <c r="M100" s="8"/>
      <c r="N100" s="8"/>
      <c r="O100" s="8"/>
      <c r="P100" s="6">
        <v>14</v>
      </c>
      <c r="Q100" s="5">
        <v>46293</v>
      </c>
      <c r="R100" s="5">
        <v>46273</v>
      </c>
      <c r="S100" s="6" t="s">
        <v>26</v>
      </c>
      <c r="T100" s="6" t="s">
        <v>26</v>
      </c>
      <c r="U100" s="5">
        <v>46290</v>
      </c>
      <c r="V100" s="6" t="s">
        <v>1117</v>
      </c>
      <c r="W100" s="9" t="s">
        <v>27</v>
      </c>
      <c r="X100" s="10" t="s">
        <v>25</v>
      </c>
      <c r="Y100" s="885"/>
    </row>
    <row r="101" spans="1:25" ht="50.1" customHeight="1" thickBot="1" x14ac:dyDescent="0.3">
      <c r="A101" s="872" t="s">
        <v>1118</v>
      </c>
      <c r="B101" s="6" t="s">
        <v>1119</v>
      </c>
      <c r="C101" s="5">
        <v>46273</v>
      </c>
      <c r="D101" s="6" t="s">
        <v>19</v>
      </c>
      <c r="E101" s="6" t="s">
        <v>39</v>
      </c>
      <c r="F101" s="7" t="s">
        <v>40</v>
      </c>
      <c r="G101" s="6" t="s">
        <v>34</v>
      </c>
      <c r="H101" s="6">
        <v>114</v>
      </c>
      <c r="I101" s="6" t="s">
        <v>41</v>
      </c>
      <c r="J101" s="6" t="s">
        <v>42</v>
      </c>
      <c r="K101" s="6" t="s">
        <v>25</v>
      </c>
      <c r="L101" s="7" t="s">
        <v>1120</v>
      </c>
      <c r="M101" s="8"/>
      <c r="N101" s="8"/>
      <c r="O101" s="8"/>
      <c r="P101" s="6">
        <v>14</v>
      </c>
      <c r="Q101" s="5">
        <v>46293</v>
      </c>
      <c r="R101" s="6" t="s">
        <v>26</v>
      </c>
      <c r="S101" s="6" t="s">
        <v>26</v>
      </c>
      <c r="T101" s="6" t="s">
        <v>26</v>
      </c>
      <c r="U101" s="5">
        <v>46293</v>
      </c>
      <c r="V101" s="6" t="s">
        <v>1121</v>
      </c>
      <c r="W101" s="9" t="s">
        <v>27</v>
      </c>
      <c r="X101" s="10" t="s">
        <v>25</v>
      </c>
      <c r="Y101" s="885"/>
    </row>
    <row r="102" spans="1:25" ht="50.1" customHeight="1" thickBot="1" x14ac:dyDescent="0.3">
      <c r="A102" s="872" t="s">
        <v>1122</v>
      </c>
      <c r="B102" s="6" t="s">
        <v>1123</v>
      </c>
      <c r="C102" s="5">
        <v>46273</v>
      </c>
      <c r="D102" s="6" t="s">
        <v>19</v>
      </c>
      <c r="E102" s="6" t="s">
        <v>39</v>
      </c>
      <c r="F102" s="7" t="s">
        <v>40</v>
      </c>
      <c r="G102" s="6" t="s">
        <v>34</v>
      </c>
      <c r="H102" s="6">
        <v>114</v>
      </c>
      <c r="I102" s="6" t="s">
        <v>41</v>
      </c>
      <c r="J102" s="6" t="s">
        <v>42</v>
      </c>
      <c r="K102" s="8"/>
      <c r="L102" s="7" t="s">
        <v>1120</v>
      </c>
      <c r="M102" s="8"/>
      <c r="N102" s="8"/>
      <c r="O102" s="8"/>
      <c r="P102" s="6">
        <v>14</v>
      </c>
      <c r="Q102" s="5">
        <v>46293</v>
      </c>
      <c r="R102" s="8"/>
      <c r="S102" s="8"/>
      <c r="T102" s="8"/>
      <c r="U102" s="8"/>
      <c r="V102" s="8"/>
      <c r="W102" s="562" t="s">
        <v>461</v>
      </c>
      <c r="X102" s="6"/>
      <c r="Y102" s="885"/>
    </row>
    <row r="103" spans="1:25" ht="50.1" customHeight="1" thickBot="1" x14ac:dyDescent="0.3">
      <c r="A103" s="872" t="s">
        <v>1124</v>
      </c>
      <c r="B103" s="6" t="s">
        <v>1125</v>
      </c>
      <c r="C103" s="5">
        <v>46273</v>
      </c>
      <c r="D103" s="6" t="s">
        <v>19</v>
      </c>
      <c r="E103" s="6" t="s">
        <v>39</v>
      </c>
      <c r="F103" s="7" t="s">
        <v>58</v>
      </c>
      <c r="G103" s="6" t="s">
        <v>34</v>
      </c>
      <c r="H103" s="6">
        <v>114</v>
      </c>
      <c r="I103" s="6" t="s">
        <v>41</v>
      </c>
      <c r="J103" s="6" t="s">
        <v>42</v>
      </c>
      <c r="K103" s="6" t="s">
        <v>47</v>
      </c>
      <c r="L103" s="7" t="s">
        <v>1126</v>
      </c>
      <c r="M103" s="8"/>
      <c r="N103" s="8"/>
      <c r="O103" s="8"/>
      <c r="P103" s="6">
        <v>14</v>
      </c>
      <c r="Q103" s="5">
        <v>46293</v>
      </c>
      <c r="R103" s="6" t="s">
        <v>26</v>
      </c>
      <c r="S103" s="6" t="s">
        <v>26</v>
      </c>
      <c r="T103" s="6" t="s">
        <v>26</v>
      </c>
      <c r="U103" s="5">
        <v>46293</v>
      </c>
      <c r="V103" s="6" t="s">
        <v>1127</v>
      </c>
      <c r="W103" s="9" t="s">
        <v>27</v>
      </c>
      <c r="X103" s="10" t="s">
        <v>25</v>
      </c>
      <c r="Y103" s="885"/>
    </row>
    <row r="104" spans="1:25" ht="50.1" customHeight="1" thickBot="1" x14ac:dyDescent="0.3">
      <c r="A104" s="872" t="s">
        <v>1128</v>
      </c>
      <c r="B104" s="6" t="s">
        <v>1129</v>
      </c>
      <c r="C104" s="5">
        <v>46273</v>
      </c>
      <c r="D104" s="6" t="s">
        <v>19</v>
      </c>
      <c r="E104" s="6" t="s">
        <v>20</v>
      </c>
      <c r="F104" s="7" t="s">
        <v>1130</v>
      </c>
      <c r="G104" s="6" t="s">
        <v>22</v>
      </c>
      <c r="H104" s="6">
        <v>304</v>
      </c>
      <c r="I104" s="6" t="s">
        <v>43</v>
      </c>
      <c r="J104" s="6" t="s">
        <v>44</v>
      </c>
      <c r="K104" s="8"/>
      <c r="L104" s="7" t="s">
        <v>586</v>
      </c>
      <c r="M104" s="6">
        <v>1060820</v>
      </c>
      <c r="N104" s="8"/>
      <c r="O104" s="8"/>
      <c r="P104" s="6">
        <v>14</v>
      </c>
      <c r="Q104" s="5">
        <v>46293</v>
      </c>
      <c r="R104" s="5">
        <v>46273</v>
      </c>
      <c r="S104" s="6" t="s">
        <v>26</v>
      </c>
      <c r="T104" s="6" t="s">
        <v>26</v>
      </c>
      <c r="U104" s="5">
        <v>46293</v>
      </c>
      <c r="V104" s="6" t="s">
        <v>1131</v>
      </c>
      <c r="W104" s="9" t="s">
        <v>27</v>
      </c>
      <c r="X104" s="10" t="s">
        <v>25</v>
      </c>
      <c r="Y104" s="885"/>
    </row>
    <row r="105" spans="1:25" ht="50.1" customHeight="1" thickBot="1" x14ac:dyDescent="0.3">
      <c r="A105" s="4" t="s">
        <v>1132</v>
      </c>
      <c r="B105" s="6" t="s">
        <v>1133</v>
      </c>
      <c r="C105" s="5">
        <v>46273</v>
      </c>
      <c r="D105" s="6" t="s">
        <v>33</v>
      </c>
      <c r="E105" s="6" t="s">
        <v>29</v>
      </c>
      <c r="F105" s="7" t="s">
        <v>1134</v>
      </c>
      <c r="G105" s="6" t="s">
        <v>30</v>
      </c>
      <c r="H105" s="6">
        <v>502</v>
      </c>
      <c r="I105" s="6" t="s">
        <v>37</v>
      </c>
      <c r="J105" s="6" t="s">
        <v>38</v>
      </c>
      <c r="K105" s="6" t="s">
        <v>25</v>
      </c>
      <c r="L105" s="7" t="s">
        <v>611</v>
      </c>
      <c r="M105" s="8"/>
      <c r="N105" s="8"/>
      <c r="O105" s="8"/>
      <c r="P105" s="6">
        <v>14</v>
      </c>
      <c r="Q105" s="5">
        <v>46293</v>
      </c>
      <c r="R105" s="5">
        <v>46273</v>
      </c>
      <c r="S105" s="6" t="s">
        <v>26</v>
      </c>
      <c r="T105" s="6" t="s">
        <v>26</v>
      </c>
      <c r="U105" s="5">
        <v>46290</v>
      </c>
      <c r="V105" s="6" t="s">
        <v>1084</v>
      </c>
      <c r="W105" s="9" t="s">
        <v>27</v>
      </c>
      <c r="X105" s="10" t="s">
        <v>25</v>
      </c>
      <c r="Y105" s="885"/>
    </row>
    <row r="106" spans="1:25" ht="50.1" customHeight="1" thickBot="1" x14ac:dyDescent="0.3">
      <c r="A106" s="872" t="s">
        <v>1135</v>
      </c>
      <c r="B106" s="6" t="s">
        <v>1136</v>
      </c>
      <c r="C106" s="5">
        <v>46273</v>
      </c>
      <c r="D106" s="6" t="s">
        <v>103</v>
      </c>
      <c r="E106" s="6" t="s">
        <v>20</v>
      </c>
      <c r="F106" s="7" t="s">
        <v>286</v>
      </c>
      <c r="G106" s="6" t="s">
        <v>22</v>
      </c>
      <c r="H106" s="6">
        <v>316</v>
      </c>
      <c r="I106" s="6" t="s">
        <v>23</v>
      </c>
      <c r="J106" s="6" t="s">
        <v>288</v>
      </c>
      <c r="K106" s="6" t="s">
        <v>25</v>
      </c>
      <c r="L106" s="7" t="s">
        <v>1137</v>
      </c>
      <c r="M106" s="8"/>
      <c r="N106" s="8"/>
      <c r="O106" s="8"/>
      <c r="P106" s="6">
        <v>14</v>
      </c>
      <c r="Q106" s="5">
        <v>46293</v>
      </c>
      <c r="R106" s="5">
        <v>46273</v>
      </c>
      <c r="S106" s="6" t="s">
        <v>26</v>
      </c>
      <c r="T106" s="6" t="s">
        <v>26</v>
      </c>
      <c r="U106" s="5">
        <v>46293</v>
      </c>
      <c r="V106" s="6" t="s">
        <v>1138</v>
      </c>
      <c r="W106" s="9" t="s">
        <v>27</v>
      </c>
      <c r="X106" s="10" t="s">
        <v>25</v>
      </c>
      <c r="Y106" s="885"/>
    </row>
    <row r="107" spans="1:25" ht="50.1" customHeight="1" thickBot="1" x14ac:dyDescent="0.3">
      <c r="A107" s="4" t="s">
        <v>1139</v>
      </c>
      <c r="B107" s="6" t="s">
        <v>1140</v>
      </c>
      <c r="C107" s="5">
        <v>46273</v>
      </c>
      <c r="D107" s="6" t="s">
        <v>28</v>
      </c>
      <c r="E107" s="6" t="s">
        <v>39</v>
      </c>
      <c r="F107" s="7" t="s">
        <v>1141</v>
      </c>
      <c r="G107" s="6" t="s">
        <v>30</v>
      </c>
      <c r="H107" s="6">
        <v>503</v>
      </c>
      <c r="I107" s="6" t="s">
        <v>31</v>
      </c>
      <c r="J107" s="6" t="s">
        <v>93</v>
      </c>
      <c r="K107" s="8"/>
      <c r="L107" s="7" t="s">
        <v>1142</v>
      </c>
      <c r="M107" s="8"/>
      <c r="N107" s="3"/>
      <c r="O107" s="876" t="s">
        <v>1143</v>
      </c>
      <c r="P107" s="6">
        <v>14</v>
      </c>
      <c r="Q107" s="5">
        <v>46293</v>
      </c>
      <c r="R107" s="8"/>
      <c r="S107" s="8"/>
      <c r="T107" s="8"/>
      <c r="U107" s="8"/>
      <c r="V107" s="8"/>
      <c r="W107" s="562" t="s">
        <v>461</v>
      </c>
      <c r="X107" s="6"/>
      <c r="Y107" s="885"/>
    </row>
    <row r="108" spans="1:25" ht="50.1" customHeight="1" thickBot="1" x14ac:dyDescent="0.3">
      <c r="A108" s="4" t="s">
        <v>1144</v>
      </c>
      <c r="B108" s="6" t="s">
        <v>1145</v>
      </c>
      <c r="C108" s="5">
        <v>46273</v>
      </c>
      <c r="D108" s="6" t="s">
        <v>28</v>
      </c>
      <c r="E108" s="6" t="s">
        <v>61</v>
      </c>
      <c r="F108" s="7" t="s">
        <v>1146</v>
      </c>
      <c r="G108" s="6" t="s">
        <v>22</v>
      </c>
      <c r="H108" s="6">
        <v>306</v>
      </c>
      <c r="I108" s="6" t="s">
        <v>79</v>
      </c>
      <c r="J108" s="12" t="s">
        <v>1030</v>
      </c>
      <c r="K108" s="8"/>
      <c r="L108" s="7" t="s">
        <v>627</v>
      </c>
      <c r="M108" s="8"/>
      <c r="N108" s="8"/>
      <c r="O108" s="6" t="s">
        <v>776</v>
      </c>
      <c r="P108" s="6">
        <v>14</v>
      </c>
      <c r="Q108" s="5">
        <v>46293</v>
      </c>
      <c r="R108" s="5">
        <v>46273</v>
      </c>
      <c r="S108" s="6" t="s">
        <v>26</v>
      </c>
      <c r="T108" s="6" t="s">
        <v>26</v>
      </c>
      <c r="U108" s="5">
        <v>46294</v>
      </c>
      <c r="V108" s="6" t="s">
        <v>1147</v>
      </c>
      <c r="W108" s="9" t="s">
        <v>27</v>
      </c>
      <c r="X108" s="594" t="s">
        <v>47</v>
      </c>
      <c r="Y108" s="885"/>
    </row>
    <row r="109" spans="1:25" ht="50.1" customHeight="1" thickBot="1" x14ac:dyDescent="0.3">
      <c r="A109" s="4" t="s">
        <v>1148</v>
      </c>
      <c r="B109" s="6" t="s">
        <v>1149</v>
      </c>
      <c r="C109" s="5">
        <v>46273</v>
      </c>
      <c r="D109" s="6" t="s">
        <v>33</v>
      </c>
      <c r="E109" s="6" t="s">
        <v>584</v>
      </c>
      <c r="F109" s="7" t="s">
        <v>1150</v>
      </c>
      <c r="G109" s="6" t="s">
        <v>30</v>
      </c>
      <c r="H109" s="6">
        <v>503</v>
      </c>
      <c r="I109" s="6" t="s">
        <v>31</v>
      </c>
      <c r="J109" s="6" t="s">
        <v>580</v>
      </c>
      <c r="K109" s="6" t="s">
        <v>25</v>
      </c>
      <c r="L109" s="7" t="s">
        <v>1151</v>
      </c>
      <c r="M109" s="8"/>
      <c r="N109" s="8"/>
      <c r="O109" s="8"/>
      <c r="P109" s="6">
        <v>14</v>
      </c>
      <c r="Q109" s="5">
        <v>46293</v>
      </c>
      <c r="R109" s="5">
        <v>46273</v>
      </c>
      <c r="S109" s="6" t="s">
        <v>26</v>
      </c>
      <c r="T109" s="6" t="s">
        <v>26</v>
      </c>
      <c r="U109" s="5">
        <v>46294</v>
      </c>
      <c r="V109" s="6" t="s">
        <v>1152</v>
      </c>
      <c r="W109" s="9" t="s">
        <v>27</v>
      </c>
      <c r="X109" s="594" t="s">
        <v>47</v>
      </c>
      <c r="Y109" s="885"/>
    </row>
    <row r="110" spans="1:25" ht="50.1" customHeight="1" thickBot="1" x14ac:dyDescent="0.3">
      <c r="A110" s="872" t="s">
        <v>1153</v>
      </c>
      <c r="B110" s="6" t="s">
        <v>1154</v>
      </c>
      <c r="C110" s="5">
        <v>46273</v>
      </c>
      <c r="D110" s="6" t="s">
        <v>19</v>
      </c>
      <c r="E110" s="6" t="s">
        <v>29</v>
      </c>
      <c r="F110" s="7" t="s">
        <v>92</v>
      </c>
      <c r="G110" s="6" t="s">
        <v>34</v>
      </c>
      <c r="H110" s="6">
        <v>106</v>
      </c>
      <c r="I110" s="6" t="s">
        <v>112</v>
      </c>
      <c r="J110" s="6" t="s">
        <v>53</v>
      </c>
      <c r="K110" s="6" t="s">
        <v>25</v>
      </c>
      <c r="L110" s="7" t="s">
        <v>1155</v>
      </c>
      <c r="M110" s="8"/>
      <c r="N110" s="8"/>
      <c r="O110" s="8"/>
      <c r="P110" s="6">
        <v>14</v>
      </c>
      <c r="Q110" s="5">
        <v>46293</v>
      </c>
      <c r="R110" s="6" t="s">
        <v>26</v>
      </c>
      <c r="S110" s="6" t="s">
        <v>26</v>
      </c>
      <c r="T110" s="6" t="s">
        <v>26</v>
      </c>
      <c r="U110" s="5">
        <v>46293</v>
      </c>
      <c r="V110" s="6" t="s">
        <v>1156</v>
      </c>
      <c r="W110" s="9" t="s">
        <v>27</v>
      </c>
      <c r="X110" s="10" t="s">
        <v>25</v>
      </c>
      <c r="Y110" s="885"/>
    </row>
    <row r="111" spans="1:25" ht="50.1" customHeight="1" thickBot="1" x14ac:dyDescent="0.3">
      <c r="A111" s="872" t="s">
        <v>1157</v>
      </c>
      <c r="B111" s="6" t="s">
        <v>1158</v>
      </c>
      <c r="C111" s="5">
        <v>46273</v>
      </c>
      <c r="D111" s="6" t="s">
        <v>19</v>
      </c>
      <c r="E111" s="6" t="s">
        <v>20</v>
      </c>
      <c r="F111" s="7" t="s">
        <v>99</v>
      </c>
      <c r="G111" s="6" t="s">
        <v>22</v>
      </c>
      <c r="H111" s="6">
        <v>316</v>
      </c>
      <c r="I111" s="6" t="s">
        <v>23</v>
      </c>
      <c r="J111" s="6" t="s">
        <v>46</v>
      </c>
      <c r="K111" s="8"/>
      <c r="L111" s="7" t="s">
        <v>1155</v>
      </c>
      <c r="M111" s="8"/>
      <c r="N111" s="8"/>
      <c r="O111" s="8"/>
      <c r="P111" s="6">
        <v>14</v>
      </c>
      <c r="Q111" s="5">
        <v>46293</v>
      </c>
      <c r="R111" s="8"/>
      <c r="S111" s="8"/>
      <c r="T111" s="8"/>
      <c r="U111" s="8"/>
      <c r="V111" s="8"/>
      <c r="W111" s="562" t="s">
        <v>461</v>
      </c>
      <c r="X111" s="6"/>
      <c r="Y111" s="885"/>
    </row>
    <row r="112" spans="1:25" ht="50.1" customHeight="1" thickBot="1" x14ac:dyDescent="0.3">
      <c r="A112" s="872" t="s">
        <v>1159</v>
      </c>
      <c r="B112" s="6" t="s">
        <v>1160</v>
      </c>
      <c r="C112" s="5">
        <v>46273</v>
      </c>
      <c r="D112" s="6" t="s">
        <v>28</v>
      </c>
      <c r="E112" s="6" t="s">
        <v>460</v>
      </c>
      <c r="F112" s="7" t="s">
        <v>1161</v>
      </c>
      <c r="G112" s="6" t="s">
        <v>30</v>
      </c>
      <c r="H112" s="6">
        <v>503</v>
      </c>
      <c r="I112" s="6" t="s">
        <v>31</v>
      </c>
      <c r="J112" s="6" t="s">
        <v>520</v>
      </c>
      <c r="K112" s="8"/>
      <c r="L112" s="7" t="s">
        <v>618</v>
      </c>
      <c r="M112" s="8"/>
      <c r="N112" s="8"/>
      <c r="O112" s="8"/>
      <c r="P112" s="6">
        <v>14</v>
      </c>
      <c r="Q112" s="5">
        <v>46293</v>
      </c>
      <c r="R112" s="5">
        <v>46273</v>
      </c>
      <c r="S112" s="6" t="s">
        <v>26</v>
      </c>
      <c r="T112" s="6" t="s">
        <v>26</v>
      </c>
      <c r="U112" s="5">
        <v>46293</v>
      </c>
      <c r="V112" s="6" t="s">
        <v>1162</v>
      </c>
      <c r="W112" s="9" t="s">
        <v>27</v>
      </c>
      <c r="X112" s="10" t="s">
        <v>25</v>
      </c>
      <c r="Y112" s="885"/>
    </row>
    <row r="113" spans="1:25" ht="50.1" customHeight="1" thickBot="1" x14ac:dyDescent="0.3">
      <c r="A113" s="4" t="s">
        <v>1163</v>
      </c>
      <c r="B113" s="6" t="s">
        <v>1164</v>
      </c>
      <c r="C113" s="5">
        <v>46273</v>
      </c>
      <c r="D113" s="6" t="s">
        <v>103</v>
      </c>
      <c r="E113" s="6" t="s">
        <v>39</v>
      </c>
      <c r="F113" s="7" t="s">
        <v>479</v>
      </c>
      <c r="G113" s="6" t="s">
        <v>30</v>
      </c>
      <c r="H113" s="6">
        <v>503</v>
      </c>
      <c r="I113" s="6" t="s">
        <v>31</v>
      </c>
      <c r="J113" s="6" t="s">
        <v>93</v>
      </c>
      <c r="K113" s="6" t="s">
        <v>25</v>
      </c>
      <c r="L113" s="7" t="s">
        <v>1165</v>
      </c>
      <c r="M113" s="6">
        <v>1169300</v>
      </c>
      <c r="N113" s="8"/>
      <c r="O113" s="8"/>
      <c r="P113" s="6">
        <v>14</v>
      </c>
      <c r="Q113" s="5">
        <v>46293</v>
      </c>
      <c r="R113" s="5">
        <v>46273</v>
      </c>
      <c r="S113" s="6" t="s">
        <v>26</v>
      </c>
      <c r="T113" s="6" t="s">
        <v>26</v>
      </c>
      <c r="U113" s="5">
        <v>46293</v>
      </c>
      <c r="V113" s="6" t="s">
        <v>1166</v>
      </c>
      <c r="W113" s="9" t="s">
        <v>27</v>
      </c>
      <c r="X113" s="10" t="s">
        <v>25</v>
      </c>
      <c r="Y113" s="885"/>
    </row>
    <row r="114" spans="1:25" ht="50.1" customHeight="1" thickBot="1" x14ac:dyDescent="0.3">
      <c r="A114" s="872" t="s">
        <v>1167</v>
      </c>
      <c r="B114" s="6" t="s">
        <v>1168</v>
      </c>
      <c r="C114" s="5">
        <v>46273</v>
      </c>
      <c r="D114" s="6" t="s">
        <v>33</v>
      </c>
      <c r="E114" s="6" t="s">
        <v>460</v>
      </c>
      <c r="F114" s="7" t="s">
        <v>1169</v>
      </c>
      <c r="G114" s="6" t="s">
        <v>22</v>
      </c>
      <c r="H114" s="6">
        <v>316</v>
      </c>
      <c r="I114" s="6" t="s">
        <v>23</v>
      </c>
      <c r="J114" s="6" t="s">
        <v>78</v>
      </c>
      <c r="K114" s="8"/>
      <c r="L114" s="7" t="s">
        <v>589</v>
      </c>
      <c r="M114" s="8"/>
      <c r="N114" s="8"/>
      <c r="O114" s="6" t="s">
        <v>1170</v>
      </c>
      <c r="P114" s="6">
        <v>14</v>
      </c>
      <c r="Q114" s="5">
        <v>46293</v>
      </c>
      <c r="R114" s="8"/>
      <c r="S114" s="8"/>
      <c r="T114" s="8"/>
      <c r="U114" s="8"/>
      <c r="V114" s="8"/>
      <c r="W114" s="562" t="s">
        <v>461</v>
      </c>
      <c r="X114" s="6"/>
      <c r="Y114" s="885"/>
    </row>
    <row r="115" spans="1:25" ht="50.1" customHeight="1" thickBot="1" x14ac:dyDescent="0.3">
      <c r="A115" s="4" t="s">
        <v>1171</v>
      </c>
      <c r="B115" s="6" t="s">
        <v>1172</v>
      </c>
      <c r="C115" s="5">
        <v>46273</v>
      </c>
      <c r="D115" s="6" t="s">
        <v>103</v>
      </c>
      <c r="E115" s="6" t="s">
        <v>39</v>
      </c>
      <c r="F115" s="7" t="s">
        <v>1019</v>
      </c>
      <c r="G115" s="6" t="s">
        <v>30</v>
      </c>
      <c r="H115" s="6">
        <v>503</v>
      </c>
      <c r="I115" s="6" t="s">
        <v>31</v>
      </c>
      <c r="J115" s="6" t="s">
        <v>93</v>
      </c>
      <c r="K115" s="8"/>
      <c r="L115" s="7" t="s">
        <v>1173</v>
      </c>
      <c r="M115" s="8"/>
      <c r="N115" s="8"/>
      <c r="O115" s="8"/>
      <c r="P115" s="6">
        <v>14</v>
      </c>
      <c r="Q115" s="5">
        <v>46293</v>
      </c>
      <c r="R115" s="8"/>
      <c r="S115" s="8"/>
      <c r="T115" s="8"/>
      <c r="U115" s="8"/>
      <c r="V115" s="8"/>
      <c r="W115" s="562" t="s">
        <v>461</v>
      </c>
      <c r="X115" s="6"/>
      <c r="Y115" s="885"/>
    </row>
    <row r="116" spans="1:25" ht="50.1" customHeight="1" thickBot="1" x14ac:dyDescent="0.35">
      <c r="A116" s="872" t="s">
        <v>1174</v>
      </c>
      <c r="B116" s="6" t="s">
        <v>1175</v>
      </c>
      <c r="C116" s="5">
        <v>46273</v>
      </c>
      <c r="D116" s="6" t="s">
        <v>28</v>
      </c>
      <c r="E116" s="6" t="s">
        <v>29</v>
      </c>
      <c r="F116" s="7" t="s">
        <v>1176</v>
      </c>
      <c r="G116" s="6" t="s">
        <v>30</v>
      </c>
      <c r="H116" s="6">
        <v>503</v>
      </c>
      <c r="I116" s="6" t="s">
        <v>31</v>
      </c>
      <c r="J116" s="877" t="s">
        <v>1177</v>
      </c>
      <c r="K116" s="8"/>
      <c r="L116" s="7" t="s">
        <v>608</v>
      </c>
      <c r="M116" s="8"/>
      <c r="N116" s="8"/>
      <c r="O116" s="6" t="s">
        <v>609</v>
      </c>
      <c r="P116" s="6">
        <v>14</v>
      </c>
      <c r="Q116" s="5">
        <v>46293</v>
      </c>
      <c r="R116" s="8"/>
      <c r="S116" s="8"/>
      <c r="T116" s="8"/>
      <c r="U116" s="8"/>
      <c r="V116" s="8"/>
      <c r="W116" s="562" t="s">
        <v>461</v>
      </c>
      <c r="X116" s="6"/>
      <c r="Y116" s="885"/>
    </row>
    <row r="117" spans="1:25" ht="50.1" customHeight="1" thickBot="1" x14ac:dyDescent="0.3">
      <c r="A117" s="4" t="s">
        <v>1178</v>
      </c>
      <c r="B117" s="6" t="s">
        <v>1179</v>
      </c>
      <c r="C117" s="5">
        <v>46273</v>
      </c>
      <c r="D117" s="6" t="s">
        <v>103</v>
      </c>
      <c r="E117" s="6" t="s">
        <v>39</v>
      </c>
      <c r="F117" s="7" t="s">
        <v>462</v>
      </c>
      <c r="G117" s="6" t="s">
        <v>30</v>
      </c>
      <c r="H117" s="6">
        <v>503</v>
      </c>
      <c r="I117" s="6" t="s">
        <v>31</v>
      </c>
      <c r="J117" s="6" t="s">
        <v>93</v>
      </c>
      <c r="K117" s="8"/>
      <c r="L117" s="7" t="s">
        <v>1180</v>
      </c>
      <c r="M117" s="8"/>
      <c r="N117" s="8"/>
      <c r="O117" s="8"/>
      <c r="P117" s="6">
        <v>14</v>
      </c>
      <c r="Q117" s="5">
        <v>46293</v>
      </c>
      <c r="R117" s="8"/>
      <c r="S117" s="8"/>
      <c r="T117" s="8"/>
      <c r="U117" s="8"/>
      <c r="V117" s="8"/>
      <c r="W117" s="562" t="s">
        <v>461</v>
      </c>
      <c r="X117" s="6"/>
      <c r="Y117" s="885"/>
    </row>
    <row r="118" spans="1:25" ht="50.1" customHeight="1" thickBot="1" x14ac:dyDescent="0.3">
      <c r="A118" s="872" t="s">
        <v>1181</v>
      </c>
      <c r="B118" s="6" t="s">
        <v>1182</v>
      </c>
      <c r="C118" s="5">
        <v>46273</v>
      </c>
      <c r="D118" s="6" t="s">
        <v>19</v>
      </c>
      <c r="E118" s="6" t="s">
        <v>460</v>
      </c>
      <c r="F118" s="7" t="s">
        <v>1183</v>
      </c>
      <c r="G118" s="6" t="s">
        <v>34</v>
      </c>
      <c r="H118" s="6">
        <v>102</v>
      </c>
      <c r="I118" s="6" t="s">
        <v>70</v>
      </c>
      <c r="J118" s="6" t="s">
        <v>71</v>
      </c>
      <c r="K118" s="8"/>
      <c r="L118" s="7" t="s">
        <v>1184</v>
      </c>
      <c r="M118" s="8"/>
      <c r="N118" s="8"/>
      <c r="O118" s="8"/>
      <c r="P118" s="6">
        <v>14</v>
      </c>
      <c r="Q118" s="5">
        <v>46293</v>
      </c>
      <c r="R118" s="8"/>
      <c r="S118" s="8"/>
      <c r="T118" s="8"/>
      <c r="U118" s="8"/>
      <c r="V118" s="8"/>
      <c r="W118" s="562" t="s">
        <v>461</v>
      </c>
      <c r="X118" s="6"/>
      <c r="Y118" s="885"/>
    </row>
    <row r="119" spans="1:25" ht="50.1" customHeight="1" thickBot="1" x14ac:dyDescent="0.3">
      <c r="A119" s="872" t="s">
        <v>1185</v>
      </c>
      <c r="B119" s="6" t="s">
        <v>1186</v>
      </c>
      <c r="C119" s="5">
        <v>46274</v>
      </c>
      <c r="D119" s="6" t="s">
        <v>19</v>
      </c>
      <c r="E119" s="6" t="s">
        <v>460</v>
      </c>
      <c r="F119" s="7" t="s">
        <v>1187</v>
      </c>
      <c r="G119" s="6" t="s">
        <v>22</v>
      </c>
      <c r="H119" s="6">
        <v>316</v>
      </c>
      <c r="I119" s="6" t="s">
        <v>23</v>
      </c>
      <c r="J119" s="6" t="s">
        <v>167</v>
      </c>
      <c r="K119" s="8"/>
      <c r="L119" s="7" t="s">
        <v>1188</v>
      </c>
      <c r="M119" s="8"/>
      <c r="N119" s="8"/>
      <c r="O119" s="8"/>
      <c r="P119" s="6">
        <v>14</v>
      </c>
      <c r="Q119" s="5">
        <v>46293</v>
      </c>
      <c r="R119" s="8"/>
      <c r="S119" s="8"/>
      <c r="T119" s="8"/>
      <c r="U119" s="8"/>
      <c r="V119" s="8"/>
      <c r="W119" s="562" t="s">
        <v>461</v>
      </c>
      <c r="X119" s="6"/>
      <c r="Y119" s="885"/>
    </row>
    <row r="120" spans="1:25" ht="50.1" customHeight="1" thickBot="1" x14ac:dyDescent="0.3">
      <c r="A120" s="872" t="s">
        <v>1189</v>
      </c>
      <c r="B120" s="6" t="s">
        <v>1190</v>
      </c>
      <c r="C120" s="5">
        <v>46274</v>
      </c>
      <c r="D120" s="6" t="s">
        <v>19</v>
      </c>
      <c r="E120" s="6" t="s">
        <v>460</v>
      </c>
      <c r="F120" s="7" t="s">
        <v>1191</v>
      </c>
      <c r="G120" s="6" t="s">
        <v>22</v>
      </c>
      <c r="H120" s="6">
        <v>316</v>
      </c>
      <c r="I120" s="6" t="s">
        <v>23</v>
      </c>
      <c r="J120" s="6" t="s">
        <v>57</v>
      </c>
      <c r="K120" s="8"/>
      <c r="L120" s="7" t="s">
        <v>1192</v>
      </c>
      <c r="M120" s="6">
        <v>1190245</v>
      </c>
      <c r="N120" s="8"/>
      <c r="O120" s="8"/>
      <c r="P120" s="6">
        <v>14</v>
      </c>
      <c r="Q120" s="5">
        <v>46294</v>
      </c>
      <c r="R120" s="5">
        <v>46274</v>
      </c>
      <c r="S120" s="6" t="s">
        <v>26</v>
      </c>
      <c r="T120" s="6" t="s">
        <v>26</v>
      </c>
      <c r="U120" s="5">
        <v>46294</v>
      </c>
      <c r="V120" s="6" t="s">
        <v>1193</v>
      </c>
      <c r="W120" s="9" t="s">
        <v>27</v>
      </c>
      <c r="X120" s="10" t="s">
        <v>25</v>
      </c>
      <c r="Y120" s="885"/>
    </row>
    <row r="121" spans="1:25" ht="50.1" customHeight="1" thickBot="1" x14ac:dyDescent="0.3">
      <c r="A121" s="872" t="s">
        <v>1194</v>
      </c>
      <c r="B121" s="6" t="s">
        <v>1195</v>
      </c>
      <c r="C121" s="5">
        <v>46274</v>
      </c>
      <c r="D121" s="6" t="s">
        <v>19</v>
      </c>
      <c r="E121" s="6" t="s">
        <v>29</v>
      </c>
      <c r="F121" s="7" t="s">
        <v>1196</v>
      </c>
      <c r="G121" s="6" t="s">
        <v>30</v>
      </c>
      <c r="H121" s="6">
        <v>502</v>
      </c>
      <c r="I121" s="6" t="s">
        <v>37</v>
      </c>
      <c r="J121" s="6" t="s">
        <v>38</v>
      </c>
      <c r="K121" s="8"/>
      <c r="L121" s="7" t="s">
        <v>1197</v>
      </c>
      <c r="M121" s="8"/>
      <c r="N121" s="8"/>
      <c r="O121" s="8"/>
      <c r="P121" s="6">
        <v>14</v>
      </c>
      <c r="Q121" s="5">
        <v>46294</v>
      </c>
      <c r="R121" s="8"/>
      <c r="S121" s="8"/>
      <c r="T121" s="8"/>
      <c r="U121" s="8"/>
      <c r="V121" s="8"/>
      <c r="W121" s="562" t="s">
        <v>461</v>
      </c>
      <c r="X121" s="6"/>
      <c r="Y121" s="885"/>
    </row>
    <row r="122" spans="1:25" ht="50.1" customHeight="1" thickBot="1" x14ac:dyDescent="0.3">
      <c r="A122" s="4" t="s">
        <v>1198</v>
      </c>
      <c r="B122" s="6" t="s">
        <v>1199</v>
      </c>
      <c r="C122" s="5">
        <v>46274</v>
      </c>
      <c r="D122" s="6" t="s">
        <v>19</v>
      </c>
      <c r="E122" s="6" t="s">
        <v>39</v>
      </c>
      <c r="F122" s="7" t="s">
        <v>1200</v>
      </c>
      <c r="G122" s="6" t="s">
        <v>30</v>
      </c>
      <c r="H122" s="6">
        <v>503</v>
      </c>
      <c r="I122" s="6" t="s">
        <v>31</v>
      </c>
      <c r="J122" s="6" t="s">
        <v>93</v>
      </c>
      <c r="K122" s="8"/>
      <c r="L122" s="7" t="s">
        <v>1201</v>
      </c>
      <c r="M122" s="8"/>
      <c r="N122" s="8"/>
      <c r="O122" s="8"/>
      <c r="P122" s="6">
        <v>14</v>
      </c>
      <c r="Q122" s="5">
        <v>46294</v>
      </c>
      <c r="R122" s="5">
        <v>46274</v>
      </c>
      <c r="S122" s="6" t="s">
        <v>26</v>
      </c>
      <c r="T122" s="6" t="s">
        <v>26</v>
      </c>
      <c r="U122" s="5">
        <v>46294</v>
      </c>
      <c r="V122" s="6" t="s">
        <v>1202</v>
      </c>
      <c r="W122" s="9" t="s">
        <v>27</v>
      </c>
      <c r="X122" s="10" t="s">
        <v>25</v>
      </c>
      <c r="Y122" s="885"/>
    </row>
    <row r="123" spans="1:25" ht="50.1" customHeight="1" thickBot="1" x14ac:dyDescent="0.3">
      <c r="A123" s="4" t="s">
        <v>1203</v>
      </c>
      <c r="B123" s="6" t="s">
        <v>1204</v>
      </c>
      <c r="C123" s="5">
        <v>46274</v>
      </c>
      <c r="D123" s="6" t="s">
        <v>33</v>
      </c>
      <c r="E123" s="6" t="s">
        <v>67</v>
      </c>
      <c r="F123" s="7" t="s">
        <v>1205</v>
      </c>
      <c r="G123" s="6" t="s">
        <v>1206</v>
      </c>
      <c r="H123" s="6" t="s">
        <v>1206</v>
      </c>
      <c r="I123" s="6" t="s">
        <v>1206</v>
      </c>
      <c r="J123" s="6" t="s">
        <v>1206</v>
      </c>
      <c r="K123" s="8"/>
      <c r="L123" s="7" t="s">
        <v>1207</v>
      </c>
      <c r="M123" s="8"/>
      <c r="N123" s="8"/>
      <c r="O123" s="6" t="s">
        <v>1208</v>
      </c>
      <c r="P123" s="6">
        <v>14</v>
      </c>
      <c r="Q123" s="5">
        <v>46294</v>
      </c>
      <c r="R123" s="5">
        <v>46274</v>
      </c>
      <c r="S123" s="6" t="s">
        <v>26</v>
      </c>
      <c r="T123" s="6" t="s">
        <v>26</v>
      </c>
      <c r="U123" s="5">
        <v>46294</v>
      </c>
      <c r="V123" s="6" t="s">
        <v>1209</v>
      </c>
      <c r="W123" s="9" t="s">
        <v>27</v>
      </c>
      <c r="X123" s="10" t="s">
        <v>25</v>
      </c>
      <c r="Y123" s="885"/>
    </row>
    <row r="124" spans="1:25" ht="50.1" customHeight="1" thickBot="1" x14ac:dyDescent="0.3">
      <c r="A124" s="872" t="s">
        <v>1210</v>
      </c>
      <c r="B124" s="6" t="s">
        <v>1211</v>
      </c>
      <c r="C124" s="5">
        <v>46274</v>
      </c>
      <c r="D124" s="6" t="s">
        <v>33</v>
      </c>
      <c r="E124" s="6" t="s">
        <v>20</v>
      </c>
      <c r="F124" s="7" t="s">
        <v>1212</v>
      </c>
      <c r="G124" s="6" t="s">
        <v>34</v>
      </c>
      <c r="H124" s="6">
        <v>121</v>
      </c>
      <c r="I124" s="6" t="s">
        <v>69</v>
      </c>
      <c r="J124" s="6" t="s">
        <v>501</v>
      </c>
      <c r="K124" s="8"/>
      <c r="L124" s="7" t="s">
        <v>1213</v>
      </c>
      <c r="M124" s="8"/>
      <c r="N124" s="8"/>
      <c r="O124" s="8"/>
      <c r="P124" s="6">
        <v>14</v>
      </c>
      <c r="Q124" s="5">
        <v>46294</v>
      </c>
      <c r="R124" s="6" t="s">
        <v>26</v>
      </c>
      <c r="S124" s="6" t="s">
        <v>26</v>
      </c>
      <c r="T124" s="6" t="s">
        <v>26</v>
      </c>
      <c r="U124" s="5">
        <v>46294</v>
      </c>
      <c r="V124" s="6" t="s">
        <v>1214</v>
      </c>
      <c r="W124" s="9" t="s">
        <v>27</v>
      </c>
      <c r="X124" s="10" t="s">
        <v>25</v>
      </c>
      <c r="Y124" s="885"/>
    </row>
    <row r="125" spans="1:25" ht="50.1" customHeight="1" thickBot="1" x14ac:dyDescent="0.3">
      <c r="A125" s="4" t="s">
        <v>1215</v>
      </c>
      <c r="B125" s="6" t="s">
        <v>1216</v>
      </c>
      <c r="C125" s="5">
        <v>46274</v>
      </c>
      <c r="D125" s="6" t="s">
        <v>28</v>
      </c>
      <c r="E125" s="6" t="s">
        <v>39</v>
      </c>
      <c r="F125" s="7" t="s">
        <v>1217</v>
      </c>
      <c r="G125" s="6" t="s">
        <v>30</v>
      </c>
      <c r="H125" s="6">
        <v>503</v>
      </c>
      <c r="I125" s="6" t="s">
        <v>31</v>
      </c>
      <c r="J125" s="12" t="s">
        <v>85</v>
      </c>
      <c r="K125" s="6" t="s">
        <v>47</v>
      </c>
      <c r="L125" s="7" t="s">
        <v>627</v>
      </c>
      <c r="M125" s="8"/>
      <c r="N125" s="8"/>
      <c r="O125" s="6" t="s">
        <v>776</v>
      </c>
      <c r="P125" s="6">
        <v>14</v>
      </c>
      <c r="Q125" s="5">
        <v>46294</v>
      </c>
      <c r="R125" s="5">
        <v>46274</v>
      </c>
      <c r="S125" s="6" t="s">
        <v>26</v>
      </c>
      <c r="T125" s="6" t="s">
        <v>26</v>
      </c>
      <c r="U125" s="5">
        <v>46295</v>
      </c>
      <c r="V125" s="6" t="s">
        <v>1218</v>
      </c>
      <c r="W125" s="9" t="s">
        <v>27</v>
      </c>
      <c r="X125" s="594" t="s">
        <v>47</v>
      </c>
      <c r="Y125" s="885"/>
    </row>
    <row r="126" spans="1:25" ht="50.1" customHeight="1" thickBot="1" x14ac:dyDescent="0.3">
      <c r="A126" s="4" t="s">
        <v>1219</v>
      </c>
      <c r="B126" s="6" t="s">
        <v>1220</v>
      </c>
      <c r="C126" s="5">
        <v>46274</v>
      </c>
      <c r="D126" s="6" t="s">
        <v>28</v>
      </c>
      <c r="E126" s="6" t="s">
        <v>84</v>
      </c>
      <c r="F126" s="7" t="s">
        <v>1221</v>
      </c>
      <c r="G126" s="6" t="s">
        <v>30</v>
      </c>
      <c r="H126" s="6">
        <v>503</v>
      </c>
      <c r="I126" s="6" t="s">
        <v>31</v>
      </c>
      <c r="J126" s="6" t="s">
        <v>59</v>
      </c>
      <c r="K126" s="6" t="s">
        <v>25</v>
      </c>
      <c r="L126" s="7" t="s">
        <v>634</v>
      </c>
      <c r="M126" s="8"/>
      <c r="N126" s="8"/>
      <c r="O126" s="6" t="s">
        <v>542</v>
      </c>
      <c r="P126" s="6">
        <v>14</v>
      </c>
      <c r="Q126" s="5">
        <v>46294</v>
      </c>
      <c r="R126" s="5">
        <v>46274</v>
      </c>
      <c r="S126" s="6" t="s">
        <v>26</v>
      </c>
      <c r="T126" s="6" t="s">
        <v>26</v>
      </c>
      <c r="U126" s="5">
        <v>46294</v>
      </c>
      <c r="V126" s="6" t="s">
        <v>1222</v>
      </c>
      <c r="W126" s="9" t="s">
        <v>27</v>
      </c>
      <c r="X126" s="10" t="s">
        <v>25</v>
      </c>
      <c r="Y126" s="886" t="s">
        <v>25</v>
      </c>
    </row>
    <row r="127" spans="1:25" ht="50.1" customHeight="1" thickBot="1" x14ac:dyDescent="0.3">
      <c r="A127" s="872" t="s">
        <v>1223</v>
      </c>
      <c r="B127" s="6" t="s">
        <v>1224</v>
      </c>
      <c r="C127" s="5">
        <v>46274</v>
      </c>
      <c r="D127" s="6" t="s">
        <v>103</v>
      </c>
      <c r="E127" s="6" t="s">
        <v>460</v>
      </c>
      <c r="F127" s="7" t="s">
        <v>1225</v>
      </c>
      <c r="G127" s="6" t="s">
        <v>22</v>
      </c>
      <c r="H127" s="6">
        <v>316</v>
      </c>
      <c r="I127" s="6" t="s">
        <v>23</v>
      </c>
      <c r="J127" s="6" t="s">
        <v>57</v>
      </c>
      <c r="K127" s="8"/>
      <c r="L127" s="7" t="s">
        <v>1226</v>
      </c>
      <c r="M127" s="8"/>
      <c r="N127" s="8"/>
      <c r="O127" s="8"/>
      <c r="P127" s="6">
        <v>14</v>
      </c>
      <c r="Q127" s="5">
        <v>46294</v>
      </c>
      <c r="R127" s="8"/>
      <c r="S127" s="8"/>
      <c r="T127" s="8"/>
      <c r="U127" s="8"/>
      <c r="V127" s="8"/>
      <c r="W127" s="562" t="s">
        <v>461</v>
      </c>
      <c r="X127" s="6"/>
      <c r="Y127" s="885"/>
    </row>
    <row r="128" spans="1:25" ht="50.1" customHeight="1" thickBot="1" x14ac:dyDescent="0.3">
      <c r="A128" s="872" t="s">
        <v>1227</v>
      </c>
      <c r="B128" s="6" t="s">
        <v>1228</v>
      </c>
      <c r="C128" s="5">
        <v>46274</v>
      </c>
      <c r="D128" s="6" t="s">
        <v>103</v>
      </c>
      <c r="E128" s="6" t="s">
        <v>20</v>
      </c>
      <c r="F128" s="7" t="s">
        <v>1229</v>
      </c>
      <c r="G128" s="6" t="s">
        <v>22</v>
      </c>
      <c r="H128" s="6">
        <v>316</v>
      </c>
      <c r="I128" s="6" t="s">
        <v>23</v>
      </c>
      <c r="J128" s="6" t="s">
        <v>288</v>
      </c>
      <c r="K128" s="8"/>
      <c r="L128" s="7" t="s">
        <v>1230</v>
      </c>
      <c r="M128" s="8"/>
      <c r="N128" s="8"/>
      <c r="O128" s="8"/>
      <c r="P128" s="6">
        <v>14</v>
      </c>
      <c r="Q128" s="5">
        <v>46294</v>
      </c>
      <c r="R128" s="8"/>
      <c r="S128" s="8"/>
      <c r="T128" s="8"/>
      <c r="U128" s="8"/>
      <c r="V128" s="8"/>
      <c r="W128" s="562" t="s">
        <v>461</v>
      </c>
      <c r="X128" s="6"/>
      <c r="Y128" s="885"/>
    </row>
    <row r="129" spans="1:25" ht="50.1" customHeight="1" thickBot="1" x14ac:dyDescent="0.3">
      <c r="A129" s="872" t="s">
        <v>1231</v>
      </c>
      <c r="B129" s="6" t="s">
        <v>1232</v>
      </c>
      <c r="C129" s="5">
        <v>46274</v>
      </c>
      <c r="D129" s="6" t="s">
        <v>19</v>
      </c>
      <c r="E129" s="6" t="s">
        <v>39</v>
      </c>
      <c r="F129" s="7" t="s">
        <v>647</v>
      </c>
      <c r="G129" s="6" t="s">
        <v>34</v>
      </c>
      <c r="H129" s="6">
        <v>114</v>
      </c>
      <c r="I129" s="6" t="s">
        <v>41</v>
      </c>
      <c r="J129" s="6" t="s">
        <v>42</v>
      </c>
      <c r="K129" s="6" t="s">
        <v>25</v>
      </c>
      <c r="L129" s="7" t="s">
        <v>1233</v>
      </c>
      <c r="M129" s="6">
        <v>1206580</v>
      </c>
      <c r="N129" s="8"/>
      <c r="O129" s="8"/>
      <c r="P129" s="6">
        <v>14</v>
      </c>
      <c r="Q129" s="5">
        <v>46294</v>
      </c>
      <c r="R129" s="6" t="s">
        <v>26</v>
      </c>
      <c r="S129" s="6" t="s">
        <v>26</v>
      </c>
      <c r="T129" s="6" t="s">
        <v>26</v>
      </c>
      <c r="U129" s="5">
        <v>46294</v>
      </c>
      <c r="V129" s="6" t="s">
        <v>1234</v>
      </c>
      <c r="W129" s="9" t="s">
        <v>27</v>
      </c>
      <c r="X129" s="10" t="s">
        <v>25</v>
      </c>
      <c r="Y129" s="885"/>
    </row>
    <row r="130" spans="1:25" ht="50.1" customHeight="1" thickBot="1" x14ac:dyDescent="0.3">
      <c r="A130" s="872" t="s">
        <v>1235</v>
      </c>
      <c r="B130" s="6" t="s">
        <v>1236</v>
      </c>
      <c r="C130" s="5">
        <v>46274</v>
      </c>
      <c r="D130" s="6" t="s">
        <v>19</v>
      </c>
      <c r="E130" s="6" t="s">
        <v>20</v>
      </c>
      <c r="F130" s="7" t="s">
        <v>392</v>
      </c>
      <c r="G130" s="6" t="s">
        <v>22</v>
      </c>
      <c r="H130" s="6">
        <v>316</v>
      </c>
      <c r="I130" s="6" t="s">
        <v>23</v>
      </c>
      <c r="J130" s="6" t="s">
        <v>288</v>
      </c>
      <c r="K130" s="6" t="s">
        <v>25</v>
      </c>
      <c r="L130" s="7" t="s">
        <v>629</v>
      </c>
      <c r="M130" s="6">
        <v>1016080</v>
      </c>
      <c r="N130" s="8"/>
      <c r="O130" s="8"/>
      <c r="P130" s="6">
        <v>14</v>
      </c>
      <c r="Q130" s="5">
        <v>46294</v>
      </c>
      <c r="R130" s="5">
        <v>46274</v>
      </c>
      <c r="S130" s="6" t="s">
        <v>26</v>
      </c>
      <c r="T130" s="6" t="s">
        <v>26</v>
      </c>
      <c r="U130" s="5">
        <v>46294</v>
      </c>
      <c r="V130" s="6" t="s">
        <v>1237</v>
      </c>
      <c r="W130" s="9" t="s">
        <v>27</v>
      </c>
      <c r="X130" s="10" t="s">
        <v>25</v>
      </c>
      <c r="Y130" s="885"/>
    </row>
    <row r="131" spans="1:25" ht="50.1" customHeight="1" thickBot="1" x14ac:dyDescent="0.3">
      <c r="A131" s="872" t="s">
        <v>1238</v>
      </c>
      <c r="B131" s="6" t="s">
        <v>1239</v>
      </c>
      <c r="C131" s="5">
        <v>46274</v>
      </c>
      <c r="D131" s="6" t="s">
        <v>19</v>
      </c>
      <c r="E131" s="6" t="s">
        <v>39</v>
      </c>
      <c r="F131" s="7" t="s">
        <v>58</v>
      </c>
      <c r="G131" s="6" t="s">
        <v>34</v>
      </c>
      <c r="H131" s="6">
        <v>114</v>
      </c>
      <c r="I131" s="6" t="s">
        <v>41</v>
      </c>
      <c r="J131" s="6" t="s">
        <v>42</v>
      </c>
      <c r="K131" s="6" t="s">
        <v>25</v>
      </c>
      <c r="L131" s="7" t="s">
        <v>477</v>
      </c>
      <c r="M131" s="6">
        <v>1024160</v>
      </c>
      <c r="N131" s="8"/>
      <c r="O131" s="8"/>
      <c r="P131" s="6">
        <v>14</v>
      </c>
      <c r="Q131" s="5">
        <v>46294</v>
      </c>
      <c r="R131" s="6" t="s">
        <v>26</v>
      </c>
      <c r="S131" s="6" t="s">
        <v>26</v>
      </c>
      <c r="T131" s="6" t="s">
        <v>26</v>
      </c>
      <c r="U131" s="5">
        <v>46294</v>
      </c>
      <c r="V131" s="6" t="s">
        <v>1240</v>
      </c>
      <c r="W131" s="9" t="s">
        <v>27</v>
      </c>
      <c r="X131" s="10" t="s">
        <v>25</v>
      </c>
      <c r="Y131" s="885"/>
    </row>
    <row r="132" spans="1:25" ht="50.1" customHeight="1" thickBot="1" x14ac:dyDescent="0.3">
      <c r="A132" s="872" t="s">
        <v>1241</v>
      </c>
      <c r="B132" s="6" t="s">
        <v>1242</v>
      </c>
      <c r="C132" s="5">
        <v>46274</v>
      </c>
      <c r="D132" s="6" t="s">
        <v>19</v>
      </c>
      <c r="E132" s="6" t="s">
        <v>39</v>
      </c>
      <c r="F132" s="7" t="s">
        <v>620</v>
      </c>
      <c r="G132" s="6" t="s">
        <v>34</v>
      </c>
      <c r="H132" s="6">
        <v>106</v>
      </c>
      <c r="I132" s="6" t="s">
        <v>112</v>
      </c>
      <c r="J132" s="6" t="s">
        <v>53</v>
      </c>
      <c r="K132" s="6" t="s">
        <v>25</v>
      </c>
      <c r="L132" s="7" t="s">
        <v>1243</v>
      </c>
      <c r="M132" s="8"/>
      <c r="N132" s="8"/>
      <c r="O132" s="8"/>
      <c r="P132" s="6">
        <v>14</v>
      </c>
      <c r="Q132" s="5">
        <v>46294</v>
      </c>
      <c r="R132" s="6" t="s">
        <v>26</v>
      </c>
      <c r="S132" s="6" t="s">
        <v>26</v>
      </c>
      <c r="T132" s="6" t="s">
        <v>26</v>
      </c>
      <c r="U132" s="5">
        <v>46294</v>
      </c>
      <c r="V132" s="6" t="s">
        <v>1244</v>
      </c>
      <c r="W132" s="9" t="s">
        <v>27</v>
      </c>
      <c r="X132" s="10" t="s">
        <v>25</v>
      </c>
      <c r="Y132" s="885"/>
    </row>
    <row r="133" spans="1:25" ht="50.1" customHeight="1" thickBot="1" x14ac:dyDescent="0.3">
      <c r="A133" s="4" t="s">
        <v>1245</v>
      </c>
      <c r="B133" s="6" t="s">
        <v>1246</v>
      </c>
      <c r="C133" s="5">
        <v>46274</v>
      </c>
      <c r="D133" s="6" t="s">
        <v>103</v>
      </c>
      <c r="E133" s="6" t="s">
        <v>39</v>
      </c>
      <c r="F133" s="7" t="s">
        <v>462</v>
      </c>
      <c r="G133" s="6" t="s">
        <v>30</v>
      </c>
      <c r="H133" s="6">
        <v>503</v>
      </c>
      <c r="I133" s="6" t="s">
        <v>31</v>
      </c>
      <c r="J133" s="6" t="s">
        <v>93</v>
      </c>
      <c r="K133" s="6" t="s">
        <v>25</v>
      </c>
      <c r="L133" s="7" t="s">
        <v>1247</v>
      </c>
      <c r="M133" s="8"/>
      <c r="N133" s="8"/>
      <c r="O133" s="8"/>
      <c r="P133" s="6">
        <v>14</v>
      </c>
      <c r="Q133" s="5">
        <v>46294</v>
      </c>
      <c r="R133" s="5">
        <v>46274</v>
      </c>
      <c r="S133" s="6" t="s">
        <v>26</v>
      </c>
      <c r="T133" s="6" t="s">
        <v>26</v>
      </c>
      <c r="U133" s="5">
        <v>46294</v>
      </c>
      <c r="V133" s="6" t="s">
        <v>1248</v>
      </c>
      <c r="W133" s="9" t="s">
        <v>27</v>
      </c>
      <c r="X133" s="10" t="s">
        <v>25</v>
      </c>
      <c r="Y133" s="885"/>
    </row>
    <row r="134" spans="1:25" ht="50.1" customHeight="1" thickBot="1" x14ac:dyDescent="0.3">
      <c r="A134" s="872" t="s">
        <v>1249</v>
      </c>
      <c r="B134" s="6" t="s">
        <v>1250</v>
      </c>
      <c r="C134" s="5">
        <v>46274</v>
      </c>
      <c r="D134" s="6" t="s">
        <v>19</v>
      </c>
      <c r="E134" s="6" t="s">
        <v>20</v>
      </c>
      <c r="F134" s="7" t="s">
        <v>535</v>
      </c>
      <c r="G134" s="6" t="s">
        <v>22</v>
      </c>
      <c r="H134" s="6">
        <v>304</v>
      </c>
      <c r="I134" s="6" t="s">
        <v>43</v>
      </c>
      <c r="J134" s="6" t="s">
        <v>44</v>
      </c>
      <c r="K134" s="6" t="s">
        <v>25</v>
      </c>
      <c r="L134" s="7" t="s">
        <v>1251</v>
      </c>
      <c r="M134" s="6">
        <v>1096280</v>
      </c>
      <c r="N134" s="8"/>
      <c r="O134" s="8"/>
      <c r="P134" s="6">
        <v>14</v>
      </c>
      <c r="Q134" s="5">
        <v>46294</v>
      </c>
      <c r="R134" s="5">
        <v>46274</v>
      </c>
      <c r="S134" s="6" t="s">
        <v>26</v>
      </c>
      <c r="T134" s="6" t="s">
        <v>26</v>
      </c>
      <c r="U134" s="5">
        <v>46294</v>
      </c>
      <c r="V134" s="6" t="s">
        <v>1252</v>
      </c>
      <c r="W134" s="9" t="s">
        <v>27</v>
      </c>
      <c r="X134" s="10" t="s">
        <v>25</v>
      </c>
      <c r="Y134" s="885"/>
    </row>
    <row r="135" spans="1:25" ht="50.1" customHeight="1" thickBot="1" x14ac:dyDescent="0.3">
      <c r="A135" s="4" t="s">
        <v>1253</v>
      </c>
      <c r="B135" s="6" t="s">
        <v>1254</v>
      </c>
      <c r="C135" s="5">
        <v>46274</v>
      </c>
      <c r="D135" s="6" t="s">
        <v>103</v>
      </c>
      <c r="E135" s="6" t="s">
        <v>39</v>
      </c>
      <c r="F135" s="7" t="s">
        <v>1255</v>
      </c>
      <c r="G135" s="6" t="s">
        <v>30</v>
      </c>
      <c r="H135" s="6">
        <v>503</v>
      </c>
      <c r="I135" s="6" t="s">
        <v>31</v>
      </c>
      <c r="J135" s="6" t="s">
        <v>93</v>
      </c>
      <c r="K135" s="6" t="s">
        <v>25</v>
      </c>
      <c r="L135" s="7" t="s">
        <v>1256</v>
      </c>
      <c r="M135" s="8"/>
      <c r="N135" s="8"/>
      <c r="O135" s="8"/>
      <c r="P135" s="6">
        <v>14</v>
      </c>
      <c r="Q135" s="5">
        <v>46294</v>
      </c>
      <c r="R135" s="5">
        <v>46274</v>
      </c>
      <c r="S135" s="6" t="s">
        <v>26</v>
      </c>
      <c r="T135" s="6" t="s">
        <v>26</v>
      </c>
      <c r="U135" s="5">
        <v>46294</v>
      </c>
      <c r="V135" s="6" t="s">
        <v>1257</v>
      </c>
      <c r="W135" s="9" t="s">
        <v>27</v>
      </c>
      <c r="X135" s="10" t="s">
        <v>25</v>
      </c>
      <c r="Y135" s="885"/>
    </row>
    <row r="136" spans="1:25" ht="50.1" customHeight="1" thickBot="1" x14ac:dyDescent="0.3">
      <c r="A136" s="872" t="s">
        <v>1258</v>
      </c>
      <c r="B136" s="6" t="s">
        <v>1259</v>
      </c>
      <c r="C136" s="5">
        <v>46275</v>
      </c>
      <c r="D136" s="6" t="s">
        <v>19</v>
      </c>
      <c r="E136" s="6" t="s">
        <v>468</v>
      </c>
      <c r="F136" s="7" t="s">
        <v>1260</v>
      </c>
      <c r="G136" s="6" t="s">
        <v>34</v>
      </c>
      <c r="H136" s="6">
        <v>106</v>
      </c>
      <c r="I136" s="6" t="s">
        <v>112</v>
      </c>
      <c r="J136" s="6" t="s">
        <v>53</v>
      </c>
      <c r="K136" s="6" t="s">
        <v>47</v>
      </c>
      <c r="L136" s="7" t="s">
        <v>1261</v>
      </c>
      <c r="M136" s="8"/>
      <c r="N136" s="8"/>
      <c r="O136" s="8"/>
      <c r="P136" s="6">
        <v>14</v>
      </c>
      <c r="Q136" s="5">
        <v>46294</v>
      </c>
      <c r="R136" s="5">
        <v>46274</v>
      </c>
      <c r="S136" s="6" t="s">
        <v>26</v>
      </c>
      <c r="T136" s="6" t="s">
        <v>26</v>
      </c>
      <c r="U136" s="5">
        <v>46294</v>
      </c>
      <c r="V136" s="6" t="s">
        <v>1262</v>
      </c>
      <c r="W136" s="9" t="s">
        <v>27</v>
      </c>
      <c r="X136" s="10" t="s">
        <v>25</v>
      </c>
      <c r="Y136" s="885"/>
    </row>
    <row r="137" spans="1:25" ht="50.1" customHeight="1" thickBot="1" x14ac:dyDescent="0.3">
      <c r="A137" s="872" t="s">
        <v>1263</v>
      </c>
      <c r="B137" s="6" t="s">
        <v>1264</v>
      </c>
      <c r="C137" s="5">
        <v>46275</v>
      </c>
      <c r="D137" s="6" t="s">
        <v>19</v>
      </c>
      <c r="E137" s="6" t="s">
        <v>39</v>
      </c>
      <c r="F137" s="7" t="s">
        <v>40</v>
      </c>
      <c r="G137" s="6" t="s">
        <v>34</v>
      </c>
      <c r="H137" s="6">
        <v>114</v>
      </c>
      <c r="I137" s="6" t="s">
        <v>41</v>
      </c>
      <c r="J137" s="6" t="s">
        <v>42</v>
      </c>
      <c r="K137" s="8"/>
      <c r="L137" s="7" t="s">
        <v>1265</v>
      </c>
      <c r="M137" s="8"/>
      <c r="N137" s="8"/>
      <c r="O137" s="8"/>
      <c r="P137" s="6">
        <v>14</v>
      </c>
      <c r="Q137" s="5">
        <v>46295</v>
      </c>
      <c r="R137" s="8"/>
      <c r="S137" s="8"/>
      <c r="T137" s="8"/>
      <c r="U137" s="8"/>
      <c r="V137" s="8"/>
      <c r="W137" s="562" t="s">
        <v>461</v>
      </c>
      <c r="X137" s="6"/>
      <c r="Y137" s="885"/>
    </row>
    <row r="138" spans="1:25" ht="50.1" customHeight="1" thickBot="1" x14ac:dyDescent="0.3">
      <c r="A138" s="872" t="s">
        <v>1266</v>
      </c>
      <c r="B138" s="6" t="s">
        <v>1267</v>
      </c>
      <c r="C138" s="5">
        <v>46275</v>
      </c>
      <c r="D138" s="6" t="s">
        <v>28</v>
      </c>
      <c r="E138" s="6" t="s">
        <v>20</v>
      </c>
      <c r="F138" s="7" t="s">
        <v>1268</v>
      </c>
      <c r="G138" s="6" t="s">
        <v>30</v>
      </c>
      <c r="H138" s="6">
        <v>503</v>
      </c>
      <c r="I138" s="6" t="s">
        <v>31</v>
      </c>
      <c r="J138" s="6" t="s">
        <v>463</v>
      </c>
      <c r="K138" s="8"/>
      <c r="L138" s="147" t="s">
        <v>490</v>
      </c>
      <c r="M138" s="8"/>
      <c r="N138" s="8"/>
      <c r="O138" s="6" t="s">
        <v>621</v>
      </c>
      <c r="P138" s="6">
        <v>14</v>
      </c>
      <c r="Q138" s="5">
        <v>46295</v>
      </c>
      <c r="R138" s="8"/>
      <c r="S138" s="8"/>
      <c r="T138" s="8"/>
      <c r="U138" s="8"/>
      <c r="V138" s="8"/>
      <c r="W138" s="562" t="s">
        <v>461</v>
      </c>
      <c r="X138" s="6"/>
      <c r="Y138" s="885"/>
    </row>
    <row r="139" spans="1:25" ht="50.1" customHeight="1" thickBot="1" x14ac:dyDescent="0.3">
      <c r="A139" s="872" t="s">
        <v>1269</v>
      </c>
      <c r="B139" s="6" t="s">
        <v>1270</v>
      </c>
      <c r="C139" s="5">
        <v>46275</v>
      </c>
      <c r="D139" s="6" t="s">
        <v>19</v>
      </c>
      <c r="E139" s="6" t="s">
        <v>29</v>
      </c>
      <c r="F139" s="7" t="s">
        <v>92</v>
      </c>
      <c r="G139" s="6" t="s">
        <v>34</v>
      </c>
      <c r="H139" s="6">
        <v>106</v>
      </c>
      <c r="I139" s="6" t="s">
        <v>112</v>
      </c>
      <c r="J139" s="6" t="s">
        <v>53</v>
      </c>
      <c r="K139" s="8"/>
      <c r="L139" s="7" t="s">
        <v>1271</v>
      </c>
      <c r="M139" s="6">
        <v>1224780</v>
      </c>
      <c r="N139" s="8"/>
      <c r="O139" s="8"/>
      <c r="P139" s="6">
        <v>14</v>
      </c>
      <c r="Q139" s="5">
        <v>46295</v>
      </c>
      <c r="R139" s="8"/>
      <c r="S139" s="8"/>
      <c r="T139" s="8"/>
      <c r="U139" s="8"/>
      <c r="V139" s="8"/>
      <c r="W139" s="562" t="s">
        <v>461</v>
      </c>
      <c r="X139" s="6"/>
      <c r="Y139" s="885"/>
    </row>
    <row r="140" spans="1:25" ht="50.1" customHeight="1" thickBot="1" x14ac:dyDescent="0.3">
      <c r="A140" s="872" t="s">
        <v>1272</v>
      </c>
      <c r="B140" s="6" t="s">
        <v>1273</v>
      </c>
      <c r="C140" s="5">
        <v>46275</v>
      </c>
      <c r="D140" s="6" t="s">
        <v>33</v>
      </c>
      <c r="E140" s="6" t="s">
        <v>61</v>
      </c>
      <c r="F140" s="7" t="s">
        <v>1274</v>
      </c>
      <c r="G140" s="6" t="s">
        <v>22</v>
      </c>
      <c r="H140" s="6">
        <v>316</v>
      </c>
      <c r="I140" s="6" t="s">
        <v>23</v>
      </c>
      <c r="J140" s="6" t="s">
        <v>175</v>
      </c>
      <c r="K140" s="6" t="s">
        <v>25</v>
      </c>
      <c r="L140" s="7" t="s">
        <v>1275</v>
      </c>
      <c r="M140" s="8"/>
      <c r="N140" s="8"/>
      <c r="O140" s="8"/>
      <c r="P140" s="6">
        <v>14</v>
      </c>
      <c r="Q140" s="5">
        <v>46295</v>
      </c>
      <c r="R140" s="5">
        <v>46275</v>
      </c>
      <c r="S140" s="6" t="s">
        <v>26</v>
      </c>
      <c r="T140" s="6" t="s">
        <v>26</v>
      </c>
      <c r="U140" s="5">
        <v>46294</v>
      </c>
      <c r="V140" s="6" t="s">
        <v>1276</v>
      </c>
      <c r="W140" s="9" t="s">
        <v>27</v>
      </c>
      <c r="X140" s="10" t="s">
        <v>25</v>
      </c>
      <c r="Y140" s="885"/>
    </row>
    <row r="141" spans="1:25" ht="50.1" customHeight="1" thickBot="1" x14ac:dyDescent="0.3">
      <c r="A141" s="872" t="s">
        <v>1277</v>
      </c>
      <c r="B141" s="6" t="s">
        <v>1278</v>
      </c>
      <c r="C141" s="5">
        <v>46275</v>
      </c>
      <c r="D141" s="6" t="s">
        <v>19</v>
      </c>
      <c r="E141" s="6" t="s">
        <v>39</v>
      </c>
      <c r="F141" s="7" t="s">
        <v>553</v>
      </c>
      <c r="G141" s="6" t="s">
        <v>34</v>
      </c>
      <c r="H141" s="6">
        <v>114</v>
      </c>
      <c r="I141" s="6" t="s">
        <v>41</v>
      </c>
      <c r="J141" s="6" t="s">
        <v>42</v>
      </c>
      <c r="K141" s="8"/>
      <c r="L141" s="7" t="s">
        <v>1279</v>
      </c>
      <c r="M141" s="8"/>
      <c r="N141" s="8"/>
      <c r="O141" s="8"/>
      <c r="P141" s="6">
        <v>14</v>
      </c>
      <c r="Q141" s="5">
        <v>46295</v>
      </c>
      <c r="R141" s="8"/>
      <c r="S141" s="8"/>
      <c r="T141" s="8"/>
      <c r="U141" s="8"/>
      <c r="V141" s="8"/>
      <c r="W141" s="562" t="s">
        <v>461</v>
      </c>
      <c r="X141" s="6"/>
      <c r="Y141" s="885"/>
    </row>
    <row r="142" spans="1:25" ht="50.1" customHeight="1" thickBot="1" x14ac:dyDescent="0.3">
      <c r="A142" s="872" t="s">
        <v>1280</v>
      </c>
      <c r="B142" s="6" t="s">
        <v>1281</v>
      </c>
      <c r="C142" s="5">
        <v>46275</v>
      </c>
      <c r="D142" s="6" t="s">
        <v>33</v>
      </c>
      <c r="E142" s="6" t="s">
        <v>20</v>
      </c>
      <c r="F142" s="7" t="s">
        <v>1282</v>
      </c>
      <c r="G142" s="6" t="s">
        <v>34</v>
      </c>
      <c r="H142" s="6">
        <v>127</v>
      </c>
      <c r="I142" s="6" t="s">
        <v>88</v>
      </c>
      <c r="J142" s="6" t="s">
        <v>71</v>
      </c>
      <c r="K142" s="8"/>
      <c r="L142" s="7" t="s">
        <v>1283</v>
      </c>
      <c r="M142" s="8"/>
      <c r="N142" s="8"/>
      <c r="O142" s="8"/>
      <c r="P142" s="6">
        <v>14</v>
      </c>
      <c r="Q142" s="5">
        <v>46295</v>
      </c>
      <c r="R142" s="8"/>
      <c r="S142" s="8"/>
      <c r="T142" s="8"/>
      <c r="U142" s="8"/>
      <c r="V142" s="8"/>
      <c r="W142" s="562" t="s">
        <v>461</v>
      </c>
      <c r="X142" s="6"/>
      <c r="Y142" s="885"/>
    </row>
    <row r="143" spans="1:25" ht="50.1" customHeight="1" thickBot="1" x14ac:dyDescent="0.3">
      <c r="A143" s="872" t="s">
        <v>1284</v>
      </c>
      <c r="B143" s="6" t="s">
        <v>1285</v>
      </c>
      <c r="C143" s="5">
        <v>46275</v>
      </c>
      <c r="D143" s="6" t="s">
        <v>19</v>
      </c>
      <c r="E143" s="6" t="s">
        <v>20</v>
      </c>
      <c r="F143" s="7" t="s">
        <v>1286</v>
      </c>
      <c r="G143" s="6" t="s">
        <v>22</v>
      </c>
      <c r="H143" s="6">
        <v>316</v>
      </c>
      <c r="I143" s="6" t="s">
        <v>23</v>
      </c>
      <c r="J143" s="6" t="s">
        <v>288</v>
      </c>
      <c r="K143" s="6" t="s">
        <v>25</v>
      </c>
      <c r="L143" s="7" t="s">
        <v>1287</v>
      </c>
      <c r="M143" s="6">
        <v>1252794</v>
      </c>
      <c r="N143" s="8"/>
      <c r="O143" s="8"/>
      <c r="P143" s="6">
        <v>14</v>
      </c>
      <c r="Q143" s="5">
        <v>46295</v>
      </c>
      <c r="R143" s="5">
        <v>46275</v>
      </c>
      <c r="S143" s="6" t="s">
        <v>26</v>
      </c>
      <c r="T143" s="6" t="s">
        <v>26</v>
      </c>
      <c r="U143" s="5">
        <v>46294</v>
      </c>
      <c r="V143" s="6" t="s">
        <v>1288</v>
      </c>
      <c r="W143" s="9" t="s">
        <v>27</v>
      </c>
      <c r="X143" s="10" t="s">
        <v>25</v>
      </c>
      <c r="Y143" s="885"/>
    </row>
    <row r="144" spans="1:25" ht="50.1" customHeight="1" thickBot="1" x14ac:dyDescent="0.3">
      <c r="A144" s="4" t="s">
        <v>1289</v>
      </c>
      <c r="B144" s="6" t="s">
        <v>1290</v>
      </c>
      <c r="C144" s="5">
        <v>46275</v>
      </c>
      <c r="D144" s="6" t="s">
        <v>28</v>
      </c>
      <c r="E144" s="6" t="s">
        <v>84</v>
      </c>
      <c r="F144" s="7" t="s">
        <v>1291</v>
      </c>
      <c r="G144" s="6" t="s">
        <v>30</v>
      </c>
      <c r="H144" s="6">
        <v>503</v>
      </c>
      <c r="I144" s="6" t="s">
        <v>31</v>
      </c>
      <c r="J144" s="6" t="s">
        <v>59</v>
      </c>
      <c r="K144" s="6" t="s">
        <v>25</v>
      </c>
      <c r="L144" s="7" t="s">
        <v>1292</v>
      </c>
      <c r="M144" s="8"/>
      <c r="N144" s="8"/>
      <c r="O144" s="8"/>
      <c r="P144" s="6">
        <v>14</v>
      </c>
      <c r="Q144" s="5">
        <v>46295</v>
      </c>
      <c r="R144" s="5">
        <v>46275</v>
      </c>
      <c r="S144" s="6" t="s">
        <v>26</v>
      </c>
      <c r="T144" s="6" t="s">
        <v>26</v>
      </c>
      <c r="U144" s="5">
        <v>46294</v>
      </c>
      <c r="V144" s="6" t="s">
        <v>1293</v>
      </c>
      <c r="W144" s="9" t="s">
        <v>27</v>
      </c>
      <c r="X144" s="10" t="s">
        <v>25</v>
      </c>
      <c r="Y144" s="885"/>
    </row>
    <row r="145" spans="1:25" ht="50.1" customHeight="1" thickBot="1" x14ac:dyDescent="0.3">
      <c r="A145" s="872" t="s">
        <v>1294</v>
      </c>
      <c r="B145" s="6" t="s">
        <v>1295</v>
      </c>
      <c r="C145" s="5">
        <v>46275</v>
      </c>
      <c r="D145" s="6" t="s">
        <v>33</v>
      </c>
      <c r="E145" s="6" t="s">
        <v>61</v>
      </c>
      <c r="F145" s="7" t="s">
        <v>1296</v>
      </c>
      <c r="G145" s="6" t="s">
        <v>22</v>
      </c>
      <c r="H145" s="6">
        <v>316</v>
      </c>
      <c r="I145" s="6" t="s">
        <v>23</v>
      </c>
      <c r="J145" s="6" t="s">
        <v>173</v>
      </c>
      <c r="K145" s="8"/>
      <c r="L145" s="7" t="s">
        <v>1297</v>
      </c>
      <c r="M145" s="8"/>
      <c r="N145" s="8"/>
      <c r="O145" s="8"/>
      <c r="P145" s="6">
        <v>14</v>
      </c>
      <c r="Q145" s="5">
        <v>46295</v>
      </c>
      <c r="R145" s="5">
        <v>46275</v>
      </c>
      <c r="S145" s="6" t="s">
        <v>26</v>
      </c>
      <c r="T145" s="6" t="s">
        <v>26</v>
      </c>
      <c r="U145" s="5">
        <v>46294</v>
      </c>
      <c r="V145" s="6" t="s">
        <v>1298</v>
      </c>
      <c r="W145" s="9" t="s">
        <v>27</v>
      </c>
      <c r="X145" s="10" t="s">
        <v>25</v>
      </c>
      <c r="Y145" s="885"/>
    </row>
    <row r="146" spans="1:25" ht="50.1" customHeight="1" thickBot="1" x14ac:dyDescent="0.3">
      <c r="A146" s="872" t="s">
        <v>1299</v>
      </c>
      <c r="B146" s="6" t="s">
        <v>1300</v>
      </c>
      <c r="C146" s="5">
        <v>46275</v>
      </c>
      <c r="D146" s="6" t="s">
        <v>19</v>
      </c>
      <c r="E146" s="6" t="s">
        <v>20</v>
      </c>
      <c r="F146" s="7" t="s">
        <v>380</v>
      </c>
      <c r="G146" s="6" t="s">
        <v>22</v>
      </c>
      <c r="H146" s="6">
        <v>316</v>
      </c>
      <c r="I146" s="6" t="s">
        <v>23</v>
      </c>
      <c r="J146" s="6" t="s">
        <v>24</v>
      </c>
      <c r="K146" s="8"/>
      <c r="L146" s="7" t="s">
        <v>1301</v>
      </c>
      <c r="M146" s="6">
        <v>1242322</v>
      </c>
      <c r="N146" s="8"/>
      <c r="O146" s="8"/>
      <c r="P146" s="6">
        <v>14</v>
      </c>
      <c r="Q146" s="5">
        <v>46295</v>
      </c>
      <c r="R146" s="8"/>
      <c r="S146" s="8"/>
      <c r="T146" s="8"/>
      <c r="U146" s="8"/>
      <c r="V146" s="8"/>
      <c r="W146" s="562" t="s">
        <v>461</v>
      </c>
      <c r="X146" s="6"/>
      <c r="Y146" s="885"/>
    </row>
    <row r="147" spans="1:25" ht="50.1" customHeight="1" thickBot="1" x14ac:dyDescent="0.3">
      <c r="A147" s="4" t="s">
        <v>1302</v>
      </c>
      <c r="B147" s="6" t="s">
        <v>1303</v>
      </c>
      <c r="C147" s="5">
        <v>46275</v>
      </c>
      <c r="D147" s="6" t="s">
        <v>33</v>
      </c>
      <c r="E147" s="6" t="s">
        <v>460</v>
      </c>
      <c r="F147" s="7" t="s">
        <v>1304</v>
      </c>
      <c r="G147" s="6" t="s">
        <v>30</v>
      </c>
      <c r="H147" s="6">
        <v>503</v>
      </c>
      <c r="I147" s="6" t="s">
        <v>31</v>
      </c>
      <c r="J147" s="6" t="s">
        <v>59</v>
      </c>
      <c r="K147" s="8"/>
      <c r="L147" s="7" t="s">
        <v>1305</v>
      </c>
      <c r="M147" s="8"/>
      <c r="N147" s="8"/>
      <c r="O147" s="8"/>
      <c r="P147" s="6">
        <v>14</v>
      </c>
      <c r="Q147" s="5">
        <v>46295</v>
      </c>
      <c r="R147" s="5">
        <v>46275</v>
      </c>
      <c r="S147" s="6" t="s">
        <v>26</v>
      </c>
      <c r="T147" s="6" t="s">
        <v>26</v>
      </c>
      <c r="U147" s="5">
        <v>46283</v>
      </c>
      <c r="V147" s="6" t="s">
        <v>1306</v>
      </c>
      <c r="W147" s="9" t="s">
        <v>27</v>
      </c>
      <c r="X147" s="10" t="s">
        <v>25</v>
      </c>
      <c r="Y147" s="885"/>
    </row>
    <row r="148" spans="1:25" ht="50.1" customHeight="1" thickBot="1" x14ac:dyDescent="0.3">
      <c r="A148" s="872" t="s">
        <v>1307</v>
      </c>
      <c r="B148" s="6" t="s">
        <v>1308</v>
      </c>
      <c r="C148" s="5">
        <v>46275</v>
      </c>
      <c r="D148" s="6" t="s">
        <v>19</v>
      </c>
      <c r="E148" s="6" t="s">
        <v>20</v>
      </c>
      <c r="F148" s="7" t="s">
        <v>48</v>
      </c>
      <c r="G148" s="6" t="s">
        <v>22</v>
      </c>
      <c r="H148" s="6">
        <v>316</v>
      </c>
      <c r="I148" s="6" t="s">
        <v>23</v>
      </c>
      <c r="J148" s="6" t="s">
        <v>46</v>
      </c>
      <c r="K148" s="8"/>
      <c r="L148" s="7" t="s">
        <v>1309</v>
      </c>
      <c r="M148" s="6">
        <v>1218000</v>
      </c>
      <c r="N148" s="8"/>
      <c r="O148" s="8"/>
      <c r="P148" s="6">
        <v>14</v>
      </c>
      <c r="Q148" s="5">
        <v>46295</v>
      </c>
      <c r="R148" s="5">
        <v>46275</v>
      </c>
      <c r="S148" s="6" t="s">
        <v>26</v>
      </c>
      <c r="T148" s="6" t="s">
        <v>26</v>
      </c>
      <c r="U148" s="5">
        <v>46295</v>
      </c>
      <c r="V148" s="6" t="s">
        <v>1310</v>
      </c>
      <c r="W148" s="9" t="s">
        <v>27</v>
      </c>
      <c r="X148" s="10" t="s">
        <v>25</v>
      </c>
      <c r="Y148" s="885"/>
    </row>
    <row r="149" spans="1:25" ht="50.1" customHeight="1" thickBot="1" x14ac:dyDescent="0.3">
      <c r="A149" s="872" t="s">
        <v>1311</v>
      </c>
      <c r="B149" s="562" t="s">
        <v>1312</v>
      </c>
      <c r="C149" s="5">
        <v>46275</v>
      </c>
      <c r="D149" s="6" t="s">
        <v>33</v>
      </c>
      <c r="E149" s="6" t="s">
        <v>19</v>
      </c>
      <c r="F149" s="7" t="s">
        <v>1313</v>
      </c>
      <c r="G149" s="6" t="s">
        <v>30</v>
      </c>
      <c r="H149" s="6">
        <v>502</v>
      </c>
      <c r="I149" s="6" t="s">
        <v>37</v>
      </c>
      <c r="J149" s="6" t="s">
        <v>38</v>
      </c>
      <c r="K149" s="8"/>
      <c r="L149" s="7" t="s">
        <v>1314</v>
      </c>
      <c r="M149" s="8"/>
      <c r="N149" s="8"/>
      <c r="O149" s="8"/>
      <c r="P149" s="6">
        <v>14</v>
      </c>
      <c r="Q149" s="5">
        <v>46295</v>
      </c>
      <c r="R149" s="5">
        <v>46275</v>
      </c>
      <c r="S149" s="6" t="s">
        <v>26</v>
      </c>
      <c r="T149" s="6" t="s">
        <v>26</v>
      </c>
      <c r="U149" s="5">
        <v>46282</v>
      </c>
      <c r="V149" s="6" t="s">
        <v>1315</v>
      </c>
      <c r="W149" s="9" t="s">
        <v>27</v>
      </c>
      <c r="X149" s="10" t="s">
        <v>25</v>
      </c>
      <c r="Y149" s="885"/>
    </row>
    <row r="150" spans="1:25" ht="50.1" customHeight="1" thickBot="1" x14ac:dyDescent="0.3">
      <c r="A150" s="872" t="s">
        <v>1316</v>
      </c>
      <c r="B150" s="6" t="s">
        <v>1317</v>
      </c>
      <c r="C150" s="5">
        <v>46275</v>
      </c>
      <c r="D150" s="6" t="s">
        <v>19</v>
      </c>
      <c r="E150" s="6" t="s">
        <v>460</v>
      </c>
      <c r="F150" s="7" t="s">
        <v>1318</v>
      </c>
      <c r="G150" s="6" t="s">
        <v>22</v>
      </c>
      <c r="H150" s="6">
        <v>316</v>
      </c>
      <c r="I150" s="6" t="s">
        <v>23</v>
      </c>
      <c r="J150" s="6" t="s">
        <v>46</v>
      </c>
      <c r="K150" s="6" t="s">
        <v>25</v>
      </c>
      <c r="L150" s="7" t="s">
        <v>613</v>
      </c>
      <c r="M150" s="8"/>
      <c r="N150" s="8"/>
      <c r="O150" s="8"/>
      <c r="P150" s="6">
        <v>14</v>
      </c>
      <c r="Q150" s="5">
        <v>46295</v>
      </c>
      <c r="R150" s="5">
        <v>46275</v>
      </c>
      <c r="S150" s="6" t="s">
        <v>26</v>
      </c>
      <c r="T150" s="6" t="s">
        <v>26</v>
      </c>
      <c r="U150" s="5">
        <v>46282</v>
      </c>
      <c r="V150" s="6" t="s">
        <v>1319</v>
      </c>
      <c r="W150" s="9" t="s">
        <v>27</v>
      </c>
      <c r="X150" s="10" t="s">
        <v>25</v>
      </c>
      <c r="Y150" s="885"/>
    </row>
    <row r="151" spans="1:25" ht="50.1" customHeight="1" thickBot="1" x14ac:dyDescent="0.3">
      <c r="A151" s="872" t="s">
        <v>1320</v>
      </c>
      <c r="B151" s="6" t="s">
        <v>1321</v>
      </c>
      <c r="C151" s="5">
        <v>46275</v>
      </c>
      <c r="D151" s="6" t="s">
        <v>33</v>
      </c>
      <c r="E151" s="6" t="s">
        <v>39</v>
      </c>
      <c r="F151" s="7" t="s">
        <v>1322</v>
      </c>
      <c r="G151" s="6" t="s">
        <v>22</v>
      </c>
      <c r="H151" s="6">
        <v>311</v>
      </c>
      <c r="I151" s="6" t="s">
        <v>64</v>
      </c>
      <c r="J151" s="6" t="s">
        <v>72</v>
      </c>
      <c r="K151" s="6" t="s">
        <v>25</v>
      </c>
      <c r="L151" s="7" t="s">
        <v>1323</v>
      </c>
      <c r="M151" s="8"/>
      <c r="N151" s="8"/>
      <c r="O151" s="8"/>
      <c r="P151" s="6">
        <v>14</v>
      </c>
      <c r="Q151" s="5">
        <v>46295</v>
      </c>
      <c r="R151" s="5">
        <v>46275</v>
      </c>
      <c r="S151" s="6" t="s">
        <v>26</v>
      </c>
      <c r="T151" s="6" t="s">
        <v>26</v>
      </c>
      <c r="U151" s="5">
        <v>46295</v>
      </c>
      <c r="V151" s="6" t="s">
        <v>1324</v>
      </c>
      <c r="W151" s="9" t="s">
        <v>27</v>
      </c>
      <c r="X151" s="10" t="s">
        <v>25</v>
      </c>
      <c r="Y151" s="885"/>
    </row>
    <row r="152" spans="1:25" ht="50.1" customHeight="1" thickBot="1" x14ac:dyDescent="0.3">
      <c r="A152" s="4" t="s">
        <v>1325</v>
      </c>
      <c r="B152" s="6" t="s">
        <v>1326</v>
      </c>
      <c r="C152" s="5">
        <v>46275</v>
      </c>
      <c r="D152" s="6" t="s">
        <v>28</v>
      </c>
      <c r="E152" s="6" t="s">
        <v>67</v>
      </c>
      <c r="F152" s="7" t="s">
        <v>1327</v>
      </c>
      <c r="G152" s="6" t="s">
        <v>30</v>
      </c>
      <c r="H152" s="6">
        <v>503</v>
      </c>
      <c r="I152" s="6" t="s">
        <v>31</v>
      </c>
      <c r="J152" s="6" t="s">
        <v>1328</v>
      </c>
      <c r="K152" s="6" t="s">
        <v>25</v>
      </c>
      <c r="L152" s="7" t="s">
        <v>1329</v>
      </c>
      <c r="M152" s="8"/>
      <c r="N152" s="8"/>
      <c r="O152" s="6" t="s">
        <v>1330</v>
      </c>
      <c r="P152" s="6">
        <v>14</v>
      </c>
      <c r="Q152" s="5">
        <v>46295</v>
      </c>
      <c r="R152" s="5">
        <v>46275</v>
      </c>
      <c r="S152" s="6" t="s">
        <v>26</v>
      </c>
      <c r="T152" s="6" t="s">
        <v>26</v>
      </c>
      <c r="U152" s="5">
        <v>46295</v>
      </c>
      <c r="V152" s="6" t="s">
        <v>1331</v>
      </c>
      <c r="W152" s="9" t="s">
        <v>27</v>
      </c>
      <c r="X152" s="10" t="s">
        <v>25</v>
      </c>
      <c r="Y152" s="885"/>
    </row>
    <row r="153" spans="1:25" ht="50.1" customHeight="1" thickBot="1" x14ac:dyDescent="0.3">
      <c r="A153" s="872" t="s">
        <v>1332</v>
      </c>
      <c r="B153" s="6" t="s">
        <v>1333</v>
      </c>
      <c r="C153" s="5">
        <v>46275</v>
      </c>
      <c r="D153" s="6" t="s">
        <v>33</v>
      </c>
      <c r="E153" s="6" t="s">
        <v>29</v>
      </c>
      <c r="F153" s="7" t="s">
        <v>1334</v>
      </c>
      <c r="G153" s="6" t="s">
        <v>30</v>
      </c>
      <c r="H153" s="6">
        <v>503</v>
      </c>
      <c r="I153" s="6" t="s">
        <v>31</v>
      </c>
      <c r="J153" s="6" t="s">
        <v>68</v>
      </c>
      <c r="K153" s="8"/>
      <c r="L153" s="7" t="s">
        <v>474</v>
      </c>
      <c r="M153" s="8"/>
      <c r="N153" s="8"/>
      <c r="O153" s="8"/>
      <c r="P153" s="6">
        <v>14</v>
      </c>
      <c r="Q153" s="5">
        <v>46295</v>
      </c>
      <c r="R153" s="8"/>
      <c r="S153" s="8"/>
      <c r="T153" s="8"/>
      <c r="U153" s="8"/>
      <c r="V153" s="8"/>
      <c r="W153" s="562" t="s">
        <v>461</v>
      </c>
      <c r="X153" s="6"/>
      <c r="Y153" s="885"/>
    </row>
    <row r="154" spans="1:25" ht="50.1" customHeight="1" thickBot="1" x14ac:dyDescent="0.3">
      <c r="A154" s="4" t="s">
        <v>1325</v>
      </c>
      <c r="B154" s="6" t="s">
        <v>1335</v>
      </c>
      <c r="C154" s="5">
        <v>46275</v>
      </c>
      <c r="D154" s="6" t="s">
        <v>19</v>
      </c>
      <c r="E154" s="6" t="s">
        <v>61</v>
      </c>
      <c r="F154" s="7" t="s">
        <v>1336</v>
      </c>
      <c r="G154" s="6" t="s">
        <v>22</v>
      </c>
      <c r="H154" s="6">
        <v>316</v>
      </c>
      <c r="I154" s="6" t="s">
        <v>23</v>
      </c>
      <c r="J154" s="6" t="s">
        <v>175</v>
      </c>
      <c r="K154" s="8"/>
      <c r="L154" s="7" t="s">
        <v>1337</v>
      </c>
      <c r="M154" s="8"/>
      <c r="N154" s="8"/>
      <c r="O154" s="8"/>
      <c r="P154" s="6">
        <v>14</v>
      </c>
      <c r="Q154" s="5">
        <v>46295</v>
      </c>
      <c r="R154" s="5">
        <v>46275</v>
      </c>
      <c r="S154" s="6" t="s">
        <v>26</v>
      </c>
      <c r="T154" s="6" t="s">
        <v>26</v>
      </c>
      <c r="U154" s="5">
        <v>46295</v>
      </c>
      <c r="V154" s="6" t="s">
        <v>1338</v>
      </c>
      <c r="W154" s="9" t="s">
        <v>27</v>
      </c>
      <c r="X154" s="10" t="s">
        <v>25</v>
      </c>
      <c r="Y154" s="885"/>
    </row>
    <row r="155" spans="1:25" ht="50.1" customHeight="1" thickBot="1" x14ac:dyDescent="0.3">
      <c r="A155" s="872" t="s">
        <v>1339</v>
      </c>
      <c r="B155" s="6" t="s">
        <v>1340</v>
      </c>
      <c r="C155" s="5">
        <v>46275</v>
      </c>
      <c r="D155" s="6" t="s">
        <v>33</v>
      </c>
      <c r="E155" s="6" t="s">
        <v>63</v>
      </c>
      <c r="F155" s="7" t="s">
        <v>1341</v>
      </c>
      <c r="G155" s="6" t="s">
        <v>30</v>
      </c>
      <c r="H155" s="6">
        <v>502</v>
      </c>
      <c r="I155" s="6" t="s">
        <v>37</v>
      </c>
      <c r="J155" s="6" t="s">
        <v>38</v>
      </c>
      <c r="K155" s="6" t="s">
        <v>25</v>
      </c>
      <c r="L155" s="7" t="s">
        <v>592</v>
      </c>
      <c r="M155" s="8"/>
      <c r="N155" s="8"/>
      <c r="O155" s="6" t="s">
        <v>1342</v>
      </c>
      <c r="P155" s="6">
        <v>14</v>
      </c>
      <c r="Q155" s="5">
        <v>46295</v>
      </c>
      <c r="R155" s="5">
        <v>46275</v>
      </c>
      <c r="S155" s="6" t="s">
        <v>26</v>
      </c>
      <c r="T155" s="6" t="s">
        <v>26</v>
      </c>
      <c r="U155" s="5">
        <v>46295</v>
      </c>
      <c r="V155" s="6" t="s">
        <v>1343</v>
      </c>
      <c r="W155" s="9" t="s">
        <v>27</v>
      </c>
      <c r="X155" s="10" t="s">
        <v>25</v>
      </c>
      <c r="Y155" s="885"/>
    </row>
    <row r="156" spans="1:25" ht="50.1" customHeight="1" thickBot="1" x14ac:dyDescent="0.3">
      <c r="A156" s="4" t="s">
        <v>1344</v>
      </c>
      <c r="B156" s="6" t="s">
        <v>1345</v>
      </c>
      <c r="C156" s="5">
        <v>46275</v>
      </c>
      <c r="D156" s="6" t="s">
        <v>28</v>
      </c>
      <c r="E156" s="6" t="s">
        <v>39</v>
      </c>
      <c r="F156" s="7" t="s">
        <v>1346</v>
      </c>
      <c r="G156" s="6" t="s">
        <v>30</v>
      </c>
      <c r="H156" s="6">
        <v>503</v>
      </c>
      <c r="I156" s="6" t="s">
        <v>31</v>
      </c>
      <c r="J156" s="6" t="s">
        <v>60</v>
      </c>
      <c r="K156" s="8"/>
      <c r="L156" s="7" t="s">
        <v>627</v>
      </c>
      <c r="M156" s="8"/>
      <c r="N156" s="8"/>
      <c r="O156" s="6" t="s">
        <v>776</v>
      </c>
      <c r="P156" s="6">
        <v>14</v>
      </c>
      <c r="Q156" s="5">
        <v>46295</v>
      </c>
      <c r="R156" s="8"/>
      <c r="S156" s="8"/>
      <c r="T156" s="8"/>
      <c r="U156" s="8"/>
      <c r="V156" s="8"/>
      <c r="W156" s="562" t="s">
        <v>461</v>
      </c>
      <c r="X156" s="6"/>
      <c r="Y156" s="885"/>
    </row>
    <row r="157" spans="1:25" ht="50.1" customHeight="1" thickBot="1" x14ac:dyDescent="0.3">
      <c r="A157" s="872" t="s">
        <v>1347</v>
      </c>
      <c r="B157" s="6" t="s">
        <v>1348</v>
      </c>
      <c r="C157" s="5">
        <v>46276</v>
      </c>
      <c r="D157" s="6" t="s">
        <v>19</v>
      </c>
      <c r="E157" s="6" t="s">
        <v>29</v>
      </c>
      <c r="F157" s="7" t="s">
        <v>1349</v>
      </c>
      <c r="G157" s="6" t="s">
        <v>34</v>
      </c>
      <c r="H157" s="6">
        <v>122</v>
      </c>
      <c r="I157" s="6" t="s">
        <v>50</v>
      </c>
      <c r="J157" s="6" t="s">
        <v>285</v>
      </c>
      <c r="K157" s="8"/>
      <c r="L157" s="7" t="s">
        <v>1350</v>
      </c>
      <c r="M157" s="8"/>
      <c r="N157" s="8"/>
      <c r="O157" s="8"/>
      <c r="P157" s="6">
        <v>14</v>
      </c>
      <c r="Q157" s="5">
        <v>46295</v>
      </c>
      <c r="R157" s="8"/>
      <c r="S157" s="8"/>
      <c r="T157" s="8"/>
      <c r="U157" s="8"/>
      <c r="V157" s="8"/>
      <c r="W157" s="562" t="s">
        <v>461</v>
      </c>
      <c r="X157" s="6"/>
      <c r="Y157" s="885"/>
    </row>
    <row r="158" spans="1:25" ht="50.1" customHeight="1" thickBot="1" x14ac:dyDescent="0.3">
      <c r="A158" s="872" t="s">
        <v>1351</v>
      </c>
      <c r="B158" s="6" t="s">
        <v>1352</v>
      </c>
      <c r="C158" s="5">
        <v>46276</v>
      </c>
      <c r="D158" s="6" t="s">
        <v>19</v>
      </c>
      <c r="E158" s="6" t="s">
        <v>460</v>
      </c>
      <c r="F158" s="7" t="s">
        <v>1353</v>
      </c>
      <c r="G158" s="6" t="s">
        <v>22</v>
      </c>
      <c r="H158" s="6">
        <v>316</v>
      </c>
      <c r="I158" s="6" t="s">
        <v>23</v>
      </c>
      <c r="J158" s="6" t="s">
        <v>167</v>
      </c>
      <c r="K158" s="8"/>
      <c r="L158" s="7" t="s">
        <v>624</v>
      </c>
      <c r="M158" s="8"/>
      <c r="N158" s="8"/>
      <c r="O158" s="8"/>
      <c r="P158" s="6">
        <v>14</v>
      </c>
      <c r="Q158" s="5">
        <v>46296</v>
      </c>
      <c r="R158" s="8"/>
      <c r="S158" s="8"/>
      <c r="T158" s="8"/>
      <c r="U158" s="8"/>
      <c r="V158" s="8"/>
      <c r="W158" s="562" t="s">
        <v>461</v>
      </c>
      <c r="X158" s="6"/>
      <c r="Y158" s="885"/>
    </row>
    <row r="159" spans="1:25" ht="50.1" customHeight="1" thickBot="1" x14ac:dyDescent="0.3">
      <c r="A159" s="872" t="s">
        <v>1354</v>
      </c>
      <c r="B159" s="6" t="s">
        <v>1355</v>
      </c>
      <c r="C159" s="5">
        <v>46276</v>
      </c>
      <c r="D159" s="6" t="s">
        <v>33</v>
      </c>
      <c r="E159" s="6" t="s">
        <v>39</v>
      </c>
      <c r="F159" s="7" t="s">
        <v>1356</v>
      </c>
      <c r="G159" s="6" t="s">
        <v>34</v>
      </c>
      <c r="H159" s="6">
        <v>102</v>
      </c>
      <c r="I159" s="6" t="s">
        <v>70</v>
      </c>
      <c r="J159" s="6" t="s">
        <v>1357</v>
      </c>
      <c r="K159" s="8"/>
      <c r="L159" s="7" t="s">
        <v>1358</v>
      </c>
      <c r="M159" s="8"/>
      <c r="N159" s="8"/>
      <c r="O159" s="8"/>
      <c r="P159" s="6">
        <v>14</v>
      </c>
      <c r="Q159" s="5">
        <v>46296</v>
      </c>
      <c r="R159" s="8"/>
      <c r="S159" s="8"/>
      <c r="T159" s="8"/>
      <c r="U159" s="8"/>
      <c r="V159" s="8"/>
      <c r="W159" s="562" t="s">
        <v>461</v>
      </c>
      <c r="X159" s="6"/>
      <c r="Y159" s="885"/>
    </row>
    <row r="160" spans="1:25" ht="50.1" customHeight="1" thickBot="1" x14ac:dyDescent="0.3">
      <c r="A160" s="872" t="s">
        <v>1359</v>
      </c>
      <c r="B160" s="6" t="s">
        <v>1360</v>
      </c>
      <c r="C160" s="5">
        <v>46276</v>
      </c>
      <c r="D160" s="6" t="s">
        <v>28</v>
      </c>
      <c r="E160" s="6" t="s">
        <v>29</v>
      </c>
      <c r="F160" s="7" t="s">
        <v>1361</v>
      </c>
      <c r="G160" s="6" t="s">
        <v>34</v>
      </c>
      <c r="H160" s="6">
        <v>106</v>
      </c>
      <c r="I160" s="6" t="s">
        <v>112</v>
      </c>
      <c r="J160" s="6" t="s">
        <v>53</v>
      </c>
      <c r="K160" s="8"/>
      <c r="L160" s="7" t="s">
        <v>1362</v>
      </c>
      <c r="M160" s="8"/>
      <c r="N160" s="8"/>
      <c r="O160" s="8"/>
      <c r="P160" s="6">
        <v>14</v>
      </c>
      <c r="Q160" s="5">
        <v>46296</v>
      </c>
      <c r="R160" s="8"/>
      <c r="S160" s="8"/>
      <c r="T160" s="8"/>
      <c r="U160" s="8"/>
      <c r="V160" s="8"/>
      <c r="W160" s="562" t="s">
        <v>461</v>
      </c>
      <c r="X160" s="6"/>
      <c r="Y160" s="885"/>
    </row>
    <row r="161" spans="1:25" ht="50.1" customHeight="1" thickBot="1" x14ac:dyDescent="0.3">
      <c r="A161" s="4" t="s">
        <v>1363</v>
      </c>
      <c r="B161" s="6" t="s">
        <v>1364</v>
      </c>
      <c r="C161" s="5">
        <v>46276</v>
      </c>
      <c r="D161" s="6" t="s">
        <v>28</v>
      </c>
      <c r="E161" s="6" t="s">
        <v>67</v>
      </c>
      <c r="F161" s="7" t="s">
        <v>1365</v>
      </c>
      <c r="G161" s="6" t="s">
        <v>30</v>
      </c>
      <c r="H161" s="6">
        <v>503</v>
      </c>
      <c r="I161" s="6" t="s">
        <v>31</v>
      </c>
      <c r="J161" s="6" t="s">
        <v>494</v>
      </c>
      <c r="K161" s="8"/>
      <c r="L161" s="7" t="s">
        <v>627</v>
      </c>
      <c r="M161" s="8"/>
      <c r="N161" s="8"/>
      <c r="O161" s="8"/>
      <c r="P161" s="6">
        <v>14</v>
      </c>
      <c r="Q161" s="5">
        <v>46296</v>
      </c>
      <c r="R161" s="8"/>
      <c r="S161" s="8"/>
      <c r="T161" s="8"/>
      <c r="U161" s="8"/>
      <c r="V161" s="8"/>
      <c r="W161" s="562" t="s">
        <v>461</v>
      </c>
      <c r="X161" s="6"/>
      <c r="Y161" s="885"/>
    </row>
    <row r="162" spans="1:25" ht="50.1" customHeight="1" thickBot="1" x14ac:dyDescent="0.3">
      <c r="A162" s="872" t="s">
        <v>1366</v>
      </c>
      <c r="B162" s="6" t="s">
        <v>1367</v>
      </c>
      <c r="C162" s="5">
        <v>46276</v>
      </c>
      <c r="D162" s="6" t="s">
        <v>19</v>
      </c>
      <c r="E162" s="6" t="s">
        <v>39</v>
      </c>
      <c r="F162" s="7" t="s">
        <v>1368</v>
      </c>
      <c r="G162" s="6" t="s">
        <v>22</v>
      </c>
      <c r="H162" s="6">
        <v>311</v>
      </c>
      <c r="I162" s="6" t="s">
        <v>64</v>
      </c>
      <c r="J162" s="6" t="s">
        <v>72</v>
      </c>
      <c r="K162" s="8"/>
      <c r="L162" s="7" t="s">
        <v>1369</v>
      </c>
      <c r="M162" s="8"/>
      <c r="N162" s="8"/>
      <c r="O162" s="8"/>
      <c r="P162" s="6">
        <v>14</v>
      </c>
      <c r="Q162" s="5">
        <v>46296</v>
      </c>
      <c r="R162" s="8"/>
      <c r="S162" s="8"/>
      <c r="T162" s="8"/>
      <c r="U162" s="8"/>
      <c r="V162" s="8"/>
      <c r="W162" s="562" t="s">
        <v>461</v>
      </c>
      <c r="X162" s="6"/>
      <c r="Y162" s="885"/>
    </row>
    <row r="163" spans="1:25" ht="50.1" customHeight="1" thickBot="1" x14ac:dyDescent="0.3">
      <c r="A163" s="872" t="s">
        <v>1370</v>
      </c>
      <c r="B163" s="6" t="s">
        <v>1371</v>
      </c>
      <c r="C163" s="5">
        <v>46276</v>
      </c>
      <c r="D163" s="6" t="s">
        <v>19</v>
      </c>
      <c r="E163" s="6" t="s">
        <v>29</v>
      </c>
      <c r="F163" s="7" t="s">
        <v>1372</v>
      </c>
      <c r="G163" s="6" t="s">
        <v>34</v>
      </c>
      <c r="H163" s="6">
        <v>106</v>
      </c>
      <c r="I163" s="6" t="s">
        <v>112</v>
      </c>
      <c r="J163" s="6" t="s">
        <v>53</v>
      </c>
      <c r="K163" s="8"/>
      <c r="L163" s="7" t="s">
        <v>1373</v>
      </c>
      <c r="M163" s="8"/>
      <c r="N163" s="8"/>
      <c r="O163" s="8"/>
      <c r="P163" s="6">
        <v>14</v>
      </c>
      <c r="Q163" s="5">
        <v>46296</v>
      </c>
      <c r="R163" s="8"/>
      <c r="S163" s="8"/>
      <c r="T163" s="8"/>
      <c r="U163" s="8"/>
      <c r="V163" s="8"/>
      <c r="W163" s="562" t="s">
        <v>461</v>
      </c>
      <c r="X163" s="6"/>
      <c r="Y163" s="885"/>
    </row>
    <row r="164" spans="1:25" ht="50.1" customHeight="1" thickBot="1" x14ac:dyDescent="0.3">
      <c r="A164" s="872" t="s">
        <v>1374</v>
      </c>
      <c r="B164" s="6" t="s">
        <v>1375</v>
      </c>
      <c r="C164" s="5">
        <v>46276</v>
      </c>
      <c r="D164" s="6" t="s">
        <v>19</v>
      </c>
      <c r="E164" s="6" t="s">
        <v>29</v>
      </c>
      <c r="F164" s="7" t="s">
        <v>290</v>
      </c>
      <c r="G164" s="6" t="s">
        <v>34</v>
      </c>
      <c r="H164" s="6">
        <v>106</v>
      </c>
      <c r="I164" s="6" t="s">
        <v>112</v>
      </c>
      <c r="J164" s="6" t="s">
        <v>53</v>
      </c>
      <c r="K164" s="8"/>
      <c r="L164" s="7" t="s">
        <v>1376</v>
      </c>
      <c r="M164" s="8"/>
      <c r="N164" s="8"/>
      <c r="O164" s="8"/>
      <c r="P164" s="6">
        <v>14</v>
      </c>
      <c r="Q164" s="5">
        <v>46296</v>
      </c>
      <c r="R164" s="8"/>
      <c r="S164" s="8"/>
      <c r="T164" s="8"/>
      <c r="U164" s="8"/>
      <c r="V164" s="8"/>
      <c r="W164" s="562" t="s">
        <v>461</v>
      </c>
      <c r="X164" s="6"/>
      <c r="Y164" s="885"/>
    </row>
    <row r="165" spans="1:25" ht="50.1" customHeight="1" thickBot="1" x14ac:dyDescent="0.3">
      <c r="A165" s="872" t="s">
        <v>1377</v>
      </c>
      <c r="B165" s="6" t="s">
        <v>1378</v>
      </c>
      <c r="C165" s="5">
        <v>46276</v>
      </c>
      <c r="D165" s="6" t="s">
        <v>19</v>
      </c>
      <c r="E165" s="6" t="s">
        <v>39</v>
      </c>
      <c r="F165" s="7" t="s">
        <v>553</v>
      </c>
      <c r="G165" s="6" t="s">
        <v>34</v>
      </c>
      <c r="H165" s="6">
        <v>114</v>
      </c>
      <c r="I165" s="6" t="s">
        <v>41</v>
      </c>
      <c r="J165" s="6" t="s">
        <v>42</v>
      </c>
      <c r="K165" s="8"/>
      <c r="L165" s="7" t="s">
        <v>1379</v>
      </c>
      <c r="M165" s="8"/>
      <c r="N165" s="8"/>
      <c r="O165" s="8"/>
      <c r="P165" s="6">
        <v>14</v>
      </c>
      <c r="Q165" s="5">
        <v>46296</v>
      </c>
      <c r="R165" s="8"/>
      <c r="S165" s="8"/>
      <c r="T165" s="8"/>
      <c r="U165" s="8"/>
      <c r="V165" s="8"/>
      <c r="W165" s="562" t="s">
        <v>461</v>
      </c>
      <c r="X165" s="6"/>
      <c r="Y165" s="885"/>
    </row>
    <row r="166" spans="1:25" ht="50.1" customHeight="1" thickBot="1" x14ac:dyDescent="0.3">
      <c r="A166" s="872" t="s">
        <v>1380</v>
      </c>
      <c r="B166" s="6" t="s">
        <v>1381</v>
      </c>
      <c r="C166" s="5">
        <v>46276</v>
      </c>
      <c r="D166" s="6" t="s">
        <v>103</v>
      </c>
      <c r="E166" s="6" t="s">
        <v>460</v>
      </c>
      <c r="F166" s="7" t="s">
        <v>514</v>
      </c>
      <c r="G166" s="6" t="s">
        <v>22</v>
      </c>
      <c r="H166" s="6">
        <v>316</v>
      </c>
      <c r="I166" s="6" t="s">
        <v>23</v>
      </c>
      <c r="J166" s="6" t="s">
        <v>1382</v>
      </c>
      <c r="K166" s="8"/>
      <c r="L166" s="7" t="s">
        <v>1383</v>
      </c>
      <c r="M166" s="8"/>
      <c r="N166" s="8"/>
      <c r="O166" s="8"/>
      <c r="P166" s="6">
        <v>14</v>
      </c>
      <c r="Q166" s="5">
        <v>46296</v>
      </c>
      <c r="R166" s="8"/>
      <c r="S166" s="8"/>
      <c r="T166" s="8"/>
      <c r="U166" s="8"/>
      <c r="V166" s="8"/>
      <c r="W166" s="562" t="s">
        <v>461</v>
      </c>
      <c r="X166" s="6"/>
      <c r="Y166" s="885"/>
    </row>
    <row r="167" spans="1:25" ht="50.1" customHeight="1" thickBot="1" x14ac:dyDescent="0.3">
      <c r="A167" s="872" t="s">
        <v>1380</v>
      </c>
      <c r="B167" s="6" t="s">
        <v>1384</v>
      </c>
      <c r="C167" s="5">
        <v>46276</v>
      </c>
      <c r="D167" s="6" t="s">
        <v>103</v>
      </c>
      <c r="E167" s="6" t="s">
        <v>460</v>
      </c>
      <c r="F167" s="7" t="s">
        <v>514</v>
      </c>
      <c r="G167" s="6" t="s">
        <v>22</v>
      </c>
      <c r="H167" s="6">
        <v>316</v>
      </c>
      <c r="I167" s="6" t="s">
        <v>23</v>
      </c>
      <c r="J167" s="6" t="s">
        <v>1382</v>
      </c>
      <c r="K167" s="8"/>
      <c r="L167" s="7" t="s">
        <v>1383</v>
      </c>
      <c r="M167" s="8"/>
      <c r="N167" s="8"/>
      <c r="O167" s="8"/>
      <c r="P167" s="6">
        <v>14</v>
      </c>
      <c r="Q167" s="5">
        <v>46296</v>
      </c>
      <c r="R167" s="8"/>
      <c r="S167" s="8"/>
      <c r="T167" s="8"/>
      <c r="U167" s="8"/>
      <c r="V167" s="8"/>
      <c r="W167" s="562" t="s">
        <v>461</v>
      </c>
      <c r="X167" s="6"/>
      <c r="Y167" s="885"/>
    </row>
    <row r="168" spans="1:25" ht="50.1" customHeight="1" thickBot="1" x14ac:dyDescent="0.3">
      <c r="A168" s="872" t="s">
        <v>1385</v>
      </c>
      <c r="B168" s="6" t="s">
        <v>1386</v>
      </c>
      <c r="C168" s="5">
        <v>46276</v>
      </c>
      <c r="D168" s="6" t="s">
        <v>19</v>
      </c>
      <c r="E168" s="6" t="s">
        <v>460</v>
      </c>
      <c r="F168" s="7" t="s">
        <v>495</v>
      </c>
      <c r="G168" s="6" t="s">
        <v>22</v>
      </c>
      <c r="H168" s="6">
        <v>316</v>
      </c>
      <c r="I168" s="6" t="s">
        <v>23</v>
      </c>
      <c r="J168" s="6" t="s">
        <v>54</v>
      </c>
      <c r="K168" s="8"/>
      <c r="L168" s="7" t="s">
        <v>1387</v>
      </c>
      <c r="M168" s="8"/>
      <c r="N168" s="8"/>
      <c r="O168" s="8"/>
      <c r="P168" s="6">
        <v>14</v>
      </c>
      <c r="Q168" s="5">
        <v>46296</v>
      </c>
      <c r="R168" s="8"/>
      <c r="S168" s="8"/>
      <c r="T168" s="8"/>
      <c r="U168" s="8"/>
      <c r="V168" s="8"/>
      <c r="W168" s="562" t="s">
        <v>461</v>
      </c>
      <c r="X168" s="6"/>
      <c r="Y168" s="885"/>
    </row>
    <row r="169" spans="1:25" ht="50.1" customHeight="1" thickBot="1" x14ac:dyDescent="0.3">
      <c r="A169" s="872" t="s">
        <v>1388</v>
      </c>
      <c r="B169" s="6" t="s">
        <v>1389</v>
      </c>
      <c r="C169" s="5">
        <v>46276</v>
      </c>
      <c r="D169" s="6" t="s">
        <v>19</v>
      </c>
      <c r="E169" s="6" t="s">
        <v>460</v>
      </c>
      <c r="F169" s="7" t="s">
        <v>594</v>
      </c>
      <c r="G169" s="6" t="s">
        <v>22</v>
      </c>
      <c r="H169" s="6">
        <v>316</v>
      </c>
      <c r="I169" s="6" t="s">
        <v>23</v>
      </c>
      <c r="J169" s="6" t="s">
        <v>1382</v>
      </c>
      <c r="K169" s="8"/>
      <c r="L169" s="7" t="s">
        <v>1390</v>
      </c>
      <c r="M169" s="8"/>
      <c r="N169" s="8"/>
      <c r="O169" s="8"/>
      <c r="P169" s="6">
        <v>14</v>
      </c>
      <c r="Q169" s="5">
        <v>46296</v>
      </c>
      <c r="R169" s="8"/>
      <c r="S169" s="8"/>
      <c r="T169" s="8"/>
      <c r="U169" s="8"/>
      <c r="V169" s="8"/>
      <c r="W169" s="562" t="s">
        <v>461</v>
      </c>
      <c r="X169" s="6"/>
      <c r="Y169" s="885"/>
    </row>
    <row r="170" spans="1:25" ht="50.1" customHeight="1" thickBot="1" x14ac:dyDescent="0.3">
      <c r="A170" s="872" t="s">
        <v>1391</v>
      </c>
      <c r="B170" s="6" t="s">
        <v>1392</v>
      </c>
      <c r="C170" s="5">
        <v>46276</v>
      </c>
      <c r="D170" s="6" t="s">
        <v>19</v>
      </c>
      <c r="E170" s="6" t="s">
        <v>20</v>
      </c>
      <c r="F170" s="7" t="s">
        <v>286</v>
      </c>
      <c r="G170" s="6" t="s">
        <v>22</v>
      </c>
      <c r="H170" s="6">
        <v>316</v>
      </c>
      <c r="I170" s="6" t="s">
        <v>23</v>
      </c>
      <c r="J170" s="6" t="s">
        <v>288</v>
      </c>
      <c r="K170" s="8"/>
      <c r="L170" s="7" t="s">
        <v>1390</v>
      </c>
      <c r="M170" s="8"/>
      <c r="N170" s="8"/>
      <c r="O170" s="8"/>
      <c r="P170" s="6">
        <v>14</v>
      </c>
      <c r="Q170" s="5">
        <v>46296</v>
      </c>
      <c r="R170" s="8"/>
      <c r="S170" s="8"/>
      <c r="T170" s="8"/>
      <c r="U170" s="8"/>
      <c r="V170" s="8"/>
      <c r="W170" s="562" t="s">
        <v>461</v>
      </c>
      <c r="X170" s="6"/>
      <c r="Y170" s="885"/>
    </row>
    <row r="171" spans="1:25" ht="50.1" customHeight="1" thickBot="1" x14ac:dyDescent="0.3">
      <c r="A171" s="4" t="s">
        <v>1393</v>
      </c>
      <c r="B171" s="6" t="s">
        <v>1394</v>
      </c>
      <c r="C171" s="5">
        <v>46276</v>
      </c>
      <c r="D171" s="6" t="s">
        <v>103</v>
      </c>
      <c r="E171" s="6" t="s">
        <v>39</v>
      </c>
      <c r="F171" s="7" t="s">
        <v>462</v>
      </c>
      <c r="G171" s="6" t="s">
        <v>30</v>
      </c>
      <c r="H171" s="6">
        <v>503</v>
      </c>
      <c r="I171" s="6" t="s">
        <v>64</v>
      </c>
      <c r="J171" s="6" t="s">
        <v>93</v>
      </c>
      <c r="K171" s="8"/>
      <c r="L171" s="7" t="s">
        <v>1395</v>
      </c>
      <c r="M171" s="8"/>
      <c r="N171" s="8"/>
      <c r="O171" s="8"/>
      <c r="P171" s="6">
        <v>14</v>
      </c>
      <c r="Q171" s="5">
        <v>46296</v>
      </c>
      <c r="R171" s="8"/>
      <c r="S171" s="8"/>
      <c r="T171" s="8"/>
      <c r="U171" s="8"/>
      <c r="V171" s="8"/>
      <c r="W171" s="562" t="s">
        <v>461</v>
      </c>
      <c r="X171" s="6"/>
      <c r="Y171" s="885"/>
    </row>
    <row r="172" spans="1:25" ht="50.1" customHeight="1" thickBot="1" x14ac:dyDescent="0.3">
      <c r="A172" s="4" t="s">
        <v>1396</v>
      </c>
      <c r="B172" s="6" t="s">
        <v>1397</v>
      </c>
      <c r="C172" s="5">
        <v>46276</v>
      </c>
      <c r="D172" s="6" t="s">
        <v>103</v>
      </c>
      <c r="E172" s="6" t="s">
        <v>39</v>
      </c>
      <c r="F172" s="7" t="s">
        <v>1398</v>
      </c>
      <c r="G172" s="6" t="s">
        <v>30</v>
      </c>
      <c r="H172" s="6">
        <v>503</v>
      </c>
      <c r="I172" s="6" t="s">
        <v>64</v>
      </c>
      <c r="J172" s="6" t="s">
        <v>93</v>
      </c>
      <c r="K172" s="8"/>
      <c r="L172" s="7" t="s">
        <v>1399</v>
      </c>
      <c r="M172" s="8"/>
      <c r="N172" s="8"/>
      <c r="O172" s="8"/>
      <c r="P172" s="6">
        <v>14</v>
      </c>
      <c r="Q172" s="5">
        <v>46296</v>
      </c>
      <c r="R172" s="8"/>
      <c r="S172" s="8"/>
      <c r="T172" s="8"/>
      <c r="U172" s="8"/>
      <c r="V172" s="8"/>
      <c r="W172" s="562" t="s">
        <v>461</v>
      </c>
      <c r="X172" s="6"/>
      <c r="Y172" s="885"/>
    </row>
    <row r="173" spans="1:25" ht="50.1" customHeight="1" thickBot="1" x14ac:dyDescent="0.3">
      <c r="A173" s="872" t="s">
        <v>1400</v>
      </c>
      <c r="B173" s="6" t="s">
        <v>1401</v>
      </c>
      <c r="C173" s="5">
        <v>46276</v>
      </c>
      <c r="D173" s="6" t="s">
        <v>19</v>
      </c>
      <c r="E173" s="6" t="s">
        <v>20</v>
      </c>
      <c r="F173" s="7" t="s">
        <v>1402</v>
      </c>
      <c r="G173" s="6" t="s">
        <v>22</v>
      </c>
      <c r="H173" s="6">
        <v>316</v>
      </c>
      <c r="I173" s="6" t="s">
        <v>23</v>
      </c>
      <c r="J173" s="6" t="s">
        <v>288</v>
      </c>
      <c r="K173" s="8"/>
      <c r="L173" s="7" t="s">
        <v>1403</v>
      </c>
      <c r="M173" s="8"/>
      <c r="N173" s="8"/>
      <c r="O173" s="8"/>
      <c r="P173" s="6">
        <v>14</v>
      </c>
      <c r="Q173" s="5">
        <v>46296</v>
      </c>
      <c r="R173" s="8"/>
      <c r="S173" s="8"/>
      <c r="T173" s="8"/>
      <c r="U173" s="8"/>
      <c r="V173" s="8"/>
      <c r="W173" s="562" t="s">
        <v>461</v>
      </c>
      <c r="X173" s="6"/>
      <c r="Y173" s="885"/>
    </row>
    <row r="174" spans="1:25" ht="50.1" customHeight="1" thickBot="1" x14ac:dyDescent="0.3">
      <c r="A174" s="872" t="s">
        <v>1404</v>
      </c>
      <c r="B174" s="6" t="s">
        <v>1405</v>
      </c>
      <c r="C174" s="5">
        <v>46277</v>
      </c>
      <c r="D174" s="6" t="s">
        <v>19</v>
      </c>
      <c r="E174" s="6" t="s">
        <v>29</v>
      </c>
      <c r="F174" s="7" t="s">
        <v>359</v>
      </c>
      <c r="G174" s="6" t="s">
        <v>34</v>
      </c>
      <c r="H174" s="6">
        <v>106</v>
      </c>
      <c r="I174" s="6" t="s">
        <v>112</v>
      </c>
      <c r="J174" s="6" t="s">
        <v>53</v>
      </c>
      <c r="K174" s="8"/>
      <c r="L174" s="7" t="s">
        <v>1406</v>
      </c>
      <c r="M174" s="6">
        <v>1120400</v>
      </c>
      <c r="N174" s="8"/>
      <c r="O174" s="8"/>
      <c r="P174" s="6">
        <v>14</v>
      </c>
      <c r="Q174" s="5">
        <v>46296</v>
      </c>
      <c r="R174" s="8"/>
      <c r="S174" s="8"/>
      <c r="T174" s="8"/>
      <c r="U174" s="8"/>
      <c r="V174" s="8"/>
      <c r="W174" s="562" t="s">
        <v>461</v>
      </c>
      <c r="X174" s="6"/>
      <c r="Y174" s="885"/>
    </row>
    <row r="175" spans="1:25" ht="50.1" customHeight="1" thickBot="1" x14ac:dyDescent="0.3">
      <c r="A175" s="4" t="s">
        <v>1407</v>
      </c>
      <c r="B175" s="6" t="s">
        <v>1408</v>
      </c>
      <c r="C175" s="5">
        <v>46279</v>
      </c>
      <c r="D175" s="6" t="s">
        <v>19</v>
      </c>
      <c r="E175" s="6" t="s">
        <v>39</v>
      </c>
      <c r="F175" s="7" t="s">
        <v>1409</v>
      </c>
      <c r="G175" s="6" t="s">
        <v>30</v>
      </c>
      <c r="H175" s="6">
        <v>503</v>
      </c>
      <c r="I175" s="6" t="s">
        <v>31</v>
      </c>
      <c r="J175" s="6" t="s">
        <v>93</v>
      </c>
      <c r="K175" s="8"/>
      <c r="L175" s="7" t="s">
        <v>1410</v>
      </c>
      <c r="M175" s="8"/>
      <c r="N175" s="8"/>
      <c r="O175" s="8"/>
      <c r="P175" s="6">
        <v>14</v>
      </c>
      <c r="Q175" s="5">
        <v>46296</v>
      </c>
      <c r="R175" s="8"/>
      <c r="S175" s="8"/>
      <c r="T175" s="8"/>
      <c r="U175" s="8"/>
      <c r="V175" s="8"/>
      <c r="W175" s="562" t="s">
        <v>461</v>
      </c>
      <c r="X175" s="6"/>
      <c r="Y175" s="885"/>
    </row>
    <row r="176" spans="1:25" ht="50.1" customHeight="1" thickBot="1" x14ac:dyDescent="0.3">
      <c r="A176" s="4" t="s">
        <v>1411</v>
      </c>
      <c r="B176" s="6" t="s">
        <v>1412</v>
      </c>
      <c r="C176" s="5">
        <v>46279</v>
      </c>
      <c r="D176" s="6" t="s">
        <v>28</v>
      </c>
      <c r="E176" s="6" t="s">
        <v>61</v>
      </c>
      <c r="F176" s="7" t="s">
        <v>1413</v>
      </c>
      <c r="G176" s="6" t="s">
        <v>22</v>
      </c>
      <c r="H176" s="6">
        <v>316</v>
      </c>
      <c r="I176" s="6" t="s">
        <v>23</v>
      </c>
      <c r="J176" s="6" t="s">
        <v>1414</v>
      </c>
      <c r="K176" s="8"/>
      <c r="L176" s="7" t="s">
        <v>1415</v>
      </c>
      <c r="M176" s="8"/>
      <c r="N176" s="8"/>
      <c r="O176" s="8"/>
      <c r="P176" s="6">
        <v>14</v>
      </c>
      <c r="Q176" s="5">
        <v>46297</v>
      </c>
      <c r="R176" s="8"/>
      <c r="S176" s="8"/>
      <c r="T176" s="8"/>
      <c r="U176" s="8"/>
      <c r="V176" s="8"/>
      <c r="W176" s="562" t="s">
        <v>461</v>
      </c>
      <c r="X176" s="6"/>
      <c r="Y176" s="885"/>
    </row>
    <row r="177" spans="1:25" ht="50.1" customHeight="1" thickBot="1" x14ac:dyDescent="0.3">
      <c r="A177" s="872" t="s">
        <v>1416</v>
      </c>
      <c r="B177" s="6" t="s">
        <v>1417</v>
      </c>
      <c r="C177" s="5">
        <v>46279</v>
      </c>
      <c r="D177" s="6" t="s">
        <v>19</v>
      </c>
      <c r="E177" s="6" t="s">
        <v>460</v>
      </c>
      <c r="F177" s="7" t="s">
        <v>1418</v>
      </c>
      <c r="G177" s="6" t="s">
        <v>22</v>
      </c>
      <c r="H177" s="6">
        <v>316</v>
      </c>
      <c r="I177" s="6" t="s">
        <v>23</v>
      </c>
      <c r="J177" s="6" t="s">
        <v>57</v>
      </c>
      <c r="K177" s="8"/>
      <c r="L177" s="7" t="s">
        <v>1419</v>
      </c>
      <c r="M177" s="8"/>
      <c r="N177" s="8"/>
      <c r="O177" s="8"/>
      <c r="P177" s="6">
        <v>14</v>
      </c>
      <c r="Q177" s="5">
        <v>46297</v>
      </c>
      <c r="R177" s="8"/>
      <c r="S177" s="8"/>
      <c r="T177" s="8"/>
      <c r="U177" s="8"/>
      <c r="V177" s="8"/>
      <c r="W177" s="562" t="s">
        <v>461</v>
      </c>
      <c r="X177" s="6"/>
      <c r="Y177" s="885"/>
    </row>
    <row r="178" spans="1:25" ht="50.1" customHeight="1" thickBot="1" x14ac:dyDescent="0.3">
      <c r="A178" s="872" t="s">
        <v>1420</v>
      </c>
      <c r="B178" s="6" t="s">
        <v>1421</v>
      </c>
      <c r="C178" s="5">
        <v>46279</v>
      </c>
      <c r="D178" s="6" t="s">
        <v>19</v>
      </c>
      <c r="E178" s="6" t="s">
        <v>29</v>
      </c>
      <c r="F178" s="7" t="s">
        <v>92</v>
      </c>
      <c r="G178" s="6" t="s">
        <v>34</v>
      </c>
      <c r="H178" s="6">
        <v>106</v>
      </c>
      <c r="I178" s="6" t="s">
        <v>112</v>
      </c>
      <c r="J178" s="6" t="s">
        <v>53</v>
      </c>
      <c r="K178" s="8"/>
      <c r="L178" s="7" t="s">
        <v>1422</v>
      </c>
      <c r="M178" s="6">
        <v>1128706</v>
      </c>
      <c r="N178" s="8"/>
      <c r="O178" s="8"/>
      <c r="P178" s="6">
        <v>14</v>
      </c>
      <c r="Q178" s="5">
        <v>46297</v>
      </c>
      <c r="R178" s="8"/>
      <c r="S178" s="8"/>
      <c r="T178" s="8"/>
      <c r="U178" s="8"/>
      <c r="V178" s="8"/>
      <c r="W178" s="562" t="s">
        <v>461</v>
      </c>
      <c r="X178" s="6"/>
      <c r="Y178" s="885"/>
    </row>
    <row r="179" spans="1:25" ht="50.1" customHeight="1" thickBot="1" x14ac:dyDescent="0.3">
      <c r="A179" s="4" t="s">
        <v>1423</v>
      </c>
      <c r="B179" s="6" t="s">
        <v>1424</v>
      </c>
      <c r="C179" s="5">
        <v>46279</v>
      </c>
      <c r="D179" s="6" t="s">
        <v>28</v>
      </c>
      <c r="E179" s="6" t="s">
        <v>84</v>
      </c>
      <c r="F179" s="7" t="s">
        <v>1425</v>
      </c>
      <c r="G179" s="6" t="s">
        <v>30</v>
      </c>
      <c r="H179" s="6">
        <v>503</v>
      </c>
      <c r="I179" s="6" t="s">
        <v>31</v>
      </c>
      <c r="J179" s="6" t="s">
        <v>1426</v>
      </c>
      <c r="K179" s="6" t="s">
        <v>25</v>
      </c>
      <c r="L179" s="7" t="s">
        <v>465</v>
      </c>
      <c r="M179" s="8"/>
      <c r="N179" s="8"/>
      <c r="O179" s="8"/>
      <c r="P179" s="6">
        <v>14</v>
      </c>
      <c r="Q179" s="5">
        <v>46297</v>
      </c>
      <c r="R179" s="5">
        <v>46279</v>
      </c>
      <c r="S179" s="6" t="s">
        <v>26</v>
      </c>
      <c r="T179" s="6" t="s">
        <v>26</v>
      </c>
      <c r="U179" s="5">
        <v>46283</v>
      </c>
      <c r="V179" s="6" t="s">
        <v>1222</v>
      </c>
      <c r="W179" s="9" t="s">
        <v>27</v>
      </c>
      <c r="X179" s="10" t="s">
        <v>25</v>
      </c>
      <c r="Y179" s="886" t="s">
        <v>25</v>
      </c>
    </row>
    <row r="180" spans="1:25" ht="50.1" customHeight="1" thickBot="1" x14ac:dyDescent="0.3">
      <c r="A180" s="872" t="s">
        <v>1427</v>
      </c>
      <c r="B180" s="6" t="s">
        <v>1428</v>
      </c>
      <c r="C180" s="5">
        <v>46279</v>
      </c>
      <c r="D180" s="6" t="s">
        <v>19</v>
      </c>
      <c r="E180" s="6" t="s">
        <v>20</v>
      </c>
      <c r="F180" s="7" t="s">
        <v>48</v>
      </c>
      <c r="G180" s="6" t="s">
        <v>22</v>
      </c>
      <c r="H180" s="6">
        <v>316</v>
      </c>
      <c r="I180" s="6" t="s">
        <v>23</v>
      </c>
      <c r="J180" s="6" t="s">
        <v>46</v>
      </c>
      <c r="K180" s="8"/>
      <c r="L180" s="7" t="s">
        <v>1429</v>
      </c>
      <c r="M180" s="6">
        <v>1180700</v>
      </c>
      <c r="N180" s="8"/>
      <c r="O180" s="8"/>
      <c r="P180" s="6">
        <v>14</v>
      </c>
      <c r="Q180" s="5">
        <v>46297</v>
      </c>
      <c r="R180" s="8"/>
      <c r="S180" s="8"/>
      <c r="T180" s="8"/>
      <c r="U180" s="8"/>
      <c r="V180" s="8"/>
      <c r="W180" s="562" t="s">
        <v>461</v>
      </c>
      <c r="X180" s="6"/>
      <c r="Y180" s="885"/>
    </row>
    <row r="181" spans="1:25" ht="50.1" customHeight="1" thickBot="1" x14ac:dyDescent="0.3">
      <c r="A181" s="872" t="s">
        <v>1430</v>
      </c>
      <c r="B181" s="6" t="s">
        <v>1431</v>
      </c>
      <c r="C181" s="5">
        <v>46279</v>
      </c>
      <c r="D181" s="6" t="s">
        <v>28</v>
      </c>
      <c r="E181" s="6" t="s">
        <v>460</v>
      </c>
      <c r="F181" s="7" t="s">
        <v>1432</v>
      </c>
      <c r="G181" s="6" t="s">
        <v>22</v>
      </c>
      <c r="H181" s="6">
        <v>316</v>
      </c>
      <c r="I181" s="6" t="s">
        <v>23</v>
      </c>
      <c r="J181" s="6" t="s">
        <v>57</v>
      </c>
      <c r="K181" s="8"/>
      <c r="L181" s="7" t="s">
        <v>1383</v>
      </c>
      <c r="M181" s="8"/>
      <c r="N181" s="8"/>
      <c r="O181" s="8"/>
      <c r="P181" s="6">
        <v>14</v>
      </c>
      <c r="Q181" s="5">
        <v>46297</v>
      </c>
      <c r="R181" s="8"/>
      <c r="S181" s="8"/>
      <c r="T181" s="8"/>
      <c r="U181" s="8"/>
      <c r="V181" s="8"/>
      <c r="W181" s="562" t="s">
        <v>461</v>
      </c>
      <c r="X181" s="6"/>
      <c r="Y181" s="885"/>
    </row>
    <row r="182" spans="1:25" ht="50.1" customHeight="1" thickBot="1" x14ac:dyDescent="0.3">
      <c r="A182" s="872" t="s">
        <v>1433</v>
      </c>
      <c r="B182" s="6" t="s">
        <v>1434</v>
      </c>
      <c r="C182" s="5">
        <v>46279</v>
      </c>
      <c r="D182" s="6" t="s">
        <v>33</v>
      </c>
      <c r="E182" s="6" t="s">
        <v>460</v>
      </c>
      <c r="F182" s="7" t="s">
        <v>1435</v>
      </c>
      <c r="G182" s="6" t="s">
        <v>22</v>
      </c>
      <c r="H182" s="6">
        <v>316</v>
      </c>
      <c r="I182" s="6" t="s">
        <v>23</v>
      </c>
      <c r="J182" s="6" t="s">
        <v>173</v>
      </c>
      <c r="K182" s="6" t="s">
        <v>25</v>
      </c>
      <c r="L182" s="7" t="s">
        <v>1301</v>
      </c>
      <c r="M182" s="8"/>
      <c r="N182" s="8"/>
      <c r="O182" s="8"/>
      <c r="P182" s="6">
        <v>14</v>
      </c>
      <c r="Q182" s="5">
        <v>46297</v>
      </c>
      <c r="R182" s="5">
        <v>46279</v>
      </c>
      <c r="S182" s="6" t="s">
        <v>26</v>
      </c>
      <c r="T182" s="6" t="s">
        <v>26</v>
      </c>
      <c r="U182" s="5">
        <v>46294</v>
      </c>
      <c r="V182" s="6" t="s">
        <v>1436</v>
      </c>
      <c r="W182" s="9" t="s">
        <v>27</v>
      </c>
      <c r="X182" s="10" t="s">
        <v>25</v>
      </c>
      <c r="Y182" s="885"/>
    </row>
    <row r="183" spans="1:25" ht="50.1" customHeight="1" thickBot="1" x14ac:dyDescent="0.3">
      <c r="A183" s="872" t="s">
        <v>1437</v>
      </c>
      <c r="B183" s="6" t="s">
        <v>1438</v>
      </c>
      <c r="C183" s="5">
        <v>46279</v>
      </c>
      <c r="D183" s="6" t="s">
        <v>19</v>
      </c>
      <c r="E183" s="6" t="s">
        <v>20</v>
      </c>
      <c r="F183" s="7" t="s">
        <v>1439</v>
      </c>
      <c r="G183" s="6" t="s">
        <v>22</v>
      </c>
      <c r="H183" s="6">
        <v>304</v>
      </c>
      <c r="I183" s="6" t="s">
        <v>43</v>
      </c>
      <c r="J183" s="12" t="s">
        <v>44</v>
      </c>
      <c r="K183" s="8"/>
      <c r="L183" s="7" t="s">
        <v>1440</v>
      </c>
      <c r="M183" s="6">
        <v>1238512</v>
      </c>
      <c r="N183" s="8"/>
      <c r="O183" s="8"/>
      <c r="P183" s="6">
        <v>14</v>
      </c>
      <c r="Q183" s="5">
        <v>46297</v>
      </c>
      <c r="R183" s="8"/>
      <c r="S183" s="8"/>
      <c r="T183" s="8"/>
      <c r="U183" s="8"/>
      <c r="V183" s="8"/>
      <c r="W183" s="562" t="s">
        <v>461</v>
      </c>
      <c r="X183" s="6"/>
      <c r="Y183" s="885"/>
    </row>
    <row r="184" spans="1:25" ht="50.1" customHeight="1" thickBot="1" x14ac:dyDescent="0.3">
      <c r="A184" s="872" t="s">
        <v>1441</v>
      </c>
      <c r="B184" s="6" t="s">
        <v>1442</v>
      </c>
      <c r="C184" s="5">
        <v>46279</v>
      </c>
      <c r="D184" s="6" t="s">
        <v>19</v>
      </c>
      <c r="E184" s="6" t="s">
        <v>20</v>
      </c>
      <c r="F184" s="7" t="s">
        <v>1443</v>
      </c>
      <c r="G184" s="6" t="s">
        <v>22</v>
      </c>
      <c r="H184" s="6">
        <v>304</v>
      </c>
      <c r="I184" s="6" t="s">
        <v>43</v>
      </c>
      <c r="J184" s="12" t="s">
        <v>44</v>
      </c>
      <c r="K184" s="8"/>
      <c r="L184" s="7" t="s">
        <v>640</v>
      </c>
      <c r="M184" s="6">
        <v>1156300</v>
      </c>
      <c r="N184" s="8"/>
      <c r="O184" s="8"/>
      <c r="P184" s="6">
        <v>14</v>
      </c>
      <c r="Q184" s="5">
        <v>46297</v>
      </c>
      <c r="R184" s="8"/>
      <c r="S184" s="8"/>
      <c r="T184" s="8"/>
      <c r="U184" s="8"/>
      <c r="V184" s="8"/>
      <c r="W184" s="562" t="s">
        <v>461</v>
      </c>
      <c r="X184" s="6"/>
      <c r="Y184" s="885"/>
    </row>
    <row r="185" spans="1:25" ht="50.1" customHeight="1" thickBot="1" x14ac:dyDescent="0.3">
      <c r="A185" s="872" t="s">
        <v>1444</v>
      </c>
      <c r="B185" s="6" t="s">
        <v>1445</v>
      </c>
      <c r="C185" s="5">
        <v>46279</v>
      </c>
      <c r="D185" s="6" t="s">
        <v>19</v>
      </c>
      <c r="E185" s="6" t="s">
        <v>20</v>
      </c>
      <c r="F185" s="7" t="s">
        <v>505</v>
      </c>
      <c r="G185" s="6" t="s">
        <v>22</v>
      </c>
      <c r="H185" s="6">
        <v>316</v>
      </c>
      <c r="I185" s="6" t="s">
        <v>23</v>
      </c>
      <c r="J185" s="6" t="s">
        <v>24</v>
      </c>
      <c r="K185" s="8"/>
      <c r="L185" s="7" t="s">
        <v>1446</v>
      </c>
      <c r="M185" s="8"/>
      <c r="N185" s="8"/>
      <c r="O185" s="8"/>
      <c r="P185" s="6">
        <v>14</v>
      </c>
      <c r="Q185" s="5">
        <v>46297</v>
      </c>
      <c r="R185" s="8"/>
      <c r="S185" s="8"/>
      <c r="T185" s="8"/>
      <c r="U185" s="8"/>
      <c r="V185" s="8"/>
      <c r="W185" s="562" t="s">
        <v>461</v>
      </c>
      <c r="X185" s="6"/>
      <c r="Y185" s="885"/>
    </row>
    <row r="186" spans="1:25" ht="50.1" customHeight="1" thickBot="1" x14ac:dyDescent="0.3">
      <c r="A186" s="4" t="s">
        <v>1447</v>
      </c>
      <c r="B186" s="6" t="s">
        <v>1448</v>
      </c>
      <c r="C186" s="5">
        <v>46279</v>
      </c>
      <c r="D186" s="6" t="s">
        <v>19</v>
      </c>
      <c r="E186" s="6" t="s">
        <v>39</v>
      </c>
      <c r="F186" s="7" t="s">
        <v>1449</v>
      </c>
      <c r="G186" s="6" t="s">
        <v>30</v>
      </c>
      <c r="H186" s="6">
        <v>503</v>
      </c>
      <c r="I186" s="6" t="s">
        <v>31</v>
      </c>
      <c r="J186" s="6" t="s">
        <v>93</v>
      </c>
      <c r="K186" s="8"/>
      <c r="L186" s="7" t="s">
        <v>1450</v>
      </c>
      <c r="M186" s="6">
        <v>1147440</v>
      </c>
      <c r="N186" s="8"/>
      <c r="O186" s="8"/>
      <c r="P186" s="6">
        <v>14</v>
      </c>
      <c r="Q186" s="5">
        <v>46297</v>
      </c>
      <c r="R186" s="8"/>
      <c r="S186" s="8"/>
      <c r="T186" s="8"/>
      <c r="U186" s="8"/>
      <c r="V186" s="8"/>
      <c r="W186" s="562" t="s">
        <v>461</v>
      </c>
      <c r="X186" s="6"/>
      <c r="Y186" s="885"/>
    </row>
    <row r="187" spans="1:25" ht="50.1" customHeight="1" thickBot="1" x14ac:dyDescent="0.3">
      <c r="A187" s="4" t="s">
        <v>1451</v>
      </c>
      <c r="B187" s="6" t="s">
        <v>1452</v>
      </c>
      <c r="C187" s="5">
        <v>46279</v>
      </c>
      <c r="D187" s="6" t="s">
        <v>19</v>
      </c>
      <c r="E187" s="6" t="s">
        <v>39</v>
      </c>
      <c r="F187" s="7" t="s">
        <v>1453</v>
      </c>
      <c r="G187" s="6" t="s">
        <v>30</v>
      </c>
      <c r="H187" s="6">
        <v>503</v>
      </c>
      <c r="I187" s="6" t="s">
        <v>31</v>
      </c>
      <c r="J187" s="6" t="s">
        <v>93</v>
      </c>
      <c r="K187" s="8"/>
      <c r="L187" s="7" t="s">
        <v>1454</v>
      </c>
      <c r="M187" s="6">
        <v>1116260</v>
      </c>
      <c r="N187" s="8"/>
      <c r="O187" s="8"/>
      <c r="P187" s="6">
        <v>14</v>
      </c>
      <c r="Q187" s="5">
        <v>46297</v>
      </c>
      <c r="R187" s="8"/>
      <c r="S187" s="8"/>
      <c r="T187" s="8"/>
      <c r="U187" s="8"/>
      <c r="V187" s="8"/>
      <c r="W187" s="562" t="s">
        <v>461</v>
      </c>
      <c r="X187" s="6"/>
      <c r="Y187" s="885"/>
    </row>
    <row r="188" spans="1:25" ht="50.1" customHeight="1" thickBot="1" x14ac:dyDescent="0.3">
      <c r="A188" s="872" t="s">
        <v>1455</v>
      </c>
      <c r="B188" s="6" t="s">
        <v>1456</v>
      </c>
      <c r="C188" s="5">
        <v>46279</v>
      </c>
      <c r="D188" s="6" t="s">
        <v>19</v>
      </c>
      <c r="E188" s="6" t="s">
        <v>460</v>
      </c>
      <c r="F188" s="7" t="s">
        <v>1457</v>
      </c>
      <c r="G188" s="6" t="s">
        <v>34</v>
      </c>
      <c r="H188" s="6">
        <v>127</v>
      </c>
      <c r="I188" s="6" t="s">
        <v>88</v>
      </c>
      <c r="J188" s="6" t="s">
        <v>71</v>
      </c>
      <c r="K188" s="8"/>
      <c r="L188" s="7" t="s">
        <v>598</v>
      </c>
      <c r="M188" s="8"/>
      <c r="N188" s="8"/>
      <c r="O188" s="8"/>
      <c r="P188" s="6">
        <v>14</v>
      </c>
      <c r="Q188" s="5">
        <v>46297</v>
      </c>
      <c r="R188" s="8"/>
      <c r="S188" s="8"/>
      <c r="T188" s="8"/>
      <c r="U188" s="8"/>
      <c r="V188" s="8"/>
      <c r="W188" s="562" t="s">
        <v>461</v>
      </c>
      <c r="X188" s="6"/>
      <c r="Y188" s="885"/>
    </row>
    <row r="189" spans="1:25" ht="50.1" customHeight="1" thickBot="1" x14ac:dyDescent="0.3">
      <c r="A189" s="872" t="s">
        <v>1458</v>
      </c>
      <c r="B189" s="6" t="s">
        <v>1459</v>
      </c>
      <c r="C189" s="5">
        <v>46279</v>
      </c>
      <c r="D189" s="6" t="s">
        <v>19</v>
      </c>
      <c r="E189" s="6" t="s">
        <v>39</v>
      </c>
      <c r="F189" s="7" t="s">
        <v>1460</v>
      </c>
      <c r="G189" s="6" t="s">
        <v>34</v>
      </c>
      <c r="H189" s="6">
        <v>114</v>
      </c>
      <c r="I189" s="6" t="s">
        <v>41</v>
      </c>
      <c r="J189" s="6" t="s">
        <v>42</v>
      </c>
      <c r="K189" s="8"/>
      <c r="L189" s="7" t="s">
        <v>489</v>
      </c>
      <c r="M189" s="6">
        <v>1203060</v>
      </c>
      <c r="N189" s="8"/>
      <c r="O189" s="8"/>
      <c r="P189" s="6">
        <v>14</v>
      </c>
      <c r="Q189" s="5">
        <v>46297</v>
      </c>
      <c r="R189" s="8"/>
      <c r="S189" s="8"/>
      <c r="T189" s="8"/>
      <c r="U189" s="8"/>
      <c r="V189" s="8"/>
      <c r="W189" s="562" t="s">
        <v>461</v>
      </c>
      <c r="X189" s="6"/>
      <c r="Y189" s="885"/>
    </row>
    <row r="190" spans="1:25" ht="50.1" customHeight="1" thickBot="1" x14ac:dyDescent="0.3">
      <c r="A190" s="872" t="s">
        <v>1461</v>
      </c>
      <c r="B190" s="6" t="s">
        <v>1462</v>
      </c>
      <c r="C190" s="5">
        <v>46279</v>
      </c>
      <c r="D190" s="6" t="s">
        <v>33</v>
      </c>
      <c r="E190" s="6" t="s">
        <v>61</v>
      </c>
      <c r="F190" s="7" t="s">
        <v>1463</v>
      </c>
      <c r="G190" s="6" t="s">
        <v>22</v>
      </c>
      <c r="H190" s="6">
        <v>316</v>
      </c>
      <c r="I190" s="6" t="s">
        <v>23</v>
      </c>
      <c r="J190" s="6" t="s">
        <v>173</v>
      </c>
      <c r="K190" s="8"/>
      <c r="L190" s="7" t="s">
        <v>1464</v>
      </c>
      <c r="M190" s="8"/>
      <c r="N190" s="8"/>
      <c r="O190" s="8"/>
      <c r="P190" s="6">
        <v>14</v>
      </c>
      <c r="Q190" s="5">
        <v>46297</v>
      </c>
      <c r="R190" s="8"/>
      <c r="S190" s="8"/>
      <c r="T190" s="8"/>
      <c r="U190" s="8"/>
      <c r="V190" s="8"/>
      <c r="W190" s="562" t="s">
        <v>461</v>
      </c>
      <c r="X190" s="6"/>
      <c r="Y190" s="885"/>
    </row>
    <row r="191" spans="1:25" ht="50.1" customHeight="1" thickBot="1" x14ac:dyDescent="0.3">
      <c r="A191" s="872" t="s">
        <v>1465</v>
      </c>
      <c r="B191" s="6" t="s">
        <v>1466</v>
      </c>
      <c r="C191" s="5">
        <v>46279</v>
      </c>
      <c r="D191" s="6" t="s">
        <v>28</v>
      </c>
      <c r="E191" s="6" t="s">
        <v>29</v>
      </c>
      <c r="F191" s="7" t="s">
        <v>1467</v>
      </c>
      <c r="G191" s="6" t="s">
        <v>30</v>
      </c>
      <c r="H191" s="6">
        <v>503</v>
      </c>
      <c r="I191" s="6" t="s">
        <v>31</v>
      </c>
      <c r="J191" s="6" t="s">
        <v>32</v>
      </c>
      <c r="K191" s="8"/>
      <c r="L191" s="7" t="s">
        <v>591</v>
      </c>
      <c r="M191" s="8"/>
      <c r="N191" s="8"/>
      <c r="O191" s="8"/>
      <c r="P191" s="6">
        <v>14</v>
      </c>
      <c r="Q191" s="5">
        <v>46297</v>
      </c>
      <c r="R191" s="8"/>
      <c r="S191" s="8"/>
      <c r="T191" s="8"/>
      <c r="U191" s="8"/>
      <c r="V191" s="8"/>
      <c r="W191" s="562" t="s">
        <v>461</v>
      </c>
      <c r="X191" s="6"/>
      <c r="Y191" s="885"/>
    </row>
    <row r="192" spans="1:25" ht="50.1" customHeight="1" thickBot="1" x14ac:dyDescent="0.3">
      <c r="A192" s="4" t="s">
        <v>1468</v>
      </c>
      <c r="B192" s="6" t="s">
        <v>1469</v>
      </c>
      <c r="C192" s="5">
        <v>46279</v>
      </c>
      <c r="D192" s="6" t="s">
        <v>28</v>
      </c>
      <c r="E192" s="6" t="s">
        <v>39</v>
      </c>
      <c r="F192" s="7" t="s">
        <v>1470</v>
      </c>
      <c r="G192" s="6" t="s">
        <v>30</v>
      </c>
      <c r="H192" s="6">
        <v>503</v>
      </c>
      <c r="I192" s="6" t="s">
        <v>31</v>
      </c>
      <c r="J192" s="6" t="s">
        <v>93</v>
      </c>
      <c r="K192" s="8"/>
      <c r="L192" s="7" t="s">
        <v>1471</v>
      </c>
      <c r="M192" s="8"/>
      <c r="N192" s="8"/>
      <c r="O192" s="8"/>
      <c r="P192" s="6">
        <v>14</v>
      </c>
      <c r="Q192" s="5">
        <v>46297</v>
      </c>
      <c r="R192" s="8"/>
      <c r="S192" s="8"/>
      <c r="T192" s="8"/>
      <c r="U192" s="8"/>
      <c r="V192" s="8"/>
      <c r="W192" s="562" t="s">
        <v>461</v>
      </c>
      <c r="X192" s="6"/>
      <c r="Y192" s="885"/>
    </row>
    <row r="193" spans="1:25" ht="50.1" customHeight="1" thickBot="1" x14ac:dyDescent="0.3">
      <c r="A193" s="872" t="s">
        <v>1472</v>
      </c>
      <c r="B193" s="6" t="s">
        <v>1473</v>
      </c>
      <c r="C193" s="5">
        <v>46279</v>
      </c>
      <c r="D193" s="6" t="s">
        <v>28</v>
      </c>
      <c r="E193" s="6" t="s">
        <v>29</v>
      </c>
      <c r="F193" s="7" t="s">
        <v>1474</v>
      </c>
      <c r="G193" s="6" t="s">
        <v>30</v>
      </c>
      <c r="H193" s="6">
        <v>503</v>
      </c>
      <c r="I193" s="6" t="s">
        <v>31</v>
      </c>
      <c r="J193" s="6" t="s">
        <v>32</v>
      </c>
      <c r="K193" s="8"/>
      <c r="L193" s="7" t="s">
        <v>547</v>
      </c>
      <c r="M193" s="8"/>
      <c r="N193" s="8"/>
      <c r="O193" s="8"/>
      <c r="P193" s="6">
        <v>14</v>
      </c>
      <c r="Q193" s="5">
        <v>46297</v>
      </c>
      <c r="R193" s="8"/>
      <c r="S193" s="8"/>
      <c r="T193" s="8"/>
      <c r="U193" s="8"/>
      <c r="V193" s="8"/>
      <c r="W193" s="562" t="s">
        <v>461</v>
      </c>
      <c r="X193" s="6"/>
      <c r="Y193" s="885"/>
    </row>
    <row r="194" spans="1:25" ht="50.1" customHeight="1" thickBot="1" x14ac:dyDescent="0.3">
      <c r="A194" s="13"/>
      <c r="B194" s="6" t="s">
        <v>1475</v>
      </c>
      <c r="C194" s="5">
        <v>46280</v>
      </c>
      <c r="D194" s="6" t="s">
        <v>28</v>
      </c>
      <c r="E194" s="6" t="s">
        <v>29</v>
      </c>
      <c r="F194" s="7" t="s">
        <v>1476</v>
      </c>
      <c r="G194" s="6" t="s">
        <v>34</v>
      </c>
      <c r="H194" s="6">
        <v>118</v>
      </c>
      <c r="I194" s="6" t="s">
        <v>492</v>
      </c>
      <c r="J194" s="6" t="s">
        <v>1477</v>
      </c>
      <c r="K194" s="8"/>
      <c r="L194" s="7" t="s">
        <v>613</v>
      </c>
      <c r="M194" s="8"/>
      <c r="N194" s="8"/>
      <c r="O194" s="8"/>
      <c r="P194" s="6">
        <v>14</v>
      </c>
      <c r="Q194" s="5">
        <v>46297</v>
      </c>
      <c r="R194" s="8"/>
      <c r="S194" s="8"/>
      <c r="T194" s="8"/>
      <c r="U194" s="8"/>
      <c r="V194" s="8"/>
      <c r="W194" s="562" t="s">
        <v>461</v>
      </c>
      <c r="X194" s="6"/>
      <c r="Y194" s="885"/>
    </row>
    <row r="195" spans="1:25" ht="50.1" customHeight="1" thickBot="1" x14ac:dyDescent="0.3">
      <c r="A195" s="872" t="s">
        <v>1478</v>
      </c>
      <c r="B195" s="6" t="s">
        <v>1479</v>
      </c>
      <c r="C195" s="5">
        <v>46280</v>
      </c>
      <c r="D195" s="6" t="s">
        <v>19</v>
      </c>
      <c r="E195" s="6" t="s">
        <v>460</v>
      </c>
      <c r="F195" s="7" t="s">
        <v>1480</v>
      </c>
      <c r="G195" s="6" t="s">
        <v>34</v>
      </c>
      <c r="H195" s="6">
        <v>127</v>
      </c>
      <c r="I195" s="6" t="s">
        <v>88</v>
      </c>
      <c r="J195" s="6" t="s">
        <v>71</v>
      </c>
      <c r="K195" s="8"/>
      <c r="L195" s="7" t="s">
        <v>1481</v>
      </c>
      <c r="M195" s="6">
        <v>1114740</v>
      </c>
      <c r="N195" s="8"/>
      <c r="O195" s="8"/>
      <c r="P195" s="6">
        <v>14</v>
      </c>
      <c r="Q195" s="5">
        <v>46300</v>
      </c>
      <c r="R195" s="8"/>
      <c r="S195" s="8"/>
      <c r="T195" s="8"/>
      <c r="U195" s="8"/>
      <c r="V195" s="8"/>
      <c r="W195" s="14" t="s">
        <v>83</v>
      </c>
      <c r="X195" s="6"/>
      <c r="Y195" s="885"/>
    </row>
    <row r="196" spans="1:25" ht="50.1" customHeight="1" thickBot="1" x14ac:dyDescent="0.3">
      <c r="A196" s="872" t="s">
        <v>1482</v>
      </c>
      <c r="B196" s="6" t="s">
        <v>1483</v>
      </c>
      <c r="C196" s="5">
        <v>46280</v>
      </c>
      <c r="D196" s="6" t="s">
        <v>19</v>
      </c>
      <c r="E196" s="6" t="s">
        <v>20</v>
      </c>
      <c r="F196" s="7" t="s">
        <v>1484</v>
      </c>
      <c r="G196" s="6" t="s">
        <v>22</v>
      </c>
      <c r="H196" s="6">
        <v>316</v>
      </c>
      <c r="I196" s="6" t="s">
        <v>23</v>
      </c>
      <c r="J196" s="6" t="s">
        <v>46</v>
      </c>
      <c r="K196" s="8"/>
      <c r="L196" s="7" t="s">
        <v>1485</v>
      </c>
      <c r="M196" s="8"/>
      <c r="N196" s="8"/>
      <c r="O196" s="8"/>
      <c r="P196" s="6">
        <v>14</v>
      </c>
      <c r="Q196" s="5">
        <v>46300</v>
      </c>
      <c r="R196" s="8"/>
      <c r="S196" s="8"/>
      <c r="T196" s="8"/>
      <c r="U196" s="8"/>
      <c r="V196" s="8"/>
      <c r="W196" s="14" t="s">
        <v>83</v>
      </c>
      <c r="X196" s="6"/>
      <c r="Y196" s="885"/>
    </row>
    <row r="197" spans="1:25" ht="50.1" customHeight="1" thickBot="1" x14ac:dyDescent="0.3">
      <c r="A197" s="872" t="s">
        <v>1486</v>
      </c>
      <c r="B197" s="6" t="s">
        <v>1487</v>
      </c>
      <c r="C197" s="5">
        <v>46280</v>
      </c>
      <c r="D197" s="6" t="s">
        <v>33</v>
      </c>
      <c r="E197" s="6" t="s">
        <v>29</v>
      </c>
      <c r="F197" s="7" t="s">
        <v>1488</v>
      </c>
      <c r="G197" s="6" t="s">
        <v>30</v>
      </c>
      <c r="H197" s="6">
        <v>502</v>
      </c>
      <c r="I197" s="6" t="s">
        <v>37</v>
      </c>
      <c r="J197" s="6" t="s">
        <v>38</v>
      </c>
      <c r="K197" s="8"/>
      <c r="L197" s="7" t="s">
        <v>1489</v>
      </c>
      <c r="M197" s="8"/>
      <c r="N197" s="8"/>
      <c r="O197" s="8"/>
      <c r="P197" s="6">
        <v>14</v>
      </c>
      <c r="Q197" s="5">
        <v>46300</v>
      </c>
      <c r="R197" s="8"/>
      <c r="S197" s="8"/>
      <c r="T197" s="8"/>
      <c r="U197" s="8"/>
      <c r="V197" s="8"/>
      <c r="W197" s="14" t="s">
        <v>83</v>
      </c>
      <c r="X197" s="6"/>
      <c r="Y197" s="885"/>
    </row>
    <row r="198" spans="1:25" ht="50.1" customHeight="1" thickBot="1" x14ac:dyDescent="0.3">
      <c r="A198" s="872" t="s">
        <v>1490</v>
      </c>
      <c r="B198" s="6" t="s">
        <v>1491</v>
      </c>
      <c r="C198" s="5">
        <v>46280</v>
      </c>
      <c r="D198" s="6" t="s">
        <v>19</v>
      </c>
      <c r="E198" s="6" t="s">
        <v>460</v>
      </c>
      <c r="F198" s="7" t="s">
        <v>1492</v>
      </c>
      <c r="G198" s="6" t="s">
        <v>22</v>
      </c>
      <c r="H198" s="6">
        <v>316</v>
      </c>
      <c r="I198" s="6" t="s">
        <v>23</v>
      </c>
      <c r="J198" s="6" t="s">
        <v>167</v>
      </c>
      <c r="K198" s="8"/>
      <c r="L198" s="7" t="s">
        <v>1493</v>
      </c>
      <c r="M198" s="8"/>
      <c r="N198" s="8"/>
      <c r="O198" s="8"/>
      <c r="P198" s="6">
        <v>14</v>
      </c>
      <c r="Q198" s="5">
        <v>46300</v>
      </c>
      <c r="R198" s="8"/>
      <c r="S198" s="8"/>
      <c r="T198" s="8"/>
      <c r="U198" s="8"/>
      <c r="V198" s="8"/>
      <c r="W198" s="14" t="s">
        <v>83</v>
      </c>
      <c r="X198" s="6"/>
      <c r="Y198" s="885"/>
    </row>
    <row r="199" spans="1:25" ht="50.1" customHeight="1" thickBot="1" x14ac:dyDescent="0.3">
      <c r="A199" s="872" t="s">
        <v>1494</v>
      </c>
      <c r="B199" s="6" t="s">
        <v>1495</v>
      </c>
      <c r="C199" s="5">
        <v>46280</v>
      </c>
      <c r="D199" s="6" t="s">
        <v>19</v>
      </c>
      <c r="E199" s="6" t="s">
        <v>460</v>
      </c>
      <c r="F199" s="7" t="s">
        <v>1496</v>
      </c>
      <c r="G199" s="6" t="s">
        <v>34</v>
      </c>
      <c r="H199" s="6">
        <v>127</v>
      </c>
      <c r="I199" s="6" t="s">
        <v>88</v>
      </c>
      <c r="J199" s="6" t="s">
        <v>71</v>
      </c>
      <c r="K199" s="8"/>
      <c r="L199" s="7" t="s">
        <v>1497</v>
      </c>
      <c r="M199" s="6">
        <v>1254711</v>
      </c>
      <c r="N199" s="8"/>
      <c r="O199" s="8"/>
      <c r="P199" s="6">
        <v>14</v>
      </c>
      <c r="Q199" s="5">
        <v>46300</v>
      </c>
      <c r="R199" s="8"/>
      <c r="S199" s="8"/>
      <c r="T199" s="8"/>
      <c r="U199" s="8"/>
      <c r="V199" s="8"/>
      <c r="W199" s="14" t="s">
        <v>83</v>
      </c>
      <c r="X199" s="6"/>
      <c r="Y199" s="885"/>
    </row>
    <row r="200" spans="1:25" ht="50.1" customHeight="1" thickBot="1" x14ac:dyDescent="0.3">
      <c r="A200" s="872" t="s">
        <v>1498</v>
      </c>
      <c r="B200" s="6" t="s">
        <v>1499</v>
      </c>
      <c r="C200" s="5">
        <v>46280</v>
      </c>
      <c r="D200" s="6" t="s">
        <v>19</v>
      </c>
      <c r="E200" s="6" t="s">
        <v>460</v>
      </c>
      <c r="F200" s="7" t="s">
        <v>1500</v>
      </c>
      <c r="G200" s="6" t="s">
        <v>34</v>
      </c>
      <c r="H200" s="6">
        <v>127</v>
      </c>
      <c r="I200" s="6" t="s">
        <v>88</v>
      </c>
      <c r="J200" s="6" t="s">
        <v>71</v>
      </c>
      <c r="K200" s="8"/>
      <c r="L200" s="7" t="s">
        <v>1501</v>
      </c>
      <c r="M200" s="8"/>
      <c r="N200" s="8"/>
      <c r="O200" s="8"/>
      <c r="P200" s="6">
        <v>14</v>
      </c>
      <c r="Q200" s="5">
        <v>46300</v>
      </c>
      <c r="R200" s="8"/>
      <c r="S200" s="8"/>
      <c r="T200" s="8"/>
      <c r="U200" s="8"/>
      <c r="V200" s="8"/>
      <c r="W200" s="14" t="s">
        <v>83</v>
      </c>
      <c r="X200" s="6"/>
      <c r="Y200" s="885"/>
    </row>
    <row r="201" spans="1:25" ht="50.1" customHeight="1" thickBot="1" x14ac:dyDescent="0.3">
      <c r="A201" s="872" t="s">
        <v>1502</v>
      </c>
      <c r="B201" s="6" t="s">
        <v>1503</v>
      </c>
      <c r="C201" s="5">
        <v>46280</v>
      </c>
      <c r="D201" s="6" t="s">
        <v>28</v>
      </c>
      <c r="E201" s="6" t="s">
        <v>20</v>
      </c>
      <c r="F201" s="7" t="s">
        <v>1504</v>
      </c>
      <c r="G201" s="6" t="s">
        <v>34</v>
      </c>
      <c r="H201" s="6">
        <v>113</v>
      </c>
      <c r="I201" s="6" t="s">
        <v>35</v>
      </c>
      <c r="J201" s="6" t="s">
        <v>36</v>
      </c>
      <c r="K201" s="8"/>
      <c r="L201" s="7" t="s">
        <v>1505</v>
      </c>
      <c r="M201" s="8"/>
      <c r="N201" s="8"/>
      <c r="O201" s="8"/>
      <c r="P201" s="6">
        <v>14</v>
      </c>
      <c r="Q201" s="5">
        <v>46300</v>
      </c>
      <c r="R201" s="8"/>
      <c r="S201" s="8"/>
      <c r="T201" s="8"/>
      <c r="U201" s="8"/>
      <c r="V201" s="8"/>
      <c r="W201" s="14" t="s">
        <v>83</v>
      </c>
      <c r="X201" s="6"/>
      <c r="Y201" s="885"/>
    </row>
    <row r="202" spans="1:25" ht="50.1" customHeight="1" thickBot="1" x14ac:dyDescent="0.3">
      <c r="A202" s="4" t="s">
        <v>1506</v>
      </c>
      <c r="B202" s="6" t="s">
        <v>1507</v>
      </c>
      <c r="C202" s="5">
        <v>46280</v>
      </c>
      <c r="D202" s="6" t="s">
        <v>33</v>
      </c>
      <c r="E202" s="6" t="s">
        <v>63</v>
      </c>
      <c r="F202" s="7" t="s">
        <v>1508</v>
      </c>
      <c r="G202" s="6" t="s">
        <v>34</v>
      </c>
      <c r="H202" s="6">
        <v>119</v>
      </c>
      <c r="I202" s="6" t="s">
        <v>51</v>
      </c>
      <c r="J202" s="6" t="s">
        <v>52</v>
      </c>
      <c r="K202" s="8"/>
      <c r="L202" s="7" t="s">
        <v>1509</v>
      </c>
      <c r="M202" s="8"/>
      <c r="N202" s="8"/>
      <c r="O202" s="8"/>
      <c r="P202" s="6">
        <v>14</v>
      </c>
      <c r="Q202" s="5">
        <v>46300</v>
      </c>
      <c r="R202" s="8"/>
      <c r="S202" s="8"/>
      <c r="T202" s="8"/>
      <c r="U202" s="8"/>
      <c r="V202" s="8"/>
      <c r="W202" s="14" t="s">
        <v>83</v>
      </c>
      <c r="X202" s="6"/>
      <c r="Y202" s="885"/>
    </row>
    <row r="203" spans="1:25" ht="50.1" customHeight="1" thickBot="1" x14ac:dyDescent="0.3">
      <c r="A203" s="4" t="s">
        <v>1510</v>
      </c>
      <c r="B203" s="6" t="s">
        <v>1511</v>
      </c>
      <c r="C203" s="5">
        <v>46280</v>
      </c>
      <c r="D203" s="6" t="s">
        <v>33</v>
      </c>
      <c r="E203" s="6" t="s">
        <v>63</v>
      </c>
      <c r="F203" s="7" t="s">
        <v>1512</v>
      </c>
      <c r="G203" s="6" t="s">
        <v>22</v>
      </c>
      <c r="H203" s="6">
        <v>316</v>
      </c>
      <c r="I203" s="6" t="s">
        <v>23</v>
      </c>
      <c r="J203" s="6" t="s">
        <v>62</v>
      </c>
      <c r="K203" s="8"/>
      <c r="L203" s="7" t="s">
        <v>1509</v>
      </c>
      <c r="M203" s="8"/>
      <c r="N203" s="8"/>
      <c r="O203" s="8"/>
      <c r="P203" s="6">
        <v>14</v>
      </c>
      <c r="Q203" s="5">
        <v>46300</v>
      </c>
      <c r="R203" s="8"/>
      <c r="S203" s="8"/>
      <c r="T203" s="8"/>
      <c r="U203" s="8"/>
      <c r="V203" s="8"/>
      <c r="W203" s="14" t="s">
        <v>83</v>
      </c>
      <c r="X203" s="6"/>
      <c r="Y203" s="885"/>
    </row>
    <row r="204" spans="1:25" ht="50.1" customHeight="1" thickBot="1" x14ac:dyDescent="0.3">
      <c r="A204" s="872" t="s">
        <v>1513</v>
      </c>
      <c r="B204" s="6" t="s">
        <v>1514</v>
      </c>
      <c r="C204" s="5">
        <v>46280</v>
      </c>
      <c r="D204" s="6" t="s">
        <v>19</v>
      </c>
      <c r="E204" s="6" t="s">
        <v>20</v>
      </c>
      <c r="F204" s="7" t="s">
        <v>1515</v>
      </c>
      <c r="G204" s="6" t="s">
        <v>22</v>
      </c>
      <c r="H204" s="6">
        <v>316</v>
      </c>
      <c r="I204" s="6" t="s">
        <v>23</v>
      </c>
      <c r="J204" s="6" t="s">
        <v>24</v>
      </c>
      <c r="K204" s="8"/>
      <c r="L204" s="7" t="s">
        <v>1516</v>
      </c>
      <c r="M204" s="8"/>
      <c r="N204" s="8"/>
      <c r="O204" s="8"/>
      <c r="P204" s="6">
        <v>14</v>
      </c>
      <c r="Q204" s="5">
        <v>46300</v>
      </c>
      <c r="R204" s="8"/>
      <c r="S204" s="8"/>
      <c r="T204" s="8"/>
      <c r="U204" s="8"/>
      <c r="V204" s="8"/>
      <c r="W204" s="14" t="s">
        <v>83</v>
      </c>
      <c r="X204" s="6"/>
      <c r="Y204" s="885"/>
    </row>
    <row r="205" spans="1:25" ht="50.1" customHeight="1" thickBot="1" x14ac:dyDescent="0.3">
      <c r="A205" s="872" t="s">
        <v>1517</v>
      </c>
      <c r="B205" s="6" t="s">
        <v>1518</v>
      </c>
      <c r="C205" s="5">
        <v>46280</v>
      </c>
      <c r="D205" s="6" t="s">
        <v>28</v>
      </c>
      <c r="E205" s="6" t="s">
        <v>29</v>
      </c>
      <c r="F205" s="7" t="s">
        <v>1519</v>
      </c>
      <c r="G205" s="6" t="s">
        <v>30</v>
      </c>
      <c r="H205" s="6">
        <v>503</v>
      </c>
      <c r="I205" s="6" t="s">
        <v>31</v>
      </c>
      <c r="J205" s="6" t="s">
        <v>32</v>
      </c>
      <c r="K205" s="8"/>
      <c r="L205" s="7" t="s">
        <v>1520</v>
      </c>
      <c r="M205" s="8"/>
      <c r="N205" s="8"/>
      <c r="O205" s="6" t="s">
        <v>1521</v>
      </c>
      <c r="P205" s="6">
        <v>14</v>
      </c>
      <c r="Q205" s="5">
        <v>46300</v>
      </c>
      <c r="R205" s="8"/>
      <c r="S205" s="8"/>
      <c r="T205" s="8"/>
      <c r="U205" s="8"/>
      <c r="V205" s="8"/>
      <c r="W205" s="14" t="s">
        <v>83</v>
      </c>
      <c r="X205" s="6"/>
      <c r="Y205" s="885"/>
    </row>
    <row r="206" spans="1:25" ht="50.1" customHeight="1" thickBot="1" x14ac:dyDescent="0.3">
      <c r="A206" s="13"/>
      <c r="B206" s="6" t="s">
        <v>1522</v>
      </c>
      <c r="C206" s="5">
        <v>46280</v>
      </c>
      <c r="D206" s="6" t="s">
        <v>33</v>
      </c>
      <c r="E206" s="6" t="s">
        <v>20</v>
      </c>
      <c r="F206" s="7" t="s">
        <v>1504</v>
      </c>
      <c r="G206" s="6" t="s">
        <v>34</v>
      </c>
      <c r="H206" s="6">
        <v>113</v>
      </c>
      <c r="I206" s="6" t="s">
        <v>35</v>
      </c>
      <c r="J206" s="6" t="s">
        <v>36</v>
      </c>
      <c r="K206" s="8"/>
      <c r="L206" s="7" t="s">
        <v>1505</v>
      </c>
      <c r="M206" s="8"/>
      <c r="N206" s="8"/>
      <c r="O206" s="8"/>
      <c r="P206" s="6">
        <v>14</v>
      </c>
      <c r="Q206" s="5">
        <v>46300</v>
      </c>
      <c r="R206" s="8"/>
      <c r="S206" s="8"/>
      <c r="T206" s="8"/>
      <c r="U206" s="8"/>
      <c r="V206" s="8"/>
      <c r="W206" s="14" t="s">
        <v>83</v>
      </c>
      <c r="X206" s="6"/>
      <c r="Y206" s="885"/>
    </row>
    <row r="207" spans="1:25" ht="50.1" customHeight="1" thickBot="1" x14ac:dyDescent="0.3">
      <c r="A207" s="872" t="s">
        <v>1523</v>
      </c>
      <c r="B207" s="6" t="s">
        <v>1524</v>
      </c>
      <c r="C207" s="5">
        <v>46280</v>
      </c>
      <c r="D207" s="6" t="s">
        <v>19</v>
      </c>
      <c r="E207" s="6" t="s">
        <v>460</v>
      </c>
      <c r="F207" s="7" t="s">
        <v>1525</v>
      </c>
      <c r="G207" s="6" t="s">
        <v>34</v>
      </c>
      <c r="H207" s="6">
        <v>127</v>
      </c>
      <c r="I207" s="6" t="s">
        <v>88</v>
      </c>
      <c r="J207" s="6" t="s">
        <v>71</v>
      </c>
      <c r="K207" s="8"/>
      <c r="L207" s="7" t="s">
        <v>1526</v>
      </c>
      <c r="M207" s="8"/>
      <c r="N207" s="8"/>
      <c r="O207" s="8"/>
      <c r="P207" s="6">
        <v>14</v>
      </c>
      <c r="Q207" s="5">
        <v>46300</v>
      </c>
      <c r="R207" s="8"/>
      <c r="S207" s="8"/>
      <c r="T207" s="8"/>
      <c r="U207" s="8"/>
      <c r="V207" s="8"/>
      <c r="W207" s="14" t="s">
        <v>83</v>
      </c>
      <c r="X207" s="6"/>
      <c r="Y207" s="885"/>
    </row>
    <row r="208" spans="1:25" ht="50.1" customHeight="1" thickBot="1" x14ac:dyDescent="0.3">
      <c r="A208" s="872" t="s">
        <v>1527</v>
      </c>
      <c r="B208" s="6" t="s">
        <v>1528</v>
      </c>
      <c r="C208" s="5">
        <v>46280</v>
      </c>
      <c r="D208" s="6" t="s">
        <v>19</v>
      </c>
      <c r="E208" s="6" t="s">
        <v>39</v>
      </c>
      <c r="F208" s="7" t="s">
        <v>40</v>
      </c>
      <c r="G208" s="6" t="s">
        <v>34</v>
      </c>
      <c r="H208" s="6">
        <v>114</v>
      </c>
      <c r="I208" s="6" t="s">
        <v>41</v>
      </c>
      <c r="J208" s="6" t="s">
        <v>42</v>
      </c>
      <c r="K208" s="8"/>
      <c r="L208" s="7" t="s">
        <v>1529</v>
      </c>
      <c r="M208" s="6">
        <v>1207840</v>
      </c>
      <c r="N208" s="8"/>
      <c r="O208" s="8"/>
      <c r="P208" s="6">
        <v>14</v>
      </c>
      <c r="Q208" s="5">
        <v>46300</v>
      </c>
      <c r="R208" s="8"/>
      <c r="S208" s="8"/>
      <c r="T208" s="8"/>
      <c r="U208" s="8"/>
      <c r="V208" s="8"/>
      <c r="W208" s="14" t="s">
        <v>83</v>
      </c>
      <c r="X208" s="6"/>
      <c r="Y208" s="885"/>
    </row>
    <row r="209" spans="1:25" ht="50.1" customHeight="1" thickBot="1" x14ac:dyDescent="0.3">
      <c r="A209" s="872" t="s">
        <v>1530</v>
      </c>
      <c r="B209" s="6" t="s">
        <v>1531</v>
      </c>
      <c r="C209" s="5">
        <v>46280</v>
      </c>
      <c r="D209" s="6" t="s">
        <v>19</v>
      </c>
      <c r="E209" s="6" t="s">
        <v>20</v>
      </c>
      <c r="F209" s="7" t="s">
        <v>1532</v>
      </c>
      <c r="G209" s="6" t="s">
        <v>22</v>
      </c>
      <c r="H209" s="6">
        <v>316</v>
      </c>
      <c r="I209" s="6" t="s">
        <v>23</v>
      </c>
      <c r="J209" s="12" t="s">
        <v>173</v>
      </c>
      <c r="K209" s="8"/>
      <c r="L209" s="7" t="s">
        <v>648</v>
      </c>
      <c r="M209" s="8"/>
      <c r="N209" s="8"/>
      <c r="O209" s="8"/>
      <c r="P209" s="6">
        <v>14</v>
      </c>
      <c r="Q209" s="5">
        <v>46300</v>
      </c>
      <c r="R209" s="8"/>
      <c r="S209" s="8"/>
      <c r="T209" s="8"/>
      <c r="U209" s="8"/>
      <c r="V209" s="8"/>
      <c r="W209" s="14" t="s">
        <v>83</v>
      </c>
      <c r="X209" s="6"/>
      <c r="Y209" s="885"/>
    </row>
    <row r="210" spans="1:25" ht="50.1" customHeight="1" thickBot="1" x14ac:dyDescent="0.3">
      <c r="A210" s="872" t="s">
        <v>1533</v>
      </c>
      <c r="B210" s="6" t="s">
        <v>1534</v>
      </c>
      <c r="C210" s="5">
        <v>46280</v>
      </c>
      <c r="D210" s="6" t="s">
        <v>19</v>
      </c>
      <c r="E210" s="6" t="s">
        <v>20</v>
      </c>
      <c r="F210" s="7" t="s">
        <v>581</v>
      </c>
      <c r="G210" s="6" t="s">
        <v>22</v>
      </c>
      <c r="H210" s="6">
        <v>316</v>
      </c>
      <c r="I210" s="6" t="s">
        <v>23</v>
      </c>
      <c r="J210" s="6" t="s">
        <v>46</v>
      </c>
      <c r="K210" s="8"/>
      <c r="L210" s="7" t="s">
        <v>1535</v>
      </c>
      <c r="M210" s="8"/>
      <c r="N210" s="8"/>
      <c r="O210" s="8"/>
      <c r="P210" s="6">
        <v>14</v>
      </c>
      <c r="Q210" s="5">
        <v>46300</v>
      </c>
      <c r="R210" s="8"/>
      <c r="S210" s="8"/>
      <c r="T210" s="8"/>
      <c r="U210" s="8"/>
      <c r="V210" s="8"/>
      <c r="W210" s="14" t="s">
        <v>83</v>
      </c>
      <c r="X210" s="6"/>
      <c r="Y210" s="885"/>
    </row>
    <row r="211" spans="1:25" ht="50.1" customHeight="1" thickBot="1" x14ac:dyDescent="0.3">
      <c r="A211" s="872" t="s">
        <v>1536</v>
      </c>
      <c r="B211" s="6" t="s">
        <v>1537</v>
      </c>
      <c r="C211" s="5">
        <v>46280</v>
      </c>
      <c r="D211" s="6" t="s">
        <v>19</v>
      </c>
      <c r="E211" s="6" t="s">
        <v>460</v>
      </c>
      <c r="F211" s="7" t="s">
        <v>1538</v>
      </c>
      <c r="G211" s="6" t="s">
        <v>34</v>
      </c>
      <c r="H211" s="6">
        <v>127</v>
      </c>
      <c r="I211" s="6" t="s">
        <v>88</v>
      </c>
      <c r="J211" s="6" t="s">
        <v>71</v>
      </c>
      <c r="K211" s="8"/>
      <c r="L211" s="7" t="s">
        <v>1539</v>
      </c>
      <c r="M211" s="8"/>
      <c r="N211" s="8"/>
      <c r="O211" s="8"/>
      <c r="P211" s="6">
        <v>14</v>
      </c>
      <c r="Q211" s="5">
        <v>46300</v>
      </c>
      <c r="R211" s="8"/>
      <c r="S211" s="8"/>
      <c r="T211" s="8"/>
      <c r="U211" s="8"/>
      <c r="V211" s="8"/>
      <c r="W211" s="14" t="s">
        <v>83</v>
      </c>
      <c r="X211" s="6"/>
      <c r="Y211" s="885"/>
    </row>
    <row r="212" spans="1:25" ht="50.1" customHeight="1" thickBot="1" x14ac:dyDescent="0.3">
      <c r="A212" s="872" t="s">
        <v>1540</v>
      </c>
      <c r="B212" s="6" t="s">
        <v>1541</v>
      </c>
      <c r="C212" s="5">
        <v>46280</v>
      </c>
      <c r="D212" s="6" t="s">
        <v>19</v>
      </c>
      <c r="E212" s="6" t="s">
        <v>39</v>
      </c>
      <c r="F212" s="7" t="s">
        <v>58</v>
      </c>
      <c r="G212" s="6" t="s">
        <v>34</v>
      </c>
      <c r="H212" s="6">
        <v>114</v>
      </c>
      <c r="I212" s="6" t="s">
        <v>41</v>
      </c>
      <c r="J212" s="6" t="s">
        <v>42</v>
      </c>
      <c r="K212" s="8"/>
      <c r="L212" s="7" t="s">
        <v>1542</v>
      </c>
      <c r="M212" s="6">
        <v>1202640</v>
      </c>
      <c r="N212" s="8"/>
      <c r="O212" s="8"/>
      <c r="P212" s="6">
        <v>14</v>
      </c>
      <c r="Q212" s="5">
        <v>46300</v>
      </c>
      <c r="R212" s="8"/>
      <c r="S212" s="8"/>
      <c r="T212" s="8"/>
      <c r="U212" s="8"/>
      <c r="V212" s="8"/>
      <c r="W212" s="14" t="s">
        <v>83</v>
      </c>
      <c r="X212" s="6"/>
      <c r="Y212" s="885"/>
    </row>
    <row r="213" spans="1:25" ht="50.1" customHeight="1" thickBot="1" x14ac:dyDescent="0.3">
      <c r="A213" s="4" t="s">
        <v>1543</v>
      </c>
      <c r="B213" s="6" t="s">
        <v>1544</v>
      </c>
      <c r="C213" s="5">
        <v>46280</v>
      </c>
      <c r="D213" s="6" t="s">
        <v>103</v>
      </c>
      <c r="E213" s="6" t="s">
        <v>39</v>
      </c>
      <c r="F213" s="7" t="s">
        <v>462</v>
      </c>
      <c r="G213" s="6" t="s">
        <v>30</v>
      </c>
      <c r="H213" s="6">
        <v>503</v>
      </c>
      <c r="I213" s="6" t="s">
        <v>31</v>
      </c>
      <c r="J213" s="6" t="s">
        <v>93</v>
      </c>
      <c r="K213" s="8"/>
      <c r="L213" s="7" t="s">
        <v>1545</v>
      </c>
      <c r="M213" s="8"/>
      <c r="N213" s="8"/>
      <c r="O213" s="8"/>
      <c r="P213" s="6">
        <v>14</v>
      </c>
      <c r="Q213" s="5">
        <v>46300</v>
      </c>
      <c r="R213" s="8"/>
      <c r="S213" s="8"/>
      <c r="T213" s="8"/>
      <c r="U213" s="8"/>
      <c r="V213" s="8"/>
      <c r="W213" s="14" t="s">
        <v>83</v>
      </c>
      <c r="X213" s="6"/>
      <c r="Y213" s="885"/>
    </row>
    <row r="214" spans="1:25" ht="50.1" customHeight="1" thickBot="1" x14ac:dyDescent="0.3">
      <c r="A214" s="4" t="s">
        <v>1546</v>
      </c>
      <c r="B214" s="6" t="s">
        <v>1547</v>
      </c>
      <c r="C214" s="5">
        <v>46280</v>
      </c>
      <c r="D214" s="6" t="s">
        <v>28</v>
      </c>
      <c r="E214" s="6" t="s">
        <v>39</v>
      </c>
      <c r="F214" s="7" t="s">
        <v>1548</v>
      </c>
      <c r="G214" s="6" t="s">
        <v>30</v>
      </c>
      <c r="H214" s="6">
        <v>503</v>
      </c>
      <c r="I214" s="6" t="s">
        <v>31</v>
      </c>
      <c r="J214" s="6" t="s">
        <v>93</v>
      </c>
      <c r="K214" s="8"/>
      <c r="L214" s="7" t="s">
        <v>407</v>
      </c>
      <c r="M214" s="8"/>
      <c r="N214" s="8"/>
      <c r="O214" s="8"/>
      <c r="P214" s="6">
        <v>14</v>
      </c>
      <c r="Q214" s="5">
        <v>46300</v>
      </c>
      <c r="R214" s="8"/>
      <c r="S214" s="8"/>
      <c r="T214" s="8"/>
      <c r="U214" s="8"/>
      <c r="V214" s="8"/>
      <c r="W214" s="14" t="s">
        <v>83</v>
      </c>
      <c r="X214" s="6"/>
      <c r="Y214" s="885"/>
    </row>
    <row r="215" spans="1:25" ht="50.1" customHeight="1" thickBot="1" x14ac:dyDescent="0.3">
      <c r="A215" s="872" t="s">
        <v>1549</v>
      </c>
      <c r="B215" s="6" t="s">
        <v>1550</v>
      </c>
      <c r="C215" s="5">
        <v>46280</v>
      </c>
      <c r="D215" s="6" t="s">
        <v>19</v>
      </c>
      <c r="E215" s="6" t="s">
        <v>460</v>
      </c>
      <c r="F215" s="7" t="s">
        <v>1496</v>
      </c>
      <c r="G215" s="6" t="s">
        <v>34</v>
      </c>
      <c r="H215" s="6">
        <v>127</v>
      </c>
      <c r="I215" s="6" t="s">
        <v>88</v>
      </c>
      <c r="J215" s="6" t="s">
        <v>71</v>
      </c>
      <c r="K215" s="8"/>
      <c r="L215" s="7" t="s">
        <v>549</v>
      </c>
      <c r="M215" s="6">
        <v>1116360</v>
      </c>
      <c r="N215" s="8"/>
      <c r="O215" s="8"/>
      <c r="P215" s="6">
        <v>14</v>
      </c>
      <c r="Q215" s="5">
        <v>46300</v>
      </c>
      <c r="R215" s="8"/>
      <c r="S215" s="8"/>
      <c r="T215" s="8"/>
      <c r="U215" s="8"/>
      <c r="V215" s="8"/>
      <c r="W215" s="14" t="s">
        <v>83</v>
      </c>
      <c r="X215" s="6"/>
      <c r="Y215" s="885"/>
    </row>
    <row r="216" spans="1:25" ht="50.1" customHeight="1" thickBot="1" x14ac:dyDescent="0.3">
      <c r="A216" s="872" t="s">
        <v>1551</v>
      </c>
      <c r="B216" s="6" t="s">
        <v>1552</v>
      </c>
      <c r="C216" s="5">
        <v>46280</v>
      </c>
      <c r="D216" s="6" t="s">
        <v>19</v>
      </c>
      <c r="E216" s="6" t="s">
        <v>39</v>
      </c>
      <c r="F216" s="7" t="s">
        <v>40</v>
      </c>
      <c r="G216" s="6" t="s">
        <v>34</v>
      </c>
      <c r="H216" s="6">
        <v>114</v>
      </c>
      <c r="I216" s="6" t="s">
        <v>41</v>
      </c>
      <c r="J216" s="6" t="s">
        <v>42</v>
      </c>
      <c r="K216" s="8"/>
      <c r="L216" s="7" t="s">
        <v>1553</v>
      </c>
      <c r="M216" s="8"/>
      <c r="N216" s="8"/>
      <c r="O216" s="8"/>
      <c r="P216" s="6">
        <v>14</v>
      </c>
      <c r="Q216" s="5">
        <v>46300</v>
      </c>
      <c r="R216" s="8"/>
      <c r="S216" s="8"/>
      <c r="T216" s="8"/>
      <c r="U216" s="8"/>
      <c r="V216" s="8"/>
      <c r="W216" s="14" t="s">
        <v>83</v>
      </c>
      <c r="X216" s="6"/>
      <c r="Y216" s="885"/>
    </row>
    <row r="217" spans="1:25" ht="50.1" customHeight="1" thickBot="1" x14ac:dyDescent="0.3">
      <c r="A217" s="872" t="s">
        <v>1554</v>
      </c>
      <c r="B217" s="6" t="s">
        <v>1555</v>
      </c>
      <c r="C217" s="5">
        <v>46280</v>
      </c>
      <c r="D217" s="6" t="s">
        <v>33</v>
      </c>
      <c r="E217" s="6" t="s">
        <v>20</v>
      </c>
      <c r="F217" s="7" t="s">
        <v>1556</v>
      </c>
      <c r="G217" s="6" t="s">
        <v>34</v>
      </c>
      <c r="H217" s="6">
        <v>102</v>
      </c>
      <c r="I217" s="6" t="s">
        <v>70</v>
      </c>
      <c r="J217" s="6" t="s">
        <v>71</v>
      </c>
      <c r="K217" s="8"/>
      <c r="L217" s="7" t="s">
        <v>540</v>
      </c>
      <c r="M217" s="8"/>
      <c r="N217" s="8"/>
      <c r="O217" s="8"/>
      <c r="P217" s="6">
        <v>14</v>
      </c>
      <c r="Q217" s="5">
        <v>46300</v>
      </c>
      <c r="R217" s="8"/>
      <c r="S217" s="8"/>
      <c r="T217" s="8"/>
      <c r="U217" s="8"/>
      <c r="V217" s="8"/>
      <c r="W217" s="14" t="s">
        <v>83</v>
      </c>
      <c r="X217" s="6"/>
      <c r="Y217" s="885"/>
    </row>
    <row r="218" spans="1:25" ht="50.1" customHeight="1" thickBot="1" x14ac:dyDescent="0.3">
      <c r="A218" s="872" t="s">
        <v>1557</v>
      </c>
      <c r="B218" s="6" t="s">
        <v>1558</v>
      </c>
      <c r="C218" s="5">
        <v>46280</v>
      </c>
      <c r="D218" s="6" t="s">
        <v>33</v>
      </c>
      <c r="E218" s="6" t="s">
        <v>29</v>
      </c>
      <c r="F218" s="7" t="s">
        <v>1559</v>
      </c>
      <c r="G218" s="6" t="s">
        <v>34</v>
      </c>
      <c r="H218" s="6">
        <v>118</v>
      </c>
      <c r="I218" s="6" t="s">
        <v>492</v>
      </c>
      <c r="J218" s="6" t="s">
        <v>493</v>
      </c>
      <c r="K218" s="8"/>
      <c r="L218" s="7" t="s">
        <v>1560</v>
      </c>
      <c r="M218" s="8"/>
      <c r="N218" s="8"/>
      <c r="O218" s="8"/>
      <c r="P218" s="6">
        <v>14</v>
      </c>
      <c r="Q218" s="5">
        <v>46300</v>
      </c>
      <c r="R218" s="8"/>
      <c r="S218" s="8"/>
      <c r="T218" s="8"/>
      <c r="U218" s="8"/>
      <c r="V218" s="8"/>
      <c r="W218" s="14" t="s">
        <v>83</v>
      </c>
      <c r="X218" s="6"/>
      <c r="Y218" s="885"/>
    </row>
    <row r="219" spans="1:25" ht="50.1" customHeight="1" thickBot="1" x14ac:dyDescent="0.3">
      <c r="A219" s="4" t="s">
        <v>1561</v>
      </c>
      <c r="B219" s="6" t="s">
        <v>1562</v>
      </c>
      <c r="C219" s="5">
        <v>46280</v>
      </c>
      <c r="D219" s="6" t="s">
        <v>33</v>
      </c>
      <c r="E219" s="6" t="s">
        <v>39</v>
      </c>
      <c r="F219" s="7" t="s">
        <v>1563</v>
      </c>
      <c r="G219" s="6" t="s">
        <v>30</v>
      </c>
      <c r="H219" s="6">
        <v>503</v>
      </c>
      <c r="I219" s="6" t="s">
        <v>31</v>
      </c>
      <c r="J219" s="6" t="s">
        <v>512</v>
      </c>
      <c r="K219" s="8"/>
      <c r="L219" s="7" t="s">
        <v>1564</v>
      </c>
      <c r="M219" s="8"/>
      <c r="N219" s="8"/>
      <c r="O219" s="8"/>
      <c r="P219" s="6">
        <v>14</v>
      </c>
      <c r="Q219" s="5">
        <v>46300</v>
      </c>
      <c r="R219" s="8"/>
      <c r="S219" s="8"/>
      <c r="T219" s="8"/>
      <c r="U219" s="8"/>
      <c r="V219" s="8"/>
      <c r="W219" s="14" t="s">
        <v>83</v>
      </c>
      <c r="X219" s="6"/>
      <c r="Y219" s="885"/>
    </row>
    <row r="220" spans="1:25" ht="50.1" customHeight="1" thickBot="1" x14ac:dyDescent="0.3">
      <c r="A220" s="872" t="s">
        <v>1565</v>
      </c>
      <c r="B220" s="6" t="s">
        <v>1566</v>
      </c>
      <c r="C220" s="5">
        <v>46280</v>
      </c>
      <c r="D220" s="6" t="s">
        <v>28</v>
      </c>
      <c r="E220" s="6" t="s">
        <v>20</v>
      </c>
      <c r="F220" s="7" t="s">
        <v>1567</v>
      </c>
      <c r="G220" s="6" t="s">
        <v>22</v>
      </c>
      <c r="H220" s="6">
        <v>304</v>
      </c>
      <c r="I220" s="6" t="s">
        <v>43</v>
      </c>
      <c r="J220" s="12" t="s">
        <v>44</v>
      </c>
      <c r="K220" s="8"/>
      <c r="L220" s="7" t="s">
        <v>627</v>
      </c>
      <c r="M220" s="8"/>
      <c r="N220" s="8"/>
      <c r="O220" s="6" t="s">
        <v>776</v>
      </c>
      <c r="P220" s="6">
        <v>14</v>
      </c>
      <c r="Q220" s="5">
        <v>46300</v>
      </c>
      <c r="R220" s="8"/>
      <c r="S220" s="8"/>
      <c r="T220" s="8"/>
      <c r="U220" s="8"/>
      <c r="V220" s="8"/>
      <c r="W220" s="14" t="s">
        <v>83</v>
      </c>
      <c r="X220" s="6"/>
      <c r="Y220" s="885"/>
    </row>
    <row r="221" spans="1:25" ht="50.1" customHeight="1" thickBot="1" x14ac:dyDescent="0.3">
      <c r="A221" s="4" t="s">
        <v>1568</v>
      </c>
      <c r="B221" s="6" t="s">
        <v>1569</v>
      </c>
      <c r="C221" s="5">
        <v>46281</v>
      </c>
      <c r="D221" s="6" t="s">
        <v>28</v>
      </c>
      <c r="E221" s="6" t="s">
        <v>460</v>
      </c>
      <c r="F221" s="7" t="s">
        <v>1570</v>
      </c>
      <c r="G221" s="6" t="s">
        <v>30</v>
      </c>
      <c r="H221" s="6">
        <v>503</v>
      </c>
      <c r="I221" s="6" t="s">
        <v>31</v>
      </c>
      <c r="J221" s="6" t="s">
        <v>81</v>
      </c>
      <c r="K221" s="6" t="s">
        <v>25</v>
      </c>
      <c r="L221" s="147" t="s">
        <v>490</v>
      </c>
      <c r="M221" s="8"/>
      <c r="N221" s="8"/>
      <c r="O221" s="8"/>
      <c r="P221" s="6">
        <v>14</v>
      </c>
      <c r="Q221" s="5">
        <v>46300</v>
      </c>
      <c r="R221" s="6" t="s">
        <v>26</v>
      </c>
      <c r="S221" s="6" t="s">
        <v>26</v>
      </c>
      <c r="T221" s="6" t="s">
        <v>26</v>
      </c>
      <c r="U221" s="5">
        <v>46283</v>
      </c>
      <c r="V221" s="6" t="s">
        <v>1571</v>
      </c>
      <c r="W221" s="9" t="s">
        <v>27</v>
      </c>
      <c r="X221" s="6" t="s">
        <v>1572</v>
      </c>
      <c r="Y221" s="885"/>
    </row>
    <row r="222" spans="1:25" ht="50.1" customHeight="1" thickBot="1" x14ac:dyDescent="0.3">
      <c r="A222" s="872" t="s">
        <v>1573</v>
      </c>
      <c r="B222" s="6" t="s">
        <v>1574</v>
      </c>
      <c r="C222" s="5">
        <v>46281</v>
      </c>
      <c r="D222" s="6" t="s">
        <v>19</v>
      </c>
      <c r="E222" s="6" t="s">
        <v>39</v>
      </c>
      <c r="F222" s="7" t="s">
        <v>40</v>
      </c>
      <c r="G222" s="6" t="s">
        <v>34</v>
      </c>
      <c r="H222" s="6">
        <v>114</v>
      </c>
      <c r="I222" s="6" t="s">
        <v>41</v>
      </c>
      <c r="J222" s="6" t="s">
        <v>42</v>
      </c>
      <c r="K222" s="8"/>
      <c r="L222" s="7" t="s">
        <v>1575</v>
      </c>
      <c r="M222" s="8"/>
      <c r="N222" s="8"/>
      <c r="O222" s="8"/>
      <c r="P222" s="6">
        <v>14</v>
      </c>
      <c r="Q222" s="5">
        <v>46301</v>
      </c>
      <c r="R222" s="8"/>
      <c r="S222" s="8"/>
      <c r="T222" s="8"/>
      <c r="U222" s="8"/>
      <c r="V222" s="8"/>
      <c r="W222" s="15" t="s">
        <v>89</v>
      </c>
      <c r="X222" s="6"/>
      <c r="Y222" s="885"/>
    </row>
    <row r="223" spans="1:25" ht="50.1" customHeight="1" thickBot="1" x14ac:dyDescent="0.3">
      <c r="A223" s="872" t="s">
        <v>1576</v>
      </c>
      <c r="B223" s="6" t="s">
        <v>1577</v>
      </c>
      <c r="C223" s="5">
        <v>46281</v>
      </c>
      <c r="D223" s="6" t="s">
        <v>19</v>
      </c>
      <c r="E223" s="6" t="s">
        <v>468</v>
      </c>
      <c r="F223" s="7" t="s">
        <v>92</v>
      </c>
      <c r="G223" s="6" t="s">
        <v>34</v>
      </c>
      <c r="H223" s="6">
        <v>106</v>
      </c>
      <c r="I223" s="6" t="s">
        <v>112</v>
      </c>
      <c r="J223" s="6" t="s">
        <v>53</v>
      </c>
      <c r="K223" s="8"/>
      <c r="L223" s="7" t="s">
        <v>1578</v>
      </c>
      <c r="M223" s="6">
        <v>6025572</v>
      </c>
      <c r="N223" s="8"/>
      <c r="O223" s="8"/>
      <c r="P223" s="6">
        <v>14</v>
      </c>
      <c r="Q223" s="5">
        <v>46301</v>
      </c>
      <c r="R223" s="8"/>
      <c r="S223" s="8"/>
      <c r="T223" s="8"/>
      <c r="U223" s="8"/>
      <c r="V223" s="8"/>
      <c r="W223" s="15" t="s">
        <v>89</v>
      </c>
      <c r="X223" s="6"/>
      <c r="Y223" s="885"/>
    </row>
    <row r="224" spans="1:25" ht="50.1" customHeight="1" thickBot="1" x14ac:dyDescent="0.3">
      <c r="A224" s="872" t="s">
        <v>1579</v>
      </c>
      <c r="B224" s="6" t="s">
        <v>1580</v>
      </c>
      <c r="C224" s="5">
        <v>46281</v>
      </c>
      <c r="D224" s="6" t="s">
        <v>28</v>
      </c>
      <c r="E224" s="6" t="s">
        <v>29</v>
      </c>
      <c r="F224" s="7" t="s">
        <v>1581</v>
      </c>
      <c r="G224" s="6" t="s">
        <v>30</v>
      </c>
      <c r="H224" s="6">
        <v>503</v>
      </c>
      <c r="I224" s="6" t="s">
        <v>31</v>
      </c>
      <c r="J224" s="6" t="s">
        <v>1582</v>
      </c>
      <c r="K224" s="8"/>
      <c r="L224" s="7" t="s">
        <v>1309</v>
      </c>
      <c r="M224" s="8"/>
      <c r="N224" s="8"/>
      <c r="O224" s="8"/>
      <c r="P224" s="6">
        <v>14</v>
      </c>
      <c r="Q224" s="5">
        <v>46301</v>
      </c>
      <c r="R224" s="8"/>
      <c r="S224" s="8"/>
      <c r="T224" s="8"/>
      <c r="U224" s="8"/>
      <c r="V224" s="8"/>
      <c r="W224" s="15" t="s">
        <v>89</v>
      </c>
      <c r="X224" s="6"/>
      <c r="Y224" s="885"/>
    </row>
    <row r="225" spans="1:25" ht="50.1" customHeight="1" thickBot="1" x14ac:dyDescent="0.3">
      <c r="A225" s="872" t="s">
        <v>1583</v>
      </c>
      <c r="B225" s="6" t="s">
        <v>1584</v>
      </c>
      <c r="C225" s="5">
        <v>46281</v>
      </c>
      <c r="D225" s="6" t="s">
        <v>28</v>
      </c>
      <c r="E225" s="6" t="s">
        <v>29</v>
      </c>
      <c r="F225" s="7" t="s">
        <v>1585</v>
      </c>
      <c r="G225" s="6" t="s">
        <v>34</v>
      </c>
      <c r="H225" s="6">
        <v>113</v>
      </c>
      <c r="I225" s="6" t="s">
        <v>35</v>
      </c>
      <c r="J225" s="6" t="s">
        <v>36</v>
      </c>
      <c r="K225" s="8"/>
      <c r="L225" s="7" t="s">
        <v>1586</v>
      </c>
      <c r="M225" s="8"/>
      <c r="N225" s="8"/>
      <c r="O225" s="8"/>
      <c r="P225" s="6">
        <v>14</v>
      </c>
      <c r="Q225" s="5">
        <v>46301</v>
      </c>
      <c r="R225" s="8"/>
      <c r="S225" s="8"/>
      <c r="T225" s="8"/>
      <c r="U225" s="8"/>
      <c r="V225" s="8"/>
      <c r="W225" s="15" t="s">
        <v>89</v>
      </c>
      <c r="X225" s="6"/>
      <c r="Y225" s="885"/>
    </row>
    <row r="226" spans="1:25" ht="50.1" customHeight="1" thickBot="1" x14ac:dyDescent="0.3">
      <c r="A226" s="872" t="s">
        <v>1587</v>
      </c>
      <c r="B226" s="6" t="s">
        <v>1588</v>
      </c>
      <c r="C226" s="5">
        <v>46281</v>
      </c>
      <c r="D226" s="6" t="s">
        <v>33</v>
      </c>
      <c r="E226" s="6" t="s">
        <v>20</v>
      </c>
      <c r="F226" s="7" t="s">
        <v>1589</v>
      </c>
      <c r="G226" s="6" t="s">
        <v>22</v>
      </c>
      <c r="H226" s="6">
        <v>304</v>
      </c>
      <c r="I226" s="6" t="s">
        <v>43</v>
      </c>
      <c r="J226" s="6" t="s">
        <v>44</v>
      </c>
      <c r="K226" s="8"/>
      <c r="L226" s="7" t="s">
        <v>1590</v>
      </c>
      <c r="M226" s="8"/>
      <c r="N226" s="8"/>
      <c r="O226" s="8"/>
      <c r="P226" s="6">
        <v>14</v>
      </c>
      <c r="Q226" s="5">
        <v>46301</v>
      </c>
      <c r="R226" s="8"/>
      <c r="S226" s="8"/>
      <c r="T226" s="8"/>
      <c r="U226" s="8"/>
      <c r="V226" s="8"/>
      <c r="W226" s="15" t="s">
        <v>89</v>
      </c>
      <c r="X226" s="6"/>
      <c r="Y226" s="885"/>
    </row>
    <row r="227" spans="1:25" ht="50.1" customHeight="1" thickBot="1" x14ac:dyDescent="0.3">
      <c r="A227" s="872" t="s">
        <v>1591</v>
      </c>
      <c r="B227" s="6" t="s">
        <v>1592</v>
      </c>
      <c r="C227" s="5">
        <v>46281</v>
      </c>
      <c r="D227" s="6" t="s">
        <v>33</v>
      </c>
      <c r="E227" s="6" t="s">
        <v>29</v>
      </c>
      <c r="F227" s="7" t="s">
        <v>1593</v>
      </c>
      <c r="G227" s="6" t="s">
        <v>34</v>
      </c>
      <c r="H227" s="6">
        <v>106</v>
      </c>
      <c r="I227" s="6" t="s">
        <v>112</v>
      </c>
      <c r="J227" s="6" t="s">
        <v>53</v>
      </c>
      <c r="K227" s="8"/>
      <c r="L227" s="7" t="s">
        <v>1594</v>
      </c>
      <c r="M227" s="8"/>
      <c r="N227" s="8"/>
      <c r="O227" s="8"/>
      <c r="P227" s="6">
        <v>14</v>
      </c>
      <c r="Q227" s="5">
        <v>46301</v>
      </c>
      <c r="R227" s="8"/>
      <c r="S227" s="8"/>
      <c r="T227" s="8"/>
      <c r="U227" s="8"/>
      <c r="V227" s="8"/>
      <c r="W227" s="15" t="s">
        <v>89</v>
      </c>
      <c r="X227" s="6"/>
      <c r="Y227" s="885"/>
    </row>
    <row r="228" spans="1:25" ht="50.1" customHeight="1" thickBot="1" x14ac:dyDescent="0.3">
      <c r="A228" s="872" t="s">
        <v>1595</v>
      </c>
      <c r="B228" s="6" t="s">
        <v>1596</v>
      </c>
      <c r="C228" s="5">
        <v>46281</v>
      </c>
      <c r="D228" s="6" t="s">
        <v>28</v>
      </c>
      <c r="E228" s="6" t="s">
        <v>29</v>
      </c>
      <c r="F228" s="7" t="s">
        <v>1597</v>
      </c>
      <c r="G228" s="6" t="s">
        <v>34</v>
      </c>
      <c r="H228" s="6">
        <v>106</v>
      </c>
      <c r="I228" s="6" t="s">
        <v>112</v>
      </c>
      <c r="J228" s="6" t="s">
        <v>53</v>
      </c>
      <c r="K228" s="8"/>
      <c r="L228" s="7" t="s">
        <v>1598</v>
      </c>
      <c r="M228" s="8"/>
      <c r="N228" s="8"/>
      <c r="O228" s="8"/>
      <c r="P228" s="6">
        <v>14</v>
      </c>
      <c r="Q228" s="5">
        <v>46301</v>
      </c>
      <c r="R228" s="8"/>
      <c r="S228" s="8"/>
      <c r="T228" s="8"/>
      <c r="U228" s="8"/>
      <c r="V228" s="8"/>
      <c r="W228" s="15" t="s">
        <v>89</v>
      </c>
      <c r="X228" s="6"/>
      <c r="Y228" s="885"/>
    </row>
    <row r="229" spans="1:25" ht="50.1" customHeight="1" thickBot="1" x14ac:dyDescent="0.3">
      <c r="A229" s="4" t="s">
        <v>1599</v>
      </c>
      <c r="B229" s="6" t="s">
        <v>1600</v>
      </c>
      <c r="C229" s="5">
        <v>46281</v>
      </c>
      <c r="D229" s="6" t="s">
        <v>28</v>
      </c>
      <c r="E229" s="6" t="s">
        <v>84</v>
      </c>
      <c r="F229" s="7" t="s">
        <v>1601</v>
      </c>
      <c r="G229" s="6" t="s">
        <v>30</v>
      </c>
      <c r="H229" s="6">
        <v>503</v>
      </c>
      <c r="I229" s="6" t="s">
        <v>31</v>
      </c>
      <c r="J229" s="6" t="s">
        <v>59</v>
      </c>
      <c r="K229" s="8"/>
      <c r="L229" s="7" t="s">
        <v>1602</v>
      </c>
      <c r="M229" s="8"/>
      <c r="N229" s="8"/>
      <c r="O229" s="8"/>
      <c r="P229" s="6">
        <v>14</v>
      </c>
      <c r="Q229" s="5">
        <v>46301</v>
      </c>
      <c r="R229" s="6" t="s">
        <v>26</v>
      </c>
      <c r="S229" s="6" t="s">
        <v>26</v>
      </c>
      <c r="T229" s="6" t="s">
        <v>26</v>
      </c>
      <c r="U229" s="5">
        <v>46283</v>
      </c>
      <c r="V229" s="6" t="s">
        <v>1603</v>
      </c>
      <c r="W229" s="9" t="s">
        <v>27</v>
      </c>
      <c r="X229" s="10" t="s">
        <v>25</v>
      </c>
      <c r="Y229" s="885"/>
    </row>
    <row r="230" spans="1:25" ht="50.1" customHeight="1" thickBot="1" x14ac:dyDescent="0.3">
      <c r="A230" s="4" t="s">
        <v>1604</v>
      </c>
      <c r="B230" s="6" t="s">
        <v>1605</v>
      </c>
      <c r="C230" s="5">
        <v>46281</v>
      </c>
      <c r="D230" s="6" t="s">
        <v>33</v>
      </c>
      <c r="E230" s="6" t="s">
        <v>29</v>
      </c>
      <c r="F230" s="7" t="s">
        <v>1606</v>
      </c>
      <c r="G230" s="6" t="s">
        <v>30</v>
      </c>
      <c r="H230" s="6">
        <v>502</v>
      </c>
      <c r="I230" s="6" t="s">
        <v>37</v>
      </c>
      <c r="J230" s="6" t="s">
        <v>38</v>
      </c>
      <c r="K230" s="8"/>
      <c r="L230" s="7" t="s">
        <v>1607</v>
      </c>
      <c r="M230" s="8"/>
      <c r="N230" s="8"/>
      <c r="O230" s="8"/>
      <c r="P230" s="6">
        <v>14</v>
      </c>
      <c r="Q230" s="5">
        <v>46301</v>
      </c>
      <c r="R230" s="8"/>
      <c r="S230" s="8"/>
      <c r="T230" s="8"/>
      <c r="U230" s="8"/>
      <c r="V230" s="8"/>
      <c r="W230" s="15" t="s">
        <v>89</v>
      </c>
      <c r="X230" s="6"/>
      <c r="Y230" s="885"/>
    </row>
    <row r="231" spans="1:25" ht="50.1" customHeight="1" thickBot="1" x14ac:dyDescent="0.3">
      <c r="A231" s="872" t="s">
        <v>1608</v>
      </c>
      <c r="B231" s="6" t="s">
        <v>1609</v>
      </c>
      <c r="C231" s="5">
        <v>46281</v>
      </c>
      <c r="D231" s="6" t="s">
        <v>33</v>
      </c>
      <c r="E231" s="6" t="s">
        <v>39</v>
      </c>
      <c r="F231" s="7" t="s">
        <v>1610</v>
      </c>
      <c r="G231" s="6" t="s">
        <v>34</v>
      </c>
      <c r="H231" s="6">
        <v>114</v>
      </c>
      <c r="I231" s="6" t="s">
        <v>41</v>
      </c>
      <c r="J231" s="6" t="s">
        <v>42</v>
      </c>
      <c r="K231" s="8"/>
      <c r="L231" s="7" t="s">
        <v>1611</v>
      </c>
      <c r="M231" s="8"/>
      <c r="N231" s="8"/>
      <c r="O231" s="8"/>
      <c r="P231" s="6">
        <v>14</v>
      </c>
      <c r="Q231" s="5">
        <v>46301</v>
      </c>
      <c r="R231" s="8"/>
      <c r="S231" s="8"/>
      <c r="T231" s="8"/>
      <c r="U231" s="8"/>
      <c r="V231" s="8"/>
      <c r="W231" s="15" t="s">
        <v>89</v>
      </c>
      <c r="X231" s="6"/>
      <c r="Y231" s="885"/>
    </row>
    <row r="232" spans="1:25" ht="50.1" customHeight="1" thickBot="1" x14ac:dyDescent="0.3">
      <c r="A232" s="872" t="s">
        <v>1612</v>
      </c>
      <c r="B232" s="6" t="s">
        <v>1613</v>
      </c>
      <c r="C232" s="5">
        <v>46281</v>
      </c>
      <c r="D232" s="6" t="s">
        <v>19</v>
      </c>
      <c r="E232" s="6" t="s">
        <v>460</v>
      </c>
      <c r="F232" s="7" t="s">
        <v>1614</v>
      </c>
      <c r="G232" s="6" t="s">
        <v>22</v>
      </c>
      <c r="H232" s="6">
        <v>316</v>
      </c>
      <c r="I232" s="6" t="s">
        <v>23</v>
      </c>
      <c r="J232" s="6" t="s">
        <v>56</v>
      </c>
      <c r="K232" s="8"/>
      <c r="L232" s="7" t="s">
        <v>909</v>
      </c>
      <c r="M232" s="8"/>
      <c r="N232" s="8"/>
      <c r="O232" s="8"/>
      <c r="P232" s="6">
        <v>14</v>
      </c>
      <c r="Q232" s="5">
        <v>46301</v>
      </c>
      <c r="R232" s="8"/>
      <c r="S232" s="8"/>
      <c r="T232" s="8"/>
      <c r="U232" s="8"/>
      <c r="V232" s="8"/>
      <c r="W232" s="15" t="s">
        <v>89</v>
      </c>
      <c r="X232" s="6"/>
      <c r="Y232" s="885"/>
    </row>
    <row r="233" spans="1:25" ht="50.1" customHeight="1" thickBot="1" x14ac:dyDescent="0.3">
      <c r="A233" s="872" t="s">
        <v>1615</v>
      </c>
      <c r="B233" s="6" t="s">
        <v>1616</v>
      </c>
      <c r="C233" s="5">
        <v>46281</v>
      </c>
      <c r="D233" s="6" t="s">
        <v>19</v>
      </c>
      <c r="E233" s="6" t="s">
        <v>29</v>
      </c>
      <c r="F233" s="7" t="s">
        <v>92</v>
      </c>
      <c r="G233" s="6" t="s">
        <v>34</v>
      </c>
      <c r="H233" s="6">
        <v>106</v>
      </c>
      <c r="I233" s="6" t="s">
        <v>112</v>
      </c>
      <c r="J233" s="6" t="s">
        <v>53</v>
      </c>
      <c r="K233" s="8"/>
      <c r="L233" s="7" t="s">
        <v>1617</v>
      </c>
      <c r="M233" s="8"/>
      <c r="N233" s="8"/>
      <c r="O233" s="8"/>
      <c r="P233" s="6">
        <v>14</v>
      </c>
      <c r="Q233" s="5">
        <v>46301</v>
      </c>
      <c r="R233" s="8"/>
      <c r="S233" s="8"/>
      <c r="T233" s="8"/>
      <c r="U233" s="8"/>
      <c r="V233" s="8"/>
      <c r="W233" s="15" t="s">
        <v>89</v>
      </c>
      <c r="X233" s="6"/>
      <c r="Y233" s="885"/>
    </row>
    <row r="234" spans="1:25" ht="50.1" customHeight="1" thickBot="1" x14ac:dyDescent="0.3">
      <c r="A234" s="872" t="s">
        <v>1618</v>
      </c>
      <c r="B234" s="6" t="s">
        <v>1619</v>
      </c>
      <c r="C234" s="5">
        <v>46281</v>
      </c>
      <c r="D234" s="6" t="s">
        <v>19</v>
      </c>
      <c r="E234" s="6" t="s">
        <v>29</v>
      </c>
      <c r="F234" s="7" t="s">
        <v>92</v>
      </c>
      <c r="G234" s="6" t="s">
        <v>34</v>
      </c>
      <c r="H234" s="6">
        <v>106</v>
      </c>
      <c r="I234" s="6" t="s">
        <v>112</v>
      </c>
      <c r="J234" s="6" t="s">
        <v>53</v>
      </c>
      <c r="K234" s="8"/>
      <c r="L234" s="7" t="s">
        <v>1620</v>
      </c>
      <c r="M234" s="6">
        <v>1084000</v>
      </c>
      <c r="N234" s="8"/>
      <c r="O234" s="8"/>
      <c r="P234" s="6">
        <v>14</v>
      </c>
      <c r="Q234" s="5">
        <v>46301</v>
      </c>
      <c r="R234" s="8"/>
      <c r="S234" s="8"/>
      <c r="T234" s="8"/>
      <c r="U234" s="8"/>
      <c r="V234" s="8"/>
      <c r="W234" s="15" t="s">
        <v>89</v>
      </c>
      <c r="X234" s="6"/>
      <c r="Y234" s="885"/>
    </row>
    <row r="235" spans="1:25" ht="50.1" customHeight="1" thickBot="1" x14ac:dyDescent="0.3">
      <c r="A235" s="872" t="s">
        <v>1621</v>
      </c>
      <c r="B235" s="6" t="s">
        <v>1622</v>
      </c>
      <c r="C235" s="5">
        <v>46281</v>
      </c>
      <c r="D235" s="6" t="s">
        <v>19</v>
      </c>
      <c r="E235" s="6" t="s">
        <v>39</v>
      </c>
      <c r="F235" s="7" t="s">
        <v>553</v>
      </c>
      <c r="G235" s="6" t="s">
        <v>34</v>
      </c>
      <c r="H235" s="6">
        <v>114</v>
      </c>
      <c r="I235" s="6" t="s">
        <v>41</v>
      </c>
      <c r="J235" s="6" t="s">
        <v>42</v>
      </c>
      <c r="K235" s="8"/>
      <c r="L235" s="7" t="s">
        <v>1623</v>
      </c>
      <c r="M235" s="8"/>
      <c r="N235" s="8"/>
      <c r="O235" s="8"/>
      <c r="P235" s="6">
        <v>14</v>
      </c>
      <c r="Q235" s="5">
        <v>46301</v>
      </c>
      <c r="R235" s="8"/>
      <c r="S235" s="8"/>
      <c r="T235" s="8"/>
      <c r="U235" s="8"/>
      <c r="V235" s="8"/>
      <c r="W235" s="15" t="s">
        <v>89</v>
      </c>
      <c r="X235" s="6"/>
      <c r="Y235" s="885"/>
    </row>
    <row r="236" spans="1:25" ht="50.1" customHeight="1" thickBot="1" x14ac:dyDescent="0.3">
      <c r="A236" s="872" t="s">
        <v>1624</v>
      </c>
      <c r="B236" s="6" t="s">
        <v>1625</v>
      </c>
      <c r="C236" s="5">
        <v>46281</v>
      </c>
      <c r="D236" s="6" t="s">
        <v>19</v>
      </c>
      <c r="E236" s="6" t="s">
        <v>20</v>
      </c>
      <c r="F236" s="7" t="s">
        <v>380</v>
      </c>
      <c r="G236" s="6" t="s">
        <v>22</v>
      </c>
      <c r="H236" s="6">
        <v>316</v>
      </c>
      <c r="I236" s="6" t="s">
        <v>23</v>
      </c>
      <c r="J236" s="12" t="s">
        <v>24</v>
      </c>
      <c r="K236" s="8"/>
      <c r="L236" s="7" t="s">
        <v>1626</v>
      </c>
      <c r="M236" s="6">
        <v>1024020</v>
      </c>
      <c r="N236" s="8"/>
      <c r="O236" s="8"/>
      <c r="P236" s="6">
        <v>14</v>
      </c>
      <c r="Q236" s="5">
        <v>46301</v>
      </c>
      <c r="R236" s="8"/>
      <c r="S236" s="8"/>
      <c r="T236" s="8"/>
      <c r="U236" s="8"/>
      <c r="V236" s="8"/>
      <c r="W236" s="15" t="s">
        <v>89</v>
      </c>
      <c r="X236" s="6"/>
      <c r="Y236" s="885"/>
    </row>
    <row r="237" spans="1:25" ht="50.1" customHeight="1" thickBot="1" x14ac:dyDescent="0.3">
      <c r="A237" s="4" t="s">
        <v>1627</v>
      </c>
      <c r="B237" s="6" t="s">
        <v>1628</v>
      </c>
      <c r="C237" s="5">
        <v>46281</v>
      </c>
      <c r="D237" s="6" t="s">
        <v>33</v>
      </c>
      <c r="E237" s="6" t="s">
        <v>29</v>
      </c>
      <c r="F237" s="7" t="s">
        <v>1629</v>
      </c>
      <c r="G237" s="6" t="s">
        <v>30</v>
      </c>
      <c r="H237" s="6">
        <v>502</v>
      </c>
      <c r="I237" s="6" t="s">
        <v>37</v>
      </c>
      <c r="J237" s="6" t="s">
        <v>38</v>
      </c>
      <c r="K237" s="8"/>
      <c r="L237" s="7" t="s">
        <v>1630</v>
      </c>
      <c r="M237" s="8"/>
      <c r="N237" s="8"/>
      <c r="O237" s="8"/>
      <c r="P237" s="6">
        <v>14</v>
      </c>
      <c r="Q237" s="5">
        <v>46301</v>
      </c>
      <c r="R237" s="8"/>
      <c r="S237" s="8"/>
      <c r="T237" s="8"/>
      <c r="U237" s="8"/>
      <c r="V237" s="8"/>
      <c r="W237" s="15" t="s">
        <v>89</v>
      </c>
      <c r="X237" s="6"/>
      <c r="Y237" s="885"/>
    </row>
    <row r="238" spans="1:25" ht="50.1" customHeight="1" thickBot="1" x14ac:dyDescent="0.3">
      <c r="A238" s="872" t="s">
        <v>1631</v>
      </c>
      <c r="B238" s="6" t="s">
        <v>1632</v>
      </c>
      <c r="C238" s="5">
        <v>46281</v>
      </c>
      <c r="D238" s="6" t="s">
        <v>33</v>
      </c>
      <c r="E238" s="6" t="s">
        <v>460</v>
      </c>
      <c r="F238" s="7" t="s">
        <v>1633</v>
      </c>
      <c r="G238" s="6" t="s">
        <v>34</v>
      </c>
      <c r="H238" s="6">
        <v>113</v>
      </c>
      <c r="I238" s="6" t="s">
        <v>35</v>
      </c>
      <c r="J238" s="6" t="s">
        <v>36</v>
      </c>
      <c r="K238" s="8"/>
      <c r="L238" s="7" t="s">
        <v>623</v>
      </c>
      <c r="M238" s="8"/>
      <c r="N238" s="8"/>
      <c r="O238" s="8"/>
      <c r="P238" s="6">
        <v>14</v>
      </c>
      <c r="Q238" s="5">
        <v>46301</v>
      </c>
      <c r="R238" s="8"/>
      <c r="S238" s="8"/>
      <c r="T238" s="8"/>
      <c r="U238" s="8"/>
      <c r="V238" s="8"/>
      <c r="W238" s="15" t="s">
        <v>89</v>
      </c>
      <c r="X238" s="6"/>
      <c r="Y238" s="885"/>
    </row>
    <row r="239" spans="1:25" ht="50.1" customHeight="1" thickBot="1" x14ac:dyDescent="0.3">
      <c r="A239" s="872" t="s">
        <v>1634</v>
      </c>
      <c r="B239" s="6" t="s">
        <v>1635</v>
      </c>
      <c r="C239" s="5">
        <v>46281</v>
      </c>
      <c r="D239" s="6" t="s">
        <v>19</v>
      </c>
      <c r="E239" s="6" t="s">
        <v>460</v>
      </c>
      <c r="F239" s="7" t="s">
        <v>1636</v>
      </c>
      <c r="G239" s="6" t="s">
        <v>34</v>
      </c>
      <c r="H239" s="6">
        <v>127</v>
      </c>
      <c r="I239" s="6" t="s">
        <v>88</v>
      </c>
      <c r="J239" s="6" t="s">
        <v>71</v>
      </c>
      <c r="K239" s="8"/>
      <c r="L239" s="7" t="s">
        <v>1637</v>
      </c>
      <c r="M239" s="8"/>
      <c r="N239" s="8"/>
      <c r="O239" s="8"/>
      <c r="P239" s="6">
        <v>14</v>
      </c>
      <c r="Q239" s="5">
        <v>46301</v>
      </c>
      <c r="R239" s="8"/>
      <c r="S239" s="8"/>
      <c r="T239" s="8"/>
      <c r="U239" s="8"/>
      <c r="V239" s="8"/>
      <c r="W239" s="15" t="s">
        <v>89</v>
      </c>
      <c r="X239" s="6"/>
      <c r="Y239" s="885"/>
    </row>
    <row r="240" spans="1:25" ht="50.1" customHeight="1" thickBot="1" x14ac:dyDescent="0.3">
      <c r="A240" s="872" t="s">
        <v>1638</v>
      </c>
      <c r="B240" s="6" t="s">
        <v>1639</v>
      </c>
      <c r="C240" s="5">
        <v>46281</v>
      </c>
      <c r="D240" s="6" t="s">
        <v>19</v>
      </c>
      <c r="E240" s="6" t="s">
        <v>20</v>
      </c>
      <c r="F240" s="7" t="s">
        <v>1640</v>
      </c>
      <c r="G240" s="6" t="s">
        <v>22</v>
      </c>
      <c r="H240" s="6">
        <v>316</v>
      </c>
      <c r="I240" s="6" t="s">
        <v>23</v>
      </c>
      <c r="J240" s="12" t="s">
        <v>24</v>
      </c>
      <c r="K240" s="8"/>
      <c r="L240" s="7" t="s">
        <v>1641</v>
      </c>
      <c r="M240" s="6">
        <v>1238178</v>
      </c>
      <c r="N240" s="8"/>
      <c r="O240" s="8"/>
      <c r="P240" s="6">
        <v>14</v>
      </c>
      <c r="Q240" s="5">
        <v>46301</v>
      </c>
      <c r="R240" s="8"/>
      <c r="S240" s="8"/>
      <c r="T240" s="8"/>
      <c r="U240" s="8"/>
      <c r="V240" s="8"/>
      <c r="W240" s="15" t="s">
        <v>89</v>
      </c>
      <c r="X240" s="6"/>
      <c r="Y240" s="885"/>
    </row>
    <row r="241" spans="1:25" ht="50.1" customHeight="1" thickBot="1" x14ac:dyDescent="0.3">
      <c r="A241" s="4" t="s">
        <v>1642</v>
      </c>
      <c r="B241" s="6" t="s">
        <v>1643</v>
      </c>
      <c r="C241" s="5">
        <v>46281</v>
      </c>
      <c r="D241" s="6" t="s">
        <v>28</v>
      </c>
      <c r="E241" s="6" t="s">
        <v>39</v>
      </c>
      <c r="F241" s="7" t="s">
        <v>1644</v>
      </c>
      <c r="G241" s="6" t="s">
        <v>22</v>
      </c>
      <c r="H241" s="6">
        <v>311</v>
      </c>
      <c r="I241" s="6" t="s">
        <v>64</v>
      </c>
      <c r="J241" s="6" t="s">
        <v>473</v>
      </c>
      <c r="K241" s="8"/>
      <c r="L241" s="7" t="s">
        <v>1645</v>
      </c>
      <c r="M241" s="8"/>
      <c r="N241" s="8"/>
      <c r="O241" s="8"/>
      <c r="P241" s="6">
        <v>14</v>
      </c>
      <c r="Q241" s="5">
        <v>46301</v>
      </c>
      <c r="R241" s="8"/>
      <c r="S241" s="8"/>
      <c r="T241" s="8"/>
      <c r="U241" s="8"/>
      <c r="V241" s="8"/>
      <c r="W241" s="15" t="s">
        <v>89</v>
      </c>
      <c r="X241" s="6"/>
      <c r="Y241" s="885"/>
    </row>
    <row r="242" spans="1:25" ht="50.1" customHeight="1" thickBot="1" x14ac:dyDescent="0.3">
      <c r="A242" s="4" t="s">
        <v>1646</v>
      </c>
      <c r="B242" s="6" t="s">
        <v>1647</v>
      </c>
      <c r="C242" s="5">
        <v>46282</v>
      </c>
      <c r="D242" s="6" t="s">
        <v>28</v>
      </c>
      <c r="E242" s="6" t="s">
        <v>39</v>
      </c>
      <c r="F242" s="7" t="s">
        <v>1648</v>
      </c>
      <c r="G242" s="6" t="s">
        <v>34</v>
      </c>
      <c r="H242" s="6">
        <v>114</v>
      </c>
      <c r="I242" s="6" t="s">
        <v>41</v>
      </c>
      <c r="J242" s="6" t="s">
        <v>42</v>
      </c>
      <c r="K242" s="8"/>
      <c r="L242" s="7" t="s">
        <v>1649</v>
      </c>
      <c r="M242" s="8"/>
      <c r="N242" s="8"/>
      <c r="O242" s="8"/>
      <c r="P242" s="6">
        <v>14</v>
      </c>
      <c r="Q242" s="5">
        <v>46301</v>
      </c>
      <c r="R242" s="8"/>
      <c r="S242" s="8"/>
      <c r="T242" s="8"/>
      <c r="U242" s="8"/>
      <c r="V242" s="8"/>
      <c r="W242" s="15" t="s">
        <v>89</v>
      </c>
      <c r="X242" s="6"/>
      <c r="Y242" s="885"/>
    </row>
    <row r="243" spans="1:25" ht="50.1" customHeight="1" thickBot="1" x14ac:dyDescent="0.3">
      <c r="A243" s="4" t="s">
        <v>1650</v>
      </c>
      <c r="B243" s="6" t="s">
        <v>1651</v>
      </c>
      <c r="C243" s="5">
        <v>46282</v>
      </c>
      <c r="D243" s="6" t="s">
        <v>19</v>
      </c>
      <c r="E243" s="6" t="s">
        <v>39</v>
      </c>
      <c r="F243" s="7" t="s">
        <v>1652</v>
      </c>
      <c r="G243" s="6" t="s">
        <v>34</v>
      </c>
      <c r="H243" s="6">
        <v>114</v>
      </c>
      <c r="I243" s="6" t="s">
        <v>41</v>
      </c>
      <c r="J243" s="6" t="s">
        <v>42</v>
      </c>
      <c r="K243" s="8"/>
      <c r="L243" s="7" t="s">
        <v>497</v>
      </c>
      <c r="M243" s="8"/>
      <c r="N243" s="8"/>
      <c r="O243" s="8"/>
      <c r="P243" s="6">
        <v>14</v>
      </c>
      <c r="Q243" s="5">
        <v>46302</v>
      </c>
      <c r="R243" s="8"/>
      <c r="S243" s="8"/>
      <c r="T243" s="8"/>
      <c r="U243" s="8"/>
      <c r="V243" s="8"/>
      <c r="W243" s="15" t="s">
        <v>89</v>
      </c>
      <c r="X243" s="6"/>
      <c r="Y243" s="885"/>
    </row>
    <row r="244" spans="1:25" ht="50.1" customHeight="1" thickBot="1" x14ac:dyDescent="0.3">
      <c r="A244" s="4" t="s">
        <v>1653</v>
      </c>
      <c r="B244" s="6" t="s">
        <v>1654</v>
      </c>
      <c r="C244" s="5">
        <v>46282</v>
      </c>
      <c r="D244" s="6" t="s">
        <v>19</v>
      </c>
      <c r="E244" s="6" t="s">
        <v>39</v>
      </c>
      <c r="F244" s="7" t="s">
        <v>1655</v>
      </c>
      <c r="G244" s="6" t="s">
        <v>34</v>
      </c>
      <c r="H244" s="6">
        <v>114</v>
      </c>
      <c r="I244" s="6" t="s">
        <v>41</v>
      </c>
      <c r="J244" s="6" t="s">
        <v>42</v>
      </c>
      <c r="K244" s="8"/>
      <c r="L244" s="7" t="s">
        <v>1656</v>
      </c>
      <c r="M244" s="8"/>
      <c r="N244" s="8"/>
      <c r="O244" s="8"/>
      <c r="P244" s="6">
        <v>14</v>
      </c>
      <c r="Q244" s="5">
        <v>46302</v>
      </c>
      <c r="R244" s="8"/>
      <c r="S244" s="8"/>
      <c r="T244" s="8"/>
      <c r="U244" s="8"/>
      <c r="V244" s="8"/>
      <c r="W244" s="15" t="s">
        <v>89</v>
      </c>
      <c r="X244" s="6"/>
      <c r="Y244" s="885"/>
    </row>
    <row r="245" spans="1:25" ht="50.1" customHeight="1" thickBot="1" x14ac:dyDescent="0.3">
      <c r="A245" s="4" t="s">
        <v>1657</v>
      </c>
      <c r="B245" s="6" t="s">
        <v>1658</v>
      </c>
      <c r="C245" s="5">
        <v>46282</v>
      </c>
      <c r="D245" s="6" t="s">
        <v>103</v>
      </c>
      <c r="E245" s="6" t="s">
        <v>39</v>
      </c>
      <c r="F245" s="7" t="s">
        <v>1659</v>
      </c>
      <c r="G245" s="6" t="s">
        <v>30</v>
      </c>
      <c r="H245" s="6">
        <v>503</v>
      </c>
      <c r="I245" s="6" t="s">
        <v>31</v>
      </c>
      <c r="J245" s="6" t="s">
        <v>93</v>
      </c>
      <c r="K245" s="8"/>
      <c r="L245" s="7" t="s">
        <v>1660</v>
      </c>
      <c r="M245" s="8"/>
      <c r="N245" s="8"/>
      <c r="O245" s="8"/>
      <c r="P245" s="6">
        <v>14</v>
      </c>
      <c r="Q245" s="5">
        <v>46302</v>
      </c>
      <c r="R245" s="8"/>
      <c r="S245" s="8"/>
      <c r="T245" s="8"/>
      <c r="U245" s="8"/>
      <c r="V245" s="8"/>
      <c r="W245" s="15" t="s">
        <v>89</v>
      </c>
      <c r="X245" s="6"/>
      <c r="Y245" s="885"/>
    </row>
    <row r="246" spans="1:25" ht="50.1" customHeight="1" thickBot="1" x14ac:dyDescent="0.3">
      <c r="A246" s="4" t="s">
        <v>1661</v>
      </c>
      <c r="B246" s="6" t="s">
        <v>1662</v>
      </c>
      <c r="C246" s="5">
        <v>46282</v>
      </c>
      <c r="D246" s="6" t="s">
        <v>19</v>
      </c>
      <c r="E246" s="6" t="s">
        <v>460</v>
      </c>
      <c r="F246" s="7" t="s">
        <v>1663</v>
      </c>
      <c r="G246" s="6" t="s">
        <v>22</v>
      </c>
      <c r="H246" s="6">
        <v>316</v>
      </c>
      <c r="I246" s="6" t="s">
        <v>23</v>
      </c>
      <c r="J246" s="6" t="s">
        <v>46</v>
      </c>
      <c r="K246" s="8"/>
      <c r="L246" s="7" t="s">
        <v>1664</v>
      </c>
      <c r="M246" s="8"/>
      <c r="N246" s="8"/>
      <c r="O246" s="8"/>
      <c r="P246" s="6">
        <v>14</v>
      </c>
      <c r="Q246" s="5">
        <v>46302</v>
      </c>
      <c r="R246" s="8"/>
      <c r="S246" s="8"/>
      <c r="T246" s="8"/>
      <c r="U246" s="8"/>
      <c r="V246" s="8"/>
      <c r="W246" s="15" t="s">
        <v>89</v>
      </c>
      <c r="X246" s="6"/>
      <c r="Y246" s="885"/>
    </row>
    <row r="247" spans="1:25" ht="50.1" customHeight="1" thickBot="1" x14ac:dyDescent="0.3">
      <c r="A247" s="4" t="s">
        <v>1665</v>
      </c>
      <c r="B247" s="6" t="s">
        <v>1666</v>
      </c>
      <c r="C247" s="5">
        <v>46282</v>
      </c>
      <c r="D247" s="6" t="s">
        <v>19</v>
      </c>
      <c r="E247" s="6" t="s">
        <v>39</v>
      </c>
      <c r="F247" s="7" t="s">
        <v>1667</v>
      </c>
      <c r="G247" s="6" t="s">
        <v>34</v>
      </c>
      <c r="H247" s="6">
        <v>114</v>
      </c>
      <c r="I247" s="6" t="s">
        <v>41</v>
      </c>
      <c r="J247" s="6" t="s">
        <v>42</v>
      </c>
      <c r="K247" s="8"/>
      <c r="L247" s="7" t="s">
        <v>1668</v>
      </c>
      <c r="M247" s="8"/>
      <c r="N247" s="8"/>
      <c r="O247" s="8"/>
      <c r="P247" s="6">
        <v>14</v>
      </c>
      <c r="Q247" s="5">
        <v>46302</v>
      </c>
      <c r="R247" s="8"/>
      <c r="S247" s="8"/>
      <c r="T247" s="8"/>
      <c r="U247" s="8"/>
      <c r="V247" s="8"/>
      <c r="W247" s="15" t="s">
        <v>89</v>
      </c>
      <c r="X247" s="6"/>
      <c r="Y247" s="885"/>
    </row>
    <row r="248" spans="1:25" ht="50.1" customHeight="1" thickBot="1" x14ac:dyDescent="0.3">
      <c r="A248" s="4" t="s">
        <v>1669</v>
      </c>
      <c r="B248" s="6" t="s">
        <v>1670</v>
      </c>
      <c r="C248" s="5">
        <v>46282</v>
      </c>
      <c r="D248" s="6" t="s">
        <v>33</v>
      </c>
      <c r="E248" s="6" t="s">
        <v>460</v>
      </c>
      <c r="F248" s="7" t="s">
        <v>1671</v>
      </c>
      <c r="G248" s="6" t="s">
        <v>34</v>
      </c>
      <c r="H248" s="6">
        <v>316</v>
      </c>
      <c r="I248" s="6" t="s">
        <v>23</v>
      </c>
      <c r="J248" s="6" t="s">
        <v>46</v>
      </c>
      <c r="K248" s="8"/>
      <c r="L248" s="7" t="s">
        <v>489</v>
      </c>
      <c r="M248" s="8"/>
      <c r="N248" s="8"/>
      <c r="O248" s="8"/>
      <c r="P248" s="6">
        <v>14</v>
      </c>
      <c r="Q248" s="5">
        <v>46302</v>
      </c>
      <c r="R248" s="6" t="s">
        <v>26</v>
      </c>
      <c r="S248" s="6" t="s">
        <v>26</v>
      </c>
      <c r="T248" s="6" t="s">
        <v>26</v>
      </c>
      <c r="U248" s="5">
        <v>46286</v>
      </c>
      <c r="V248" s="6" t="s">
        <v>1672</v>
      </c>
      <c r="W248" s="9" t="s">
        <v>27</v>
      </c>
      <c r="X248" s="10" t="s">
        <v>25</v>
      </c>
      <c r="Y248" s="885"/>
    </row>
    <row r="249" spans="1:25" ht="50.1" customHeight="1" thickBot="1" x14ac:dyDescent="0.3">
      <c r="A249" s="4" t="s">
        <v>1673</v>
      </c>
      <c r="B249" s="6" t="s">
        <v>1674</v>
      </c>
      <c r="C249" s="5">
        <v>46282</v>
      </c>
      <c r="D249" s="6" t="s">
        <v>33</v>
      </c>
      <c r="E249" s="6" t="s">
        <v>29</v>
      </c>
      <c r="F249" s="7" t="s">
        <v>1675</v>
      </c>
      <c r="G249" s="6" t="s">
        <v>34</v>
      </c>
      <c r="H249" s="6">
        <v>503</v>
      </c>
      <c r="I249" s="6" t="s">
        <v>31</v>
      </c>
      <c r="J249" s="6" t="s">
        <v>1676</v>
      </c>
      <c r="K249" s="8"/>
      <c r="L249" s="7" t="s">
        <v>1677</v>
      </c>
      <c r="M249" s="8"/>
      <c r="N249" s="8"/>
      <c r="O249" s="8"/>
      <c r="P249" s="6">
        <v>14</v>
      </c>
      <c r="Q249" s="5">
        <v>46302</v>
      </c>
      <c r="R249" s="8"/>
      <c r="S249" s="8"/>
      <c r="T249" s="8"/>
      <c r="U249" s="8"/>
      <c r="V249" s="8"/>
      <c r="W249" s="15" t="s">
        <v>89</v>
      </c>
      <c r="X249" s="6"/>
      <c r="Y249" s="885"/>
    </row>
    <row r="250" spans="1:25" ht="50.1" customHeight="1" thickBot="1" x14ac:dyDescent="0.3">
      <c r="A250" s="4" t="s">
        <v>1678</v>
      </c>
      <c r="B250" s="6" t="s">
        <v>1679</v>
      </c>
      <c r="C250" s="5">
        <v>46282</v>
      </c>
      <c r="D250" s="6" t="s">
        <v>19</v>
      </c>
      <c r="E250" s="6" t="s">
        <v>39</v>
      </c>
      <c r="F250" s="7" t="s">
        <v>553</v>
      </c>
      <c r="G250" s="6" t="s">
        <v>34</v>
      </c>
      <c r="H250" s="6">
        <v>114</v>
      </c>
      <c r="I250" s="6" t="s">
        <v>41</v>
      </c>
      <c r="J250" s="6" t="s">
        <v>42</v>
      </c>
      <c r="K250" s="8"/>
      <c r="L250" s="7" t="s">
        <v>1680</v>
      </c>
      <c r="M250" s="8"/>
      <c r="N250" s="8"/>
      <c r="O250" s="8"/>
      <c r="P250" s="6">
        <v>14</v>
      </c>
      <c r="Q250" s="5">
        <v>46302</v>
      </c>
      <c r="R250" s="8"/>
      <c r="S250" s="8"/>
      <c r="T250" s="8"/>
      <c r="U250" s="8"/>
      <c r="V250" s="8"/>
      <c r="W250" s="15" t="s">
        <v>89</v>
      </c>
      <c r="X250" s="6"/>
      <c r="Y250" s="885"/>
    </row>
    <row r="251" spans="1:25" ht="50.1" customHeight="1" thickBot="1" x14ac:dyDescent="0.3">
      <c r="A251" s="4" t="s">
        <v>1681</v>
      </c>
      <c r="B251" s="6" t="s">
        <v>1682</v>
      </c>
      <c r="C251" s="5">
        <v>46282</v>
      </c>
      <c r="D251" s="6" t="s">
        <v>19</v>
      </c>
      <c r="E251" s="6" t="s">
        <v>39</v>
      </c>
      <c r="F251" s="7" t="s">
        <v>1683</v>
      </c>
      <c r="G251" s="6" t="s">
        <v>34</v>
      </c>
      <c r="H251" s="6">
        <v>114</v>
      </c>
      <c r="I251" s="6" t="s">
        <v>42</v>
      </c>
      <c r="J251" s="6" t="s">
        <v>42</v>
      </c>
      <c r="K251" s="8"/>
      <c r="L251" s="7" t="s">
        <v>1684</v>
      </c>
      <c r="M251" s="8"/>
      <c r="N251" s="8"/>
      <c r="O251" s="8"/>
      <c r="P251" s="6">
        <v>14</v>
      </c>
      <c r="Q251" s="5">
        <v>46302</v>
      </c>
      <c r="R251" s="8"/>
      <c r="S251" s="8"/>
      <c r="T251" s="8"/>
      <c r="U251" s="8"/>
      <c r="V251" s="8"/>
      <c r="W251" s="15" t="s">
        <v>89</v>
      </c>
      <c r="X251" s="6"/>
      <c r="Y251" s="885"/>
    </row>
    <row r="252" spans="1:25" ht="50.1" customHeight="1" thickBot="1" x14ac:dyDescent="0.3">
      <c r="A252" s="4" t="s">
        <v>1685</v>
      </c>
      <c r="B252" s="6" t="s">
        <v>1686</v>
      </c>
      <c r="C252" s="5">
        <v>46282</v>
      </c>
      <c r="D252" s="6" t="s">
        <v>28</v>
      </c>
      <c r="E252" s="6" t="s">
        <v>20</v>
      </c>
      <c r="F252" s="7" t="s">
        <v>1687</v>
      </c>
      <c r="G252" s="6" t="s">
        <v>30</v>
      </c>
      <c r="H252" s="6">
        <v>503</v>
      </c>
      <c r="I252" s="6" t="s">
        <v>31</v>
      </c>
      <c r="J252" s="6" t="s">
        <v>93</v>
      </c>
      <c r="K252" s="8"/>
      <c r="L252" s="7" t="s">
        <v>627</v>
      </c>
      <c r="M252" s="8"/>
      <c r="N252" s="8"/>
      <c r="O252" s="8"/>
      <c r="P252" s="6">
        <v>14</v>
      </c>
      <c r="Q252" s="5">
        <v>46302</v>
      </c>
      <c r="R252" s="8"/>
      <c r="S252" s="8"/>
      <c r="T252" s="8"/>
      <c r="U252" s="8"/>
      <c r="V252" s="8"/>
      <c r="W252" s="15" t="s">
        <v>89</v>
      </c>
      <c r="X252" s="6"/>
      <c r="Y252" s="885"/>
    </row>
    <row r="253" spans="1:25" ht="50.1" customHeight="1" thickBot="1" x14ac:dyDescent="0.3">
      <c r="A253" s="4" t="s">
        <v>1688</v>
      </c>
      <c r="B253" s="6" t="s">
        <v>1689</v>
      </c>
      <c r="C253" s="5">
        <v>46282</v>
      </c>
      <c r="D253" s="6" t="s">
        <v>33</v>
      </c>
      <c r="E253" s="6" t="s">
        <v>29</v>
      </c>
      <c r="F253" s="7" t="s">
        <v>1690</v>
      </c>
      <c r="G253" s="6" t="s">
        <v>30</v>
      </c>
      <c r="H253" s="6">
        <v>503</v>
      </c>
      <c r="I253" s="6" t="s">
        <v>31</v>
      </c>
      <c r="J253" s="6" t="s">
        <v>32</v>
      </c>
      <c r="K253" s="8"/>
      <c r="L253" s="7" t="s">
        <v>626</v>
      </c>
      <c r="M253" s="8"/>
      <c r="N253" s="8"/>
      <c r="O253" s="8"/>
      <c r="P253" s="6">
        <v>14</v>
      </c>
      <c r="Q253" s="5">
        <v>46302</v>
      </c>
      <c r="R253" s="8"/>
      <c r="S253" s="8"/>
      <c r="T253" s="8"/>
      <c r="U253" s="8"/>
      <c r="V253" s="8"/>
      <c r="W253" s="15" t="s">
        <v>89</v>
      </c>
      <c r="X253" s="6"/>
      <c r="Y253" s="885"/>
    </row>
    <row r="254" spans="1:25" ht="50.1" customHeight="1" thickBot="1" x14ac:dyDescent="0.3">
      <c r="A254" s="4" t="s">
        <v>1691</v>
      </c>
      <c r="B254" s="6" t="s">
        <v>1692</v>
      </c>
      <c r="C254" s="5">
        <v>46282</v>
      </c>
      <c r="D254" s="6" t="s">
        <v>33</v>
      </c>
      <c r="E254" s="6" t="s">
        <v>460</v>
      </c>
      <c r="F254" s="7" t="s">
        <v>1693</v>
      </c>
      <c r="G254" s="6" t="s">
        <v>30</v>
      </c>
      <c r="H254" s="6">
        <v>316</v>
      </c>
      <c r="I254" s="6" t="s">
        <v>23</v>
      </c>
      <c r="J254" s="6" t="s">
        <v>46</v>
      </c>
      <c r="K254" s="8"/>
      <c r="L254" s="7" t="s">
        <v>1694</v>
      </c>
      <c r="M254" s="8"/>
      <c r="N254" s="8"/>
      <c r="O254" s="8"/>
      <c r="P254" s="6">
        <v>14</v>
      </c>
      <c r="Q254" s="5">
        <v>46302</v>
      </c>
      <c r="R254" s="5">
        <v>46282</v>
      </c>
      <c r="S254" s="6" t="s">
        <v>26</v>
      </c>
      <c r="T254" s="5">
        <v>46282</v>
      </c>
      <c r="U254" s="5">
        <v>46293</v>
      </c>
      <c r="V254" s="6" t="s">
        <v>1695</v>
      </c>
      <c r="W254" s="9" t="s">
        <v>27</v>
      </c>
      <c r="X254" s="10" t="s">
        <v>25</v>
      </c>
      <c r="Y254" s="885"/>
    </row>
    <row r="255" spans="1:25" ht="50.1" customHeight="1" thickBot="1" x14ac:dyDescent="0.3">
      <c r="A255" s="4" t="s">
        <v>1696</v>
      </c>
      <c r="B255" s="6" t="s">
        <v>1697</v>
      </c>
      <c r="C255" s="5">
        <v>46282</v>
      </c>
      <c r="D255" s="6" t="s">
        <v>28</v>
      </c>
      <c r="E255" s="6" t="s">
        <v>460</v>
      </c>
      <c r="F255" s="7" t="s">
        <v>1698</v>
      </c>
      <c r="G255" s="6" t="s">
        <v>30</v>
      </c>
      <c r="H255" s="6">
        <v>316</v>
      </c>
      <c r="I255" s="6" t="s">
        <v>23</v>
      </c>
      <c r="J255" s="6" t="s">
        <v>46</v>
      </c>
      <c r="K255" s="6" t="s">
        <v>25</v>
      </c>
      <c r="L255" s="7" t="s">
        <v>627</v>
      </c>
      <c r="M255" s="8"/>
      <c r="N255" s="8"/>
      <c r="O255" s="8"/>
      <c r="P255" s="6">
        <v>14</v>
      </c>
      <c r="Q255" s="5">
        <v>46302</v>
      </c>
      <c r="R255" s="5">
        <v>46282</v>
      </c>
      <c r="S255" s="6" t="s">
        <v>26</v>
      </c>
      <c r="T255" s="6" t="s">
        <v>26</v>
      </c>
      <c r="U255" s="5">
        <v>46294</v>
      </c>
      <c r="V255" s="6" t="s">
        <v>1699</v>
      </c>
      <c r="W255" s="9" t="s">
        <v>27</v>
      </c>
      <c r="X255" s="10" t="s">
        <v>25</v>
      </c>
      <c r="Y255" s="885"/>
    </row>
    <row r="256" spans="1:25" ht="50.1" customHeight="1" thickBot="1" x14ac:dyDescent="0.3">
      <c r="A256" s="4" t="s">
        <v>1700</v>
      </c>
      <c r="B256" s="6" t="s">
        <v>1701</v>
      </c>
      <c r="C256" s="5">
        <v>46282</v>
      </c>
      <c r="D256" s="6" t="s">
        <v>19</v>
      </c>
      <c r="E256" s="6" t="s">
        <v>39</v>
      </c>
      <c r="F256" s="7" t="s">
        <v>1702</v>
      </c>
      <c r="G256" s="6" t="s">
        <v>34</v>
      </c>
      <c r="H256" s="6">
        <v>114</v>
      </c>
      <c r="I256" s="6" t="s">
        <v>42</v>
      </c>
      <c r="J256" s="6" t="s">
        <v>42</v>
      </c>
      <c r="K256" s="8"/>
      <c r="L256" s="7" t="s">
        <v>1703</v>
      </c>
      <c r="M256" s="8"/>
      <c r="N256" s="8"/>
      <c r="O256" s="8"/>
      <c r="P256" s="6">
        <v>14</v>
      </c>
      <c r="Q256" s="5">
        <v>46302</v>
      </c>
      <c r="R256" s="8"/>
      <c r="S256" s="8"/>
      <c r="T256" s="8"/>
      <c r="U256" s="8"/>
      <c r="V256" s="8"/>
      <c r="W256" s="15" t="s">
        <v>89</v>
      </c>
      <c r="X256" s="6"/>
      <c r="Y256" s="885"/>
    </row>
    <row r="257" spans="1:25" ht="50.1" customHeight="1" thickBot="1" x14ac:dyDescent="0.3">
      <c r="A257" s="4" t="s">
        <v>1704</v>
      </c>
      <c r="B257" s="6" t="s">
        <v>1705</v>
      </c>
      <c r="C257" s="5">
        <v>46282</v>
      </c>
      <c r="D257" s="6" t="s">
        <v>28</v>
      </c>
      <c r="E257" s="6" t="s">
        <v>29</v>
      </c>
      <c r="F257" s="7" t="s">
        <v>593</v>
      </c>
      <c r="G257" s="6" t="s">
        <v>30</v>
      </c>
      <c r="H257" s="6">
        <v>503</v>
      </c>
      <c r="I257" s="6" t="s">
        <v>31</v>
      </c>
      <c r="J257" s="6" t="s">
        <v>32</v>
      </c>
      <c r="K257" s="8"/>
      <c r="L257" s="7" t="s">
        <v>1706</v>
      </c>
      <c r="M257" s="8"/>
      <c r="N257" s="8"/>
      <c r="O257" s="8"/>
      <c r="P257" s="6">
        <v>14</v>
      </c>
      <c r="Q257" s="5">
        <v>46302</v>
      </c>
      <c r="R257" s="8"/>
      <c r="S257" s="8"/>
      <c r="T257" s="8"/>
      <c r="U257" s="8"/>
      <c r="V257" s="8"/>
      <c r="W257" s="15" t="s">
        <v>89</v>
      </c>
      <c r="X257" s="6"/>
      <c r="Y257" s="885"/>
    </row>
    <row r="258" spans="1:25" ht="50.1" customHeight="1" thickBot="1" x14ac:dyDescent="0.3">
      <c r="A258" s="4" t="s">
        <v>1707</v>
      </c>
      <c r="B258" s="6" t="s">
        <v>1708</v>
      </c>
      <c r="C258" s="5">
        <v>46282</v>
      </c>
      <c r="D258" s="6" t="s">
        <v>33</v>
      </c>
      <c r="E258" s="6" t="s">
        <v>29</v>
      </c>
      <c r="F258" s="7" t="s">
        <v>1709</v>
      </c>
      <c r="G258" s="6" t="s">
        <v>30</v>
      </c>
      <c r="H258" s="6">
        <v>502</v>
      </c>
      <c r="I258" s="6" t="s">
        <v>37</v>
      </c>
      <c r="J258" s="6" t="s">
        <v>38</v>
      </c>
      <c r="K258" s="8"/>
      <c r="L258" s="7" t="s">
        <v>1710</v>
      </c>
      <c r="M258" s="8"/>
      <c r="N258" s="8"/>
      <c r="O258" s="8"/>
      <c r="P258" s="6">
        <v>14</v>
      </c>
      <c r="Q258" s="5">
        <v>46302</v>
      </c>
      <c r="R258" s="8"/>
      <c r="S258" s="8"/>
      <c r="T258" s="8"/>
      <c r="U258" s="8"/>
      <c r="V258" s="8"/>
      <c r="W258" s="15" t="s">
        <v>89</v>
      </c>
      <c r="X258" s="6"/>
      <c r="Y258" s="885"/>
    </row>
    <row r="259" spans="1:25" ht="50.1" customHeight="1" thickBot="1" x14ac:dyDescent="0.3">
      <c r="A259" s="4" t="s">
        <v>1711</v>
      </c>
      <c r="B259" s="6" t="s">
        <v>1712</v>
      </c>
      <c r="C259" s="5">
        <v>46282</v>
      </c>
      <c r="D259" s="6" t="s">
        <v>33</v>
      </c>
      <c r="E259" s="6" t="s">
        <v>29</v>
      </c>
      <c r="F259" s="7" t="s">
        <v>1713</v>
      </c>
      <c r="G259" s="6" t="s">
        <v>30</v>
      </c>
      <c r="H259" s="6">
        <v>502</v>
      </c>
      <c r="I259" s="6" t="s">
        <v>37</v>
      </c>
      <c r="J259" s="6" t="s">
        <v>38</v>
      </c>
      <c r="K259" s="8"/>
      <c r="L259" s="7" t="s">
        <v>491</v>
      </c>
      <c r="M259" s="8"/>
      <c r="N259" s="8"/>
      <c r="O259" s="8"/>
      <c r="P259" s="6">
        <v>14</v>
      </c>
      <c r="Q259" s="5">
        <v>46302</v>
      </c>
      <c r="R259" s="8"/>
      <c r="S259" s="8"/>
      <c r="T259" s="8"/>
      <c r="U259" s="8"/>
      <c r="V259" s="8"/>
      <c r="W259" s="15" t="s">
        <v>89</v>
      </c>
      <c r="X259" s="6"/>
      <c r="Y259" s="885"/>
    </row>
    <row r="260" spans="1:25" ht="50.1" customHeight="1" thickBot="1" x14ac:dyDescent="0.3">
      <c r="A260" s="4" t="s">
        <v>1714</v>
      </c>
      <c r="B260" s="6" t="s">
        <v>1715</v>
      </c>
      <c r="C260" s="5">
        <v>46282</v>
      </c>
      <c r="D260" s="6" t="s">
        <v>33</v>
      </c>
      <c r="E260" s="6" t="s">
        <v>39</v>
      </c>
      <c r="F260" s="7" t="s">
        <v>1716</v>
      </c>
      <c r="G260" s="6" t="s">
        <v>30</v>
      </c>
      <c r="H260" s="6">
        <v>503</v>
      </c>
      <c r="I260" s="6" t="s">
        <v>31</v>
      </c>
      <c r="J260" s="6" t="s">
        <v>93</v>
      </c>
      <c r="K260" s="8"/>
      <c r="L260" s="7" t="s">
        <v>1717</v>
      </c>
      <c r="M260" s="8"/>
      <c r="N260" s="8"/>
      <c r="O260" s="8"/>
      <c r="P260" s="6">
        <v>14</v>
      </c>
      <c r="Q260" s="5">
        <v>46302</v>
      </c>
      <c r="R260" s="8"/>
      <c r="S260" s="8"/>
      <c r="T260" s="8"/>
      <c r="U260" s="8"/>
      <c r="V260" s="8"/>
      <c r="W260" s="15" t="s">
        <v>89</v>
      </c>
      <c r="X260" s="6"/>
      <c r="Y260" s="885"/>
    </row>
    <row r="261" spans="1:25" ht="50.1" customHeight="1" thickBot="1" x14ac:dyDescent="0.3">
      <c r="A261" s="4" t="s">
        <v>1718</v>
      </c>
      <c r="B261" s="6" t="s">
        <v>1719</v>
      </c>
      <c r="C261" s="5">
        <v>46283</v>
      </c>
      <c r="D261" s="6" t="s">
        <v>19</v>
      </c>
      <c r="E261" s="6" t="s">
        <v>61</v>
      </c>
      <c r="F261" s="7" t="s">
        <v>1720</v>
      </c>
      <c r="G261" s="6" t="s">
        <v>22</v>
      </c>
      <c r="H261" s="6">
        <v>316</v>
      </c>
      <c r="I261" s="6" t="s">
        <v>23</v>
      </c>
      <c r="J261" s="6" t="s">
        <v>1721</v>
      </c>
      <c r="K261" s="8"/>
      <c r="L261" s="7" t="s">
        <v>1387</v>
      </c>
      <c r="M261" s="8"/>
      <c r="N261" s="8"/>
      <c r="O261" s="8"/>
      <c r="P261" s="6">
        <v>14</v>
      </c>
      <c r="Q261" s="5">
        <v>46302</v>
      </c>
      <c r="R261" s="8"/>
      <c r="S261" s="8"/>
      <c r="T261" s="8"/>
      <c r="U261" s="8"/>
      <c r="V261" s="8"/>
      <c r="W261" s="15" t="s">
        <v>89</v>
      </c>
      <c r="X261" s="8"/>
      <c r="Y261" s="885"/>
    </row>
    <row r="262" spans="1:25" ht="50.1" customHeight="1" thickBot="1" x14ac:dyDescent="0.3">
      <c r="A262" s="4" t="s">
        <v>1722</v>
      </c>
      <c r="B262" s="6" t="s">
        <v>1723</v>
      </c>
      <c r="C262" s="5">
        <v>46283</v>
      </c>
      <c r="D262" s="6" t="s">
        <v>19</v>
      </c>
      <c r="E262" s="6" t="s">
        <v>20</v>
      </c>
      <c r="F262" s="7" t="s">
        <v>505</v>
      </c>
      <c r="G262" s="6" t="s">
        <v>22</v>
      </c>
      <c r="H262" s="6">
        <v>316</v>
      </c>
      <c r="I262" s="6" t="s">
        <v>23</v>
      </c>
      <c r="J262" s="6" t="s">
        <v>595</v>
      </c>
      <c r="K262" s="8"/>
      <c r="L262" s="7" t="s">
        <v>1724</v>
      </c>
      <c r="M262" s="8"/>
      <c r="N262" s="8"/>
      <c r="O262" s="8"/>
      <c r="P262" s="6">
        <v>14</v>
      </c>
      <c r="Q262" s="5">
        <v>46303</v>
      </c>
      <c r="R262" s="8"/>
      <c r="S262" s="8"/>
      <c r="T262" s="8"/>
      <c r="U262" s="8"/>
      <c r="V262" s="8"/>
      <c r="W262" s="15" t="s">
        <v>89</v>
      </c>
      <c r="X262" s="8"/>
      <c r="Y262" s="885"/>
    </row>
    <row r="263" spans="1:25" ht="50.1" customHeight="1" thickBot="1" x14ac:dyDescent="0.3">
      <c r="A263" s="4" t="s">
        <v>1725</v>
      </c>
      <c r="B263" s="6" t="s">
        <v>1726</v>
      </c>
      <c r="C263" s="5">
        <v>46283</v>
      </c>
      <c r="D263" s="6" t="s">
        <v>19</v>
      </c>
      <c r="E263" s="6" t="s">
        <v>39</v>
      </c>
      <c r="F263" s="7" t="s">
        <v>1727</v>
      </c>
      <c r="G263" s="6" t="s">
        <v>34</v>
      </c>
      <c r="H263" s="6">
        <v>114</v>
      </c>
      <c r="I263" s="6" t="s">
        <v>41</v>
      </c>
      <c r="J263" s="6" t="s">
        <v>42</v>
      </c>
      <c r="K263" s="8"/>
      <c r="L263" s="7" t="s">
        <v>1728</v>
      </c>
      <c r="M263" s="8"/>
      <c r="N263" s="8"/>
      <c r="O263" s="8"/>
      <c r="P263" s="6">
        <v>14</v>
      </c>
      <c r="Q263" s="5">
        <v>46303</v>
      </c>
      <c r="R263" s="8"/>
      <c r="S263" s="8"/>
      <c r="T263" s="8"/>
      <c r="U263" s="8"/>
      <c r="V263" s="8"/>
      <c r="W263" s="15" t="s">
        <v>89</v>
      </c>
      <c r="X263" s="8"/>
      <c r="Y263" s="885"/>
    </row>
    <row r="264" spans="1:25" ht="50.1" customHeight="1" thickBot="1" x14ac:dyDescent="0.3">
      <c r="A264" s="4" t="s">
        <v>1729</v>
      </c>
      <c r="B264" s="6" t="s">
        <v>1730</v>
      </c>
      <c r="C264" s="5">
        <v>46283</v>
      </c>
      <c r="D264" s="6" t="s">
        <v>33</v>
      </c>
      <c r="E264" s="6" t="s">
        <v>29</v>
      </c>
      <c r="F264" s="7" t="s">
        <v>1731</v>
      </c>
      <c r="G264" s="6" t="s">
        <v>34</v>
      </c>
      <c r="H264" s="6">
        <v>127</v>
      </c>
      <c r="I264" s="6" t="s">
        <v>88</v>
      </c>
      <c r="J264" s="6" t="s">
        <v>71</v>
      </c>
      <c r="K264" s="8"/>
      <c r="L264" s="7" t="s">
        <v>1732</v>
      </c>
      <c r="M264" s="8"/>
      <c r="N264" s="8"/>
      <c r="O264" s="8"/>
      <c r="P264" s="6">
        <v>14</v>
      </c>
      <c r="Q264" s="5">
        <v>46303</v>
      </c>
      <c r="R264" s="8"/>
      <c r="S264" s="8"/>
      <c r="T264" s="8"/>
      <c r="U264" s="8"/>
      <c r="V264" s="8"/>
      <c r="W264" s="15" t="s">
        <v>89</v>
      </c>
      <c r="X264" s="8"/>
      <c r="Y264" s="885"/>
    </row>
    <row r="265" spans="1:25" ht="50.1" customHeight="1" thickBot="1" x14ac:dyDescent="0.3">
      <c r="A265" s="4" t="s">
        <v>1733</v>
      </c>
      <c r="B265" s="6" t="s">
        <v>1734</v>
      </c>
      <c r="C265" s="5">
        <v>46283</v>
      </c>
      <c r="D265" s="6" t="s">
        <v>33</v>
      </c>
      <c r="E265" s="6" t="s">
        <v>20</v>
      </c>
      <c r="F265" s="7" t="s">
        <v>1735</v>
      </c>
      <c r="G265" s="6" t="s">
        <v>22</v>
      </c>
      <c r="H265" s="6">
        <v>316</v>
      </c>
      <c r="I265" s="6" t="s">
        <v>23</v>
      </c>
      <c r="J265" s="6" t="s">
        <v>595</v>
      </c>
      <c r="K265" s="8"/>
      <c r="L265" s="7" t="s">
        <v>1736</v>
      </c>
      <c r="M265" s="8"/>
      <c r="N265" s="8"/>
      <c r="O265" s="8"/>
      <c r="P265" s="6">
        <v>14</v>
      </c>
      <c r="Q265" s="5">
        <v>46303</v>
      </c>
      <c r="R265" s="8"/>
      <c r="S265" s="8"/>
      <c r="T265" s="8"/>
      <c r="U265" s="8"/>
      <c r="V265" s="8"/>
      <c r="W265" s="15" t="s">
        <v>89</v>
      </c>
      <c r="X265" s="8"/>
      <c r="Y265" s="885"/>
    </row>
    <row r="266" spans="1:25" ht="50.1" customHeight="1" thickBot="1" x14ac:dyDescent="0.3">
      <c r="A266" s="4" t="s">
        <v>1737</v>
      </c>
      <c r="B266" s="6" t="s">
        <v>1738</v>
      </c>
      <c r="C266" s="5">
        <v>46283</v>
      </c>
      <c r="D266" s="6" t="s">
        <v>33</v>
      </c>
      <c r="E266" s="6" t="s">
        <v>39</v>
      </c>
      <c r="F266" s="7" t="s">
        <v>1739</v>
      </c>
      <c r="G266" s="6" t="s">
        <v>30</v>
      </c>
      <c r="H266" s="6">
        <v>503</v>
      </c>
      <c r="I266" s="6" t="s">
        <v>31</v>
      </c>
      <c r="J266" s="6" t="s">
        <v>1740</v>
      </c>
      <c r="K266" s="8"/>
      <c r="L266" s="7" t="s">
        <v>1741</v>
      </c>
      <c r="M266" s="8"/>
      <c r="N266" s="8"/>
      <c r="O266" s="8"/>
      <c r="P266" s="6">
        <v>14</v>
      </c>
      <c r="Q266" s="5">
        <v>46303</v>
      </c>
      <c r="R266" s="8"/>
      <c r="S266" s="8"/>
      <c r="T266" s="8"/>
      <c r="U266" s="8"/>
      <c r="V266" s="8"/>
      <c r="W266" s="15" t="s">
        <v>89</v>
      </c>
      <c r="X266" s="8"/>
      <c r="Y266" s="885"/>
    </row>
    <row r="267" spans="1:25" ht="50.1" customHeight="1" thickBot="1" x14ac:dyDescent="0.3">
      <c r="A267" s="4" t="s">
        <v>1742</v>
      </c>
      <c r="B267" s="6" t="s">
        <v>1743</v>
      </c>
      <c r="C267" s="5">
        <v>46283</v>
      </c>
      <c r="D267" s="6" t="s">
        <v>19</v>
      </c>
      <c r="E267" s="6" t="s">
        <v>460</v>
      </c>
      <c r="F267" s="7" t="s">
        <v>48</v>
      </c>
      <c r="G267" s="6" t="s">
        <v>22</v>
      </c>
      <c r="H267" s="6">
        <v>316</v>
      </c>
      <c r="I267" s="6" t="s">
        <v>23</v>
      </c>
      <c r="J267" s="6" t="s">
        <v>46</v>
      </c>
      <c r="K267" s="8"/>
      <c r="L267" s="7" t="s">
        <v>1744</v>
      </c>
      <c r="M267" s="8"/>
      <c r="N267" s="8"/>
      <c r="O267" s="8"/>
      <c r="P267" s="6">
        <v>14</v>
      </c>
      <c r="Q267" s="5">
        <v>46303</v>
      </c>
      <c r="R267" s="8"/>
      <c r="S267" s="8"/>
      <c r="T267" s="8"/>
      <c r="U267" s="8"/>
      <c r="V267" s="8"/>
      <c r="W267" s="15" t="s">
        <v>89</v>
      </c>
      <c r="X267" s="8"/>
      <c r="Y267" s="885"/>
    </row>
    <row r="268" spans="1:25" ht="50.1" customHeight="1" thickBot="1" x14ac:dyDescent="0.3">
      <c r="A268" s="4" t="s">
        <v>1745</v>
      </c>
      <c r="B268" s="6" t="s">
        <v>1746</v>
      </c>
      <c r="C268" s="5">
        <v>46283</v>
      </c>
      <c r="D268" s="6" t="s">
        <v>19</v>
      </c>
      <c r="E268" s="6" t="s">
        <v>39</v>
      </c>
      <c r="F268" s="7" t="s">
        <v>58</v>
      </c>
      <c r="G268" s="6" t="s">
        <v>34</v>
      </c>
      <c r="H268" s="6">
        <v>114</v>
      </c>
      <c r="I268" s="6" t="s">
        <v>41</v>
      </c>
      <c r="J268" s="6" t="s">
        <v>42</v>
      </c>
      <c r="K268" s="8"/>
      <c r="L268" s="7" t="s">
        <v>472</v>
      </c>
      <c r="M268" s="8"/>
      <c r="N268" s="8"/>
      <c r="O268" s="6" t="s">
        <v>1747</v>
      </c>
      <c r="P268" s="6">
        <v>14</v>
      </c>
      <c r="Q268" s="5">
        <v>46303</v>
      </c>
      <c r="R268" s="8"/>
      <c r="S268" s="8"/>
      <c r="T268" s="8"/>
      <c r="U268" s="8"/>
      <c r="V268" s="8"/>
      <c r="W268" s="15" t="s">
        <v>89</v>
      </c>
      <c r="X268" s="8"/>
      <c r="Y268" s="885"/>
    </row>
    <row r="269" spans="1:25" ht="50.1" customHeight="1" thickBot="1" x14ac:dyDescent="0.3">
      <c r="A269" s="4" t="s">
        <v>1748</v>
      </c>
      <c r="B269" s="6" t="s">
        <v>1749</v>
      </c>
      <c r="C269" s="5">
        <v>46283</v>
      </c>
      <c r="D269" s="6" t="s">
        <v>19</v>
      </c>
      <c r="E269" s="6" t="s">
        <v>39</v>
      </c>
      <c r="F269" s="7" t="s">
        <v>1750</v>
      </c>
      <c r="G269" s="6" t="s">
        <v>34</v>
      </c>
      <c r="H269" s="6">
        <v>114</v>
      </c>
      <c r="I269" s="6" t="s">
        <v>41</v>
      </c>
      <c r="J269" s="6" t="s">
        <v>42</v>
      </c>
      <c r="K269" s="8"/>
      <c r="L269" s="7" t="s">
        <v>472</v>
      </c>
      <c r="M269" s="8"/>
      <c r="N269" s="8"/>
      <c r="O269" s="2" t="s">
        <v>1747</v>
      </c>
      <c r="P269" s="6">
        <v>14</v>
      </c>
      <c r="Q269" s="5">
        <v>46303</v>
      </c>
      <c r="R269" s="8"/>
      <c r="S269" s="8"/>
      <c r="T269" s="8"/>
      <c r="U269" s="8"/>
      <c r="V269" s="8"/>
      <c r="W269" s="15" t="s">
        <v>89</v>
      </c>
      <c r="X269" s="8"/>
      <c r="Y269" s="885"/>
    </row>
    <row r="270" spans="1:25" ht="50.1" customHeight="1" thickBot="1" x14ac:dyDescent="0.3">
      <c r="A270" s="4" t="s">
        <v>1751</v>
      </c>
      <c r="B270" s="6" t="s">
        <v>1752</v>
      </c>
      <c r="C270" s="5">
        <v>46283</v>
      </c>
      <c r="D270" s="6" t="s">
        <v>33</v>
      </c>
      <c r="E270" s="6" t="s">
        <v>63</v>
      </c>
      <c r="F270" s="7" t="s">
        <v>1753</v>
      </c>
      <c r="G270" s="6" t="s">
        <v>22</v>
      </c>
      <c r="H270" s="6">
        <v>316</v>
      </c>
      <c r="I270" s="6" t="s">
        <v>23</v>
      </c>
      <c r="J270" s="6" t="s">
        <v>75</v>
      </c>
      <c r="K270" s="8"/>
      <c r="L270" s="7" t="s">
        <v>1754</v>
      </c>
      <c r="M270" s="8"/>
      <c r="N270" s="8"/>
      <c r="O270" s="8"/>
      <c r="P270" s="6">
        <v>14</v>
      </c>
      <c r="Q270" s="5">
        <v>46303</v>
      </c>
      <c r="R270" s="8"/>
      <c r="S270" s="8"/>
      <c r="T270" s="8"/>
      <c r="U270" s="8"/>
      <c r="V270" s="8"/>
      <c r="W270" s="15" t="s">
        <v>89</v>
      </c>
      <c r="X270" s="8"/>
      <c r="Y270" s="885"/>
    </row>
    <row r="271" spans="1:25" ht="50.1" customHeight="1" thickBot="1" x14ac:dyDescent="0.3">
      <c r="A271" s="4" t="s">
        <v>1755</v>
      </c>
      <c r="B271" s="6" t="s">
        <v>1756</v>
      </c>
      <c r="C271" s="5">
        <v>46283</v>
      </c>
      <c r="D271" s="6" t="s">
        <v>33</v>
      </c>
      <c r="E271" s="6" t="s">
        <v>460</v>
      </c>
      <c r="F271" s="7" t="s">
        <v>1757</v>
      </c>
      <c r="G271" s="6" t="s">
        <v>30</v>
      </c>
      <c r="H271" s="6">
        <v>503</v>
      </c>
      <c r="I271" s="6" t="s">
        <v>31</v>
      </c>
      <c r="J271" s="6" t="s">
        <v>59</v>
      </c>
      <c r="K271" s="8"/>
      <c r="L271" s="7" t="s">
        <v>491</v>
      </c>
      <c r="M271" s="8"/>
      <c r="N271" s="8"/>
      <c r="O271" s="8"/>
      <c r="P271" s="6">
        <v>14</v>
      </c>
      <c r="Q271" s="5">
        <v>46303</v>
      </c>
      <c r="R271" s="8"/>
      <c r="S271" s="8"/>
      <c r="T271" s="8"/>
      <c r="U271" s="8"/>
      <c r="V271" s="8"/>
      <c r="W271" s="15" t="s">
        <v>89</v>
      </c>
      <c r="X271" s="8"/>
      <c r="Y271" s="885"/>
    </row>
    <row r="272" spans="1:25" ht="50.1" customHeight="1" thickBot="1" x14ac:dyDescent="0.3">
      <c r="A272" s="872" t="s">
        <v>1758</v>
      </c>
      <c r="B272" s="6" t="s">
        <v>1759</v>
      </c>
      <c r="C272" s="5">
        <v>46283</v>
      </c>
      <c r="D272" s="6" t="s">
        <v>28</v>
      </c>
      <c r="E272" s="6" t="s">
        <v>29</v>
      </c>
      <c r="F272" s="7" t="s">
        <v>1760</v>
      </c>
      <c r="G272" s="6" t="s">
        <v>30</v>
      </c>
      <c r="H272" s="6">
        <v>503</v>
      </c>
      <c r="I272" s="6" t="s">
        <v>31</v>
      </c>
      <c r="J272" s="6" t="s">
        <v>32</v>
      </c>
      <c r="K272" s="8"/>
      <c r="L272" s="7" t="s">
        <v>591</v>
      </c>
      <c r="M272" s="8"/>
      <c r="N272" s="8"/>
      <c r="O272" s="8"/>
      <c r="P272" s="6">
        <v>14</v>
      </c>
      <c r="Q272" s="5">
        <v>46303</v>
      </c>
      <c r="R272" s="8"/>
      <c r="S272" s="8"/>
      <c r="T272" s="8"/>
      <c r="U272" s="8"/>
      <c r="V272" s="8"/>
      <c r="W272" s="15" t="s">
        <v>89</v>
      </c>
      <c r="X272" s="8"/>
      <c r="Y272" s="885"/>
    </row>
    <row r="273" spans="1:25" ht="50.1" customHeight="1" thickBot="1" x14ac:dyDescent="0.3">
      <c r="A273" s="4" t="s">
        <v>1761</v>
      </c>
      <c r="B273" s="6" t="s">
        <v>1762</v>
      </c>
      <c r="C273" s="5">
        <v>46283</v>
      </c>
      <c r="D273" s="6" t="s">
        <v>28</v>
      </c>
      <c r="E273" s="6" t="s">
        <v>29</v>
      </c>
      <c r="F273" s="7" t="s">
        <v>1763</v>
      </c>
      <c r="G273" s="6" t="s">
        <v>30</v>
      </c>
      <c r="H273" s="6">
        <v>503</v>
      </c>
      <c r="I273" s="6" t="s">
        <v>31</v>
      </c>
      <c r="J273" s="6" t="s">
        <v>59</v>
      </c>
      <c r="K273" s="8"/>
      <c r="L273" s="7" t="s">
        <v>1764</v>
      </c>
      <c r="M273" s="8"/>
      <c r="N273" s="8"/>
      <c r="O273" s="6" t="s">
        <v>621</v>
      </c>
      <c r="P273" s="6">
        <v>14</v>
      </c>
      <c r="Q273" s="5">
        <v>46303</v>
      </c>
      <c r="R273" s="8"/>
      <c r="S273" s="8"/>
      <c r="T273" s="8"/>
      <c r="U273" s="8"/>
      <c r="V273" s="8"/>
      <c r="W273" s="15" t="s">
        <v>89</v>
      </c>
      <c r="X273" s="8"/>
      <c r="Y273" s="885"/>
    </row>
    <row r="274" spans="1:25" ht="50.1" customHeight="1" thickBot="1" x14ac:dyDescent="0.3">
      <c r="A274" s="4" t="s">
        <v>1765</v>
      </c>
      <c r="B274" s="6" t="s">
        <v>1766</v>
      </c>
      <c r="C274" s="5">
        <v>46283</v>
      </c>
      <c r="D274" s="6" t="s">
        <v>28</v>
      </c>
      <c r="E274" s="6" t="s">
        <v>39</v>
      </c>
      <c r="F274" s="7" t="s">
        <v>1767</v>
      </c>
      <c r="G274" s="6" t="s">
        <v>30</v>
      </c>
      <c r="H274" s="6">
        <v>503</v>
      </c>
      <c r="I274" s="6" t="s">
        <v>31</v>
      </c>
      <c r="J274" s="6" t="s">
        <v>1768</v>
      </c>
      <c r="K274" s="8"/>
      <c r="L274" s="7" t="s">
        <v>1769</v>
      </c>
      <c r="M274" s="8"/>
      <c r="N274" s="3"/>
      <c r="O274" s="876" t="s">
        <v>1770</v>
      </c>
      <c r="P274" s="6">
        <v>14</v>
      </c>
      <c r="Q274" s="5">
        <v>46303</v>
      </c>
      <c r="R274" s="8"/>
      <c r="S274" s="8"/>
      <c r="T274" s="8"/>
      <c r="U274" s="8"/>
      <c r="V274" s="8"/>
      <c r="W274" s="8"/>
      <c r="X274" s="8"/>
      <c r="Y274" s="885"/>
    </row>
    <row r="275" spans="1:25" ht="50.1" customHeight="1" thickBot="1" x14ac:dyDescent="0.3">
      <c r="A275" s="4" t="s">
        <v>1771</v>
      </c>
      <c r="B275" s="6" t="s">
        <v>1772</v>
      </c>
      <c r="C275" s="5">
        <v>46283</v>
      </c>
      <c r="D275" s="6" t="s">
        <v>28</v>
      </c>
      <c r="E275" s="6" t="s">
        <v>39</v>
      </c>
      <c r="F275" s="7" t="s">
        <v>1773</v>
      </c>
      <c r="G275" s="6" t="s">
        <v>30</v>
      </c>
      <c r="H275" s="6">
        <v>503</v>
      </c>
      <c r="I275" s="6" t="s">
        <v>31</v>
      </c>
      <c r="J275" s="6" t="s">
        <v>93</v>
      </c>
      <c r="K275" s="8"/>
      <c r="L275" s="7" t="s">
        <v>1774</v>
      </c>
      <c r="M275" s="8"/>
      <c r="N275" s="8"/>
      <c r="O275" s="8"/>
      <c r="P275" s="6">
        <v>14</v>
      </c>
      <c r="Q275" s="5">
        <v>46303</v>
      </c>
      <c r="R275" s="8"/>
      <c r="S275" s="8"/>
      <c r="T275" s="8"/>
      <c r="U275" s="8"/>
      <c r="V275" s="8"/>
      <c r="W275" s="8"/>
      <c r="X275" s="8"/>
      <c r="Y275" s="885"/>
    </row>
    <row r="276" spans="1:25" ht="50.1" customHeight="1" thickBot="1" x14ac:dyDescent="0.3">
      <c r="A276" s="4" t="s">
        <v>1775</v>
      </c>
      <c r="B276" s="6" t="s">
        <v>1776</v>
      </c>
      <c r="C276" s="5">
        <v>46283</v>
      </c>
      <c r="D276" s="6" t="s">
        <v>28</v>
      </c>
      <c r="E276" s="6" t="s">
        <v>460</v>
      </c>
      <c r="F276" s="7" t="s">
        <v>1777</v>
      </c>
      <c r="G276" s="6" t="s">
        <v>30</v>
      </c>
      <c r="H276" s="6">
        <v>316</v>
      </c>
      <c r="I276" s="6" t="s">
        <v>23</v>
      </c>
      <c r="J276" s="6" t="s">
        <v>1778</v>
      </c>
      <c r="K276" s="8"/>
      <c r="L276" s="7" t="s">
        <v>1779</v>
      </c>
      <c r="M276" s="8"/>
      <c r="N276" s="8"/>
      <c r="O276" s="8"/>
      <c r="P276" s="6">
        <v>14</v>
      </c>
      <c r="Q276" s="5">
        <v>46303</v>
      </c>
      <c r="R276" s="8"/>
      <c r="S276" s="8"/>
      <c r="T276" s="8"/>
      <c r="U276" s="8"/>
      <c r="V276" s="8"/>
      <c r="W276" s="8"/>
      <c r="X276" s="8"/>
      <c r="Y276" s="885"/>
    </row>
    <row r="277" spans="1:25" ht="50.1" customHeight="1" thickBot="1" x14ac:dyDescent="0.3">
      <c r="A277" s="4" t="s">
        <v>1780</v>
      </c>
      <c r="B277" s="6" t="s">
        <v>1781</v>
      </c>
      <c r="C277" s="5">
        <v>46283</v>
      </c>
      <c r="D277" s="6" t="s">
        <v>33</v>
      </c>
      <c r="E277" s="6" t="s">
        <v>29</v>
      </c>
      <c r="F277" s="7" t="s">
        <v>359</v>
      </c>
      <c r="G277" s="6" t="s">
        <v>30</v>
      </c>
      <c r="H277" s="6">
        <v>106</v>
      </c>
      <c r="I277" s="6" t="s">
        <v>112</v>
      </c>
      <c r="J277" s="6" t="s">
        <v>53</v>
      </c>
      <c r="K277" s="8"/>
      <c r="L277" s="7" t="s">
        <v>487</v>
      </c>
      <c r="M277" s="8"/>
      <c r="N277" s="8"/>
      <c r="O277" s="8"/>
      <c r="P277" s="6">
        <v>14</v>
      </c>
      <c r="Q277" s="5">
        <v>46303</v>
      </c>
      <c r="R277" s="8"/>
      <c r="S277" s="8"/>
      <c r="T277" s="8"/>
      <c r="U277" s="8"/>
      <c r="V277" s="8"/>
      <c r="W277" s="8"/>
      <c r="X277" s="8"/>
      <c r="Y277" s="885"/>
    </row>
    <row r="278" spans="1:25" ht="50.1" customHeight="1" thickBot="1" x14ac:dyDescent="0.3">
      <c r="A278" s="4" t="s">
        <v>1782</v>
      </c>
      <c r="B278" s="6" t="s">
        <v>1783</v>
      </c>
      <c r="C278" s="5">
        <v>46283</v>
      </c>
      <c r="D278" s="6" t="s">
        <v>33</v>
      </c>
      <c r="E278" s="6" t="s">
        <v>29</v>
      </c>
      <c r="F278" s="7" t="s">
        <v>1784</v>
      </c>
      <c r="G278" s="6" t="s">
        <v>34</v>
      </c>
      <c r="H278" s="6">
        <v>122</v>
      </c>
      <c r="I278" s="6" t="s">
        <v>50</v>
      </c>
      <c r="J278" s="6" t="s">
        <v>285</v>
      </c>
      <c r="K278" s="8"/>
      <c r="L278" s="7" t="s">
        <v>1785</v>
      </c>
      <c r="M278" s="8"/>
      <c r="N278" s="8"/>
      <c r="O278" s="8"/>
      <c r="P278" s="6">
        <v>14</v>
      </c>
      <c r="Q278" s="5">
        <v>46303</v>
      </c>
      <c r="R278" s="8"/>
      <c r="S278" s="8"/>
      <c r="T278" s="8"/>
      <c r="U278" s="8"/>
      <c r="V278" s="8"/>
      <c r="W278" s="8"/>
      <c r="X278" s="8"/>
      <c r="Y278" s="885"/>
    </row>
    <row r="279" spans="1:25" ht="50.1" customHeight="1" thickBot="1" x14ac:dyDescent="0.3">
      <c r="A279" s="4" t="s">
        <v>1786</v>
      </c>
      <c r="B279" s="6" t="s">
        <v>1787</v>
      </c>
      <c r="C279" s="5">
        <v>46283</v>
      </c>
      <c r="D279" s="6" t="s">
        <v>19</v>
      </c>
      <c r="E279" s="6" t="s">
        <v>460</v>
      </c>
      <c r="F279" s="7" t="s">
        <v>1788</v>
      </c>
      <c r="G279" s="6" t="s">
        <v>22</v>
      </c>
      <c r="H279" s="6">
        <v>316</v>
      </c>
      <c r="I279" s="6" t="s">
        <v>23</v>
      </c>
      <c r="J279" s="6" t="s">
        <v>46</v>
      </c>
      <c r="K279" s="8"/>
      <c r="L279" s="7" t="s">
        <v>1789</v>
      </c>
      <c r="M279" s="8"/>
      <c r="N279" s="8"/>
      <c r="O279" s="8"/>
      <c r="P279" s="6">
        <v>14</v>
      </c>
      <c r="Q279" s="5">
        <v>46303</v>
      </c>
      <c r="R279" s="8"/>
      <c r="S279" s="8"/>
      <c r="T279" s="8"/>
      <c r="U279" s="8"/>
      <c r="V279" s="8"/>
      <c r="W279" s="8"/>
      <c r="X279" s="8"/>
      <c r="Y279" s="885"/>
    </row>
    <row r="280" spans="1:25" ht="50.1" customHeight="1" thickBot="1" x14ac:dyDescent="0.3">
      <c r="A280" s="4" t="s">
        <v>1790</v>
      </c>
      <c r="B280" s="6" t="s">
        <v>1791</v>
      </c>
      <c r="C280" s="5">
        <v>46283</v>
      </c>
      <c r="D280" s="6" t="s">
        <v>19</v>
      </c>
      <c r="E280" s="6" t="s">
        <v>39</v>
      </c>
      <c r="F280" s="7" t="s">
        <v>1792</v>
      </c>
      <c r="G280" s="6" t="s">
        <v>30</v>
      </c>
      <c r="H280" s="6">
        <v>503</v>
      </c>
      <c r="I280" s="6" t="s">
        <v>31</v>
      </c>
      <c r="J280" s="6" t="s">
        <v>93</v>
      </c>
      <c r="K280" s="8"/>
      <c r="L280" s="7" t="s">
        <v>1793</v>
      </c>
      <c r="M280" s="8"/>
      <c r="N280" s="8"/>
      <c r="O280" s="8"/>
      <c r="P280" s="6">
        <v>14</v>
      </c>
      <c r="Q280" s="5">
        <v>46303</v>
      </c>
      <c r="R280" s="8"/>
      <c r="S280" s="8"/>
      <c r="T280" s="8"/>
      <c r="U280" s="8"/>
      <c r="V280" s="8"/>
      <c r="W280" s="8"/>
      <c r="X280" s="8"/>
      <c r="Y280" s="885"/>
    </row>
    <row r="281" spans="1:25" ht="50.1" customHeight="1" thickBot="1" x14ac:dyDescent="0.3">
      <c r="A281" s="4" t="s">
        <v>1794</v>
      </c>
      <c r="B281" s="6" t="s">
        <v>1795</v>
      </c>
      <c r="C281" s="5">
        <v>46284</v>
      </c>
      <c r="D281" s="6" t="s">
        <v>19</v>
      </c>
      <c r="E281" s="6" t="s">
        <v>29</v>
      </c>
      <c r="F281" s="7" t="s">
        <v>92</v>
      </c>
      <c r="G281" s="6" t="s">
        <v>30</v>
      </c>
      <c r="H281" s="6">
        <v>106</v>
      </c>
      <c r="I281" s="6" t="s">
        <v>112</v>
      </c>
      <c r="J281" s="6" t="s">
        <v>53</v>
      </c>
      <c r="K281" s="8"/>
      <c r="L281" s="7" t="s">
        <v>1796</v>
      </c>
      <c r="M281" s="8"/>
      <c r="N281" s="8"/>
      <c r="O281" s="8"/>
      <c r="P281" s="6">
        <v>14</v>
      </c>
      <c r="Q281" s="5">
        <v>46303</v>
      </c>
      <c r="R281" s="8"/>
      <c r="S281" s="8"/>
      <c r="T281" s="8"/>
      <c r="U281" s="8"/>
      <c r="V281" s="8"/>
      <c r="W281" s="8"/>
      <c r="X281" s="8"/>
      <c r="Y281" s="885"/>
    </row>
    <row r="282" spans="1:25" ht="50.1" customHeight="1" thickBot="1" x14ac:dyDescent="0.3">
      <c r="A282" s="4" t="s">
        <v>1797</v>
      </c>
      <c r="B282" s="6" t="s">
        <v>1798</v>
      </c>
      <c r="C282" s="5">
        <v>46284</v>
      </c>
      <c r="D282" s="6" t="s">
        <v>19</v>
      </c>
      <c r="E282" s="6" t="s">
        <v>20</v>
      </c>
      <c r="F282" s="7" t="s">
        <v>21</v>
      </c>
      <c r="G282" s="6" t="s">
        <v>22</v>
      </c>
      <c r="H282" s="6">
        <v>316</v>
      </c>
      <c r="I282" s="6" t="s">
        <v>23</v>
      </c>
      <c r="J282" s="6" t="s">
        <v>595</v>
      </c>
      <c r="K282" s="8"/>
      <c r="L282" s="7" t="s">
        <v>597</v>
      </c>
      <c r="M282" s="8"/>
      <c r="N282" s="8"/>
      <c r="O282" s="8"/>
      <c r="P282" s="6">
        <v>14</v>
      </c>
      <c r="Q282" s="5">
        <v>46303</v>
      </c>
      <c r="R282" s="8"/>
      <c r="S282" s="8"/>
      <c r="T282" s="8"/>
      <c r="U282" s="8"/>
      <c r="V282" s="8"/>
      <c r="W282" s="8"/>
      <c r="X282" s="8"/>
      <c r="Y282" s="885"/>
    </row>
    <row r="283" spans="1:25" ht="50.1" customHeight="1" thickBot="1" x14ac:dyDescent="0.3">
      <c r="A283" s="4" t="s">
        <v>1799</v>
      </c>
      <c r="B283" s="6" t="s">
        <v>1800</v>
      </c>
      <c r="C283" s="5">
        <v>46284</v>
      </c>
      <c r="D283" s="6" t="s">
        <v>19</v>
      </c>
      <c r="E283" s="6" t="s">
        <v>460</v>
      </c>
      <c r="F283" s="7" t="s">
        <v>380</v>
      </c>
      <c r="G283" s="6" t="s">
        <v>22</v>
      </c>
      <c r="H283" s="6">
        <v>316</v>
      </c>
      <c r="I283" s="6" t="s">
        <v>23</v>
      </c>
      <c r="J283" s="6" t="s">
        <v>595</v>
      </c>
      <c r="K283" s="8"/>
      <c r="L283" s="7" t="s">
        <v>1801</v>
      </c>
      <c r="M283" s="8"/>
      <c r="N283" s="8"/>
      <c r="O283" s="8"/>
      <c r="P283" s="6">
        <v>14</v>
      </c>
      <c r="Q283" s="5">
        <v>46303</v>
      </c>
      <c r="R283" s="8"/>
      <c r="S283" s="8"/>
      <c r="T283" s="8"/>
      <c r="U283" s="8"/>
      <c r="V283" s="8"/>
      <c r="W283" s="8"/>
      <c r="X283" s="8"/>
      <c r="Y283" s="885"/>
    </row>
    <row r="284" spans="1:25" ht="50.1" customHeight="1" thickBot="1" x14ac:dyDescent="0.3">
      <c r="A284" s="4" t="s">
        <v>1802</v>
      </c>
      <c r="B284" s="6" t="s">
        <v>1803</v>
      </c>
      <c r="C284" s="5">
        <v>46286</v>
      </c>
      <c r="D284" s="6" t="s">
        <v>33</v>
      </c>
      <c r="E284" s="6" t="s">
        <v>63</v>
      </c>
      <c r="F284" s="7" t="s">
        <v>1804</v>
      </c>
      <c r="G284" s="6" t="s">
        <v>22</v>
      </c>
      <c r="H284" s="6">
        <v>316</v>
      </c>
      <c r="I284" s="6" t="s">
        <v>23</v>
      </c>
      <c r="J284" s="6" t="s">
        <v>74</v>
      </c>
      <c r="K284" s="8"/>
      <c r="L284" s="7" t="s">
        <v>1805</v>
      </c>
      <c r="M284" s="8"/>
      <c r="N284" s="8"/>
      <c r="O284" s="8"/>
      <c r="P284" s="6">
        <v>14</v>
      </c>
      <c r="Q284" s="5">
        <v>46303</v>
      </c>
      <c r="R284" s="8"/>
      <c r="S284" s="8"/>
      <c r="T284" s="8"/>
      <c r="U284" s="8"/>
      <c r="V284" s="8"/>
      <c r="W284" s="8"/>
      <c r="X284" s="8"/>
      <c r="Y284" s="885"/>
    </row>
    <row r="285" spans="1:25" ht="50.1" customHeight="1" thickBot="1" x14ac:dyDescent="0.3">
      <c r="A285" s="4" t="s">
        <v>1806</v>
      </c>
      <c r="B285" s="6" t="s">
        <v>1807</v>
      </c>
      <c r="C285" s="5">
        <v>46286</v>
      </c>
      <c r="D285" s="6" t="s">
        <v>19</v>
      </c>
      <c r="E285" s="6" t="s">
        <v>61</v>
      </c>
      <c r="F285" s="7" t="s">
        <v>466</v>
      </c>
      <c r="G285" s="6" t="s">
        <v>22</v>
      </c>
      <c r="H285" s="6">
        <v>316</v>
      </c>
      <c r="I285" s="6" t="s">
        <v>23</v>
      </c>
      <c r="J285" s="6" t="s">
        <v>62</v>
      </c>
      <c r="K285" s="8"/>
      <c r="L285" s="7" t="s">
        <v>1808</v>
      </c>
      <c r="M285" s="8"/>
      <c r="N285" s="8"/>
      <c r="O285" s="8"/>
      <c r="P285" s="6">
        <v>14</v>
      </c>
      <c r="Q285" s="5">
        <v>46304</v>
      </c>
      <c r="R285" s="8"/>
      <c r="S285" s="8"/>
      <c r="T285" s="8"/>
      <c r="U285" s="8"/>
      <c r="V285" s="8"/>
      <c r="W285" s="8"/>
      <c r="X285" s="8"/>
      <c r="Y285" s="885"/>
    </row>
    <row r="286" spans="1:25" ht="50.1" customHeight="1" thickBot="1" x14ac:dyDescent="0.3">
      <c r="A286" s="4" t="s">
        <v>1809</v>
      </c>
      <c r="B286" s="6" t="s">
        <v>1810</v>
      </c>
      <c r="C286" s="5">
        <v>46286</v>
      </c>
      <c r="D286" s="6" t="s">
        <v>19</v>
      </c>
      <c r="E286" s="6" t="s">
        <v>20</v>
      </c>
      <c r="F286" s="7" t="s">
        <v>1811</v>
      </c>
      <c r="G286" s="6" t="s">
        <v>22</v>
      </c>
      <c r="H286" s="6">
        <v>304</v>
      </c>
      <c r="I286" s="6" t="s">
        <v>43</v>
      </c>
      <c r="J286" s="6" t="s">
        <v>44</v>
      </c>
      <c r="K286" s="8"/>
      <c r="L286" s="7" t="s">
        <v>1812</v>
      </c>
      <c r="M286" s="8"/>
      <c r="N286" s="8"/>
      <c r="O286" s="8"/>
      <c r="P286" s="6">
        <v>14</v>
      </c>
      <c r="Q286" s="5">
        <v>46304</v>
      </c>
      <c r="R286" s="8"/>
      <c r="S286" s="8"/>
      <c r="T286" s="8"/>
      <c r="U286" s="8"/>
      <c r="V286" s="8"/>
      <c r="W286" s="8"/>
      <c r="X286" s="8"/>
      <c r="Y286" s="885"/>
    </row>
    <row r="287" spans="1:25" ht="50.1" customHeight="1" thickBot="1" x14ac:dyDescent="0.3">
      <c r="A287" s="4" t="s">
        <v>1813</v>
      </c>
      <c r="B287" s="6" t="s">
        <v>1814</v>
      </c>
      <c r="C287" s="5">
        <v>46286</v>
      </c>
      <c r="D287" s="6" t="s">
        <v>19</v>
      </c>
      <c r="E287" s="6" t="s">
        <v>63</v>
      </c>
      <c r="F287" s="7" t="s">
        <v>1815</v>
      </c>
      <c r="G287" s="6" t="s">
        <v>22</v>
      </c>
      <c r="H287" s="6">
        <v>316</v>
      </c>
      <c r="I287" s="6" t="s">
        <v>23</v>
      </c>
      <c r="J287" s="6" t="s">
        <v>75</v>
      </c>
      <c r="K287" s="8"/>
      <c r="L287" s="7" t="s">
        <v>500</v>
      </c>
      <c r="M287" s="6">
        <v>10822260</v>
      </c>
      <c r="N287" s="8"/>
      <c r="O287" s="8"/>
      <c r="P287" s="6">
        <v>14</v>
      </c>
      <c r="Q287" s="5">
        <v>46304</v>
      </c>
      <c r="R287" s="8"/>
      <c r="S287" s="8"/>
      <c r="T287" s="8"/>
      <c r="U287" s="8"/>
      <c r="V287" s="8"/>
      <c r="W287" s="8"/>
      <c r="X287" s="8"/>
      <c r="Y287" s="885"/>
    </row>
    <row r="288" spans="1:25" ht="50.1" customHeight="1" thickBot="1" x14ac:dyDescent="0.3">
      <c r="A288" s="4" t="s">
        <v>1816</v>
      </c>
      <c r="B288" s="6" t="s">
        <v>1817</v>
      </c>
      <c r="C288" s="5">
        <v>46286</v>
      </c>
      <c r="D288" s="6" t="s">
        <v>19</v>
      </c>
      <c r="E288" s="6" t="s">
        <v>39</v>
      </c>
      <c r="F288" s="7" t="s">
        <v>1818</v>
      </c>
      <c r="G288" s="6" t="s">
        <v>22</v>
      </c>
      <c r="H288" s="6">
        <v>311</v>
      </c>
      <c r="I288" s="6" t="s">
        <v>64</v>
      </c>
      <c r="J288" s="6" t="s">
        <v>72</v>
      </c>
      <c r="K288" s="8"/>
      <c r="L288" s="7" t="s">
        <v>1819</v>
      </c>
      <c r="M288" s="8"/>
      <c r="N288" s="8"/>
      <c r="O288" s="8"/>
      <c r="P288" s="6">
        <v>14</v>
      </c>
      <c r="Q288" s="5">
        <v>46304</v>
      </c>
      <c r="R288" s="8"/>
      <c r="S288" s="8"/>
      <c r="T288" s="8"/>
      <c r="U288" s="8"/>
      <c r="V288" s="8"/>
      <c r="W288" s="8"/>
      <c r="X288" s="8"/>
      <c r="Y288" s="885"/>
    </row>
    <row r="289" spans="1:25" ht="50.1" customHeight="1" thickBot="1" x14ac:dyDescent="0.3">
      <c r="A289" s="4" t="s">
        <v>1820</v>
      </c>
      <c r="B289" s="6" t="s">
        <v>1821</v>
      </c>
      <c r="C289" s="5">
        <v>46286</v>
      </c>
      <c r="D289" s="6" t="s">
        <v>19</v>
      </c>
      <c r="E289" s="6" t="s">
        <v>20</v>
      </c>
      <c r="F289" s="7" t="s">
        <v>1822</v>
      </c>
      <c r="G289" s="6" t="s">
        <v>30</v>
      </c>
      <c r="H289" s="6">
        <v>316</v>
      </c>
      <c r="I289" s="6" t="s">
        <v>23</v>
      </c>
      <c r="J289" s="6" t="s">
        <v>46</v>
      </c>
      <c r="K289" s="8"/>
      <c r="L289" s="7" t="s">
        <v>1823</v>
      </c>
      <c r="M289" s="8"/>
      <c r="N289" s="8"/>
      <c r="O289" s="8"/>
      <c r="P289" s="6">
        <v>14</v>
      </c>
      <c r="Q289" s="5">
        <v>46304</v>
      </c>
      <c r="R289" s="8"/>
      <c r="S289" s="8"/>
      <c r="T289" s="8"/>
      <c r="U289" s="8"/>
      <c r="V289" s="8"/>
      <c r="W289" s="8"/>
      <c r="X289" s="8"/>
      <c r="Y289" s="885"/>
    </row>
    <row r="290" spans="1:25" ht="50.1" customHeight="1" thickBot="1" x14ac:dyDescent="0.3">
      <c r="A290" s="4" t="s">
        <v>1824</v>
      </c>
      <c r="B290" s="6" t="s">
        <v>1825</v>
      </c>
      <c r="C290" s="5">
        <v>46286</v>
      </c>
      <c r="D290" s="6" t="s">
        <v>19</v>
      </c>
      <c r="E290" s="6" t="s">
        <v>39</v>
      </c>
      <c r="F290" s="7" t="s">
        <v>1826</v>
      </c>
      <c r="G290" s="6" t="s">
        <v>34</v>
      </c>
      <c r="H290" s="6">
        <v>114</v>
      </c>
      <c r="I290" s="6" t="s">
        <v>41</v>
      </c>
      <c r="J290" s="6" t="s">
        <v>42</v>
      </c>
      <c r="K290" s="8"/>
      <c r="L290" s="7" t="s">
        <v>1827</v>
      </c>
      <c r="M290" s="8"/>
      <c r="N290" s="8"/>
      <c r="O290" s="8"/>
      <c r="P290" s="6">
        <v>14</v>
      </c>
      <c r="Q290" s="5">
        <v>46304</v>
      </c>
      <c r="R290" s="8"/>
      <c r="S290" s="8"/>
      <c r="T290" s="8"/>
      <c r="U290" s="8"/>
      <c r="V290" s="8"/>
      <c r="W290" s="8"/>
      <c r="X290" s="8"/>
      <c r="Y290" s="885"/>
    </row>
    <row r="291" spans="1:25" ht="50.1" customHeight="1" thickBot="1" x14ac:dyDescent="0.3">
      <c r="A291" s="4" t="s">
        <v>1828</v>
      </c>
      <c r="B291" s="6" t="s">
        <v>1829</v>
      </c>
      <c r="C291" s="5">
        <v>46286</v>
      </c>
      <c r="D291" s="6" t="s">
        <v>33</v>
      </c>
      <c r="E291" s="6" t="s">
        <v>61</v>
      </c>
      <c r="F291" s="7" t="s">
        <v>1830</v>
      </c>
      <c r="G291" s="6" t="s">
        <v>22</v>
      </c>
      <c r="H291" s="6">
        <v>316</v>
      </c>
      <c r="I291" s="6" t="s">
        <v>23</v>
      </c>
      <c r="J291" s="6" t="s">
        <v>62</v>
      </c>
      <c r="K291" s="8"/>
      <c r="L291" s="7" t="s">
        <v>1831</v>
      </c>
      <c r="M291" s="8"/>
      <c r="N291" s="8"/>
      <c r="O291" s="8"/>
      <c r="P291" s="6">
        <v>14</v>
      </c>
      <c r="Q291" s="5">
        <v>46304</v>
      </c>
      <c r="R291" s="8"/>
      <c r="S291" s="8"/>
      <c r="T291" s="8"/>
      <c r="U291" s="8"/>
      <c r="V291" s="8"/>
      <c r="W291" s="8"/>
      <c r="X291" s="8"/>
      <c r="Y291" s="885"/>
    </row>
    <row r="292" spans="1:25" ht="50.1" customHeight="1" thickBot="1" x14ac:dyDescent="0.3">
      <c r="A292" s="4" t="s">
        <v>1832</v>
      </c>
      <c r="B292" s="6" t="s">
        <v>1833</v>
      </c>
      <c r="C292" s="5">
        <v>46286</v>
      </c>
      <c r="D292" s="6" t="s">
        <v>33</v>
      </c>
      <c r="E292" s="6" t="s">
        <v>29</v>
      </c>
      <c r="F292" s="7" t="s">
        <v>1834</v>
      </c>
      <c r="G292" s="6" t="s">
        <v>30</v>
      </c>
      <c r="H292" s="6">
        <v>502</v>
      </c>
      <c r="I292" s="6" t="s">
        <v>37</v>
      </c>
      <c r="J292" s="6" t="s">
        <v>38</v>
      </c>
      <c r="K292" s="8"/>
      <c r="L292" s="7" t="s">
        <v>1835</v>
      </c>
      <c r="M292" s="8"/>
      <c r="N292" s="8"/>
      <c r="O292" s="8"/>
      <c r="P292" s="6">
        <v>14</v>
      </c>
      <c r="Q292" s="5">
        <v>46304</v>
      </c>
      <c r="R292" s="8"/>
      <c r="S292" s="8"/>
      <c r="T292" s="8"/>
      <c r="U292" s="8"/>
      <c r="V292" s="8"/>
      <c r="W292" s="8"/>
      <c r="X292" s="8"/>
      <c r="Y292" s="885"/>
    </row>
    <row r="293" spans="1:25" ht="50.1" customHeight="1" thickBot="1" x14ac:dyDescent="0.3">
      <c r="A293" s="4" t="s">
        <v>1836</v>
      </c>
      <c r="B293" s="6" t="s">
        <v>1837</v>
      </c>
      <c r="C293" s="5">
        <v>46286</v>
      </c>
      <c r="D293" s="6" t="s">
        <v>19</v>
      </c>
      <c r="E293" s="6" t="s">
        <v>39</v>
      </c>
      <c r="F293" s="7" t="s">
        <v>58</v>
      </c>
      <c r="G293" s="6" t="s">
        <v>34</v>
      </c>
      <c r="H293" s="6">
        <v>114</v>
      </c>
      <c r="I293" s="6" t="s">
        <v>41</v>
      </c>
      <c r="J293" s="6" t="s">
        <v>42</v>
      </c>
      <c r="K293" s="8"/>
      <c r="L293" s="7" t="s">
        <v>1838</v>
      </c>
      <c r="M293" s="8"/>
      <c r="N293" s="8"/>
      <c r="O293" s="8"/>
      <c r="P293" s="6">
        <v>14</v>
      </c>
      <c r="Q293" s="5">
        <v>46304</v>
      </c>
      <c r="R293" s="8"/>
      <c r="S293" s="8"/>
      <c r="T293" s="8"/>
      <c r="U293" s="8"/>
      <c r="V293" s="8"/>
      <c r="W293" s="8"/>
      <c r="X293" s="8"/>
      <c r="Y293" s="885"/>
    </row>
    <row r="294" spans="1:25" ht="50.1" customHeight="1" thickBot="1" x14ac:dyDescent="0.3">
      <c r="A294" s="4" t="s">
        <v>1839</v>
      </c>
      <c r="B294" s="6" t="s">
        <v>1840</v>
      </c>
      <c r="C294" s="5">
        <v>46286</v>
      </c>
      <c r="D294" s="6" t="s">
        <v>19</v>
      </c>
      <c r="E294" s="6" t="s">
        <v>39</v>
      </c>
      <c r="F294" s="7" t="s">
        <v>58</v>
      </c>
      <c r="G294" s="6" t="s">
        <v>34</v>
      </c>
      <c r="H294" s="6">
        <v>114</v>
      </c>
      <c r="I294" s="6" t="s">
        <v>41</v>
      </c>
      <c r="J294" s="6" t="s">
        <v>42</v>
      </c>
      <c r="K294" s="8"/>
      <c r="L294" s="7" t="s">
        <v>1841</v>
      </c>
      <c r="M294" s="8"/>
      <c r="N294" s="8"/>
      <c r="O294" s="8"/>
      <c r="P294" s="6">
        <v>14</v>
      </c>
      <c r="Q294" s="5">
        <v>46304</v>
      </c>
      <c r="R294" s="8"/>
      <c r="S294" s="8"/>
      <c r="T294" s="8"/>
      <c r="U294" s="8"/>
      <c r="V294" s="8"/>
      <c r="W294" s="8"/>
      <c r="X294" s="8"/>
      <c r="Y294" s="885"/>
    </row>
    <row r="295" spans="1:25" ht="50.1" customHeight="1" thickBot="1" x14ac:dyDescent="0.3">
      <c r="A295" s="4" t="s">
        <v>1842</v>
      </c>
      <c r="B295" s="6" t="s">
        <v>1843</v>
      </c>
      <c r="C295" s="5">
        <v>46286</v>
      </c>
      <c r="D295" s="6" t="s">
        <v>19</v>
      </c>
      <c r="E295" s="6" t="s">
        <v>39</v>
      </c>
      <c r="F295" s="7" t="s">
        <v>1844</v>
      </c>
      <c r="G295" s="6" t="s">
        <v>30</v>
      </c>
      <c r="H295" s="6">
        <v>503</v>
      </c>
      <c r="I295" s="6" t="s">
        <v>31</v>
      </c>
      <c r="J295" s="12" t="s">
        <v>93</v>
      </c>
      <c r="K295" s="8"/>
      <c r="L295" s="7" t="s">
        <v>1845</v>
      </c>
      <c r="M295" s="8"/>
      <c r="N295" s="8"/>
      <c r="O295" s="8"/>
      <c r="P295" s="6">
        <v>14</v>
      </c>
      <c r="Q295" s="5">
        <v>46304</v>
      </c>
      <c r="R295" s="8"/>
      <c r="S295" s="8"/>
      <c r="T295" s="8"/>
      <c r="U295" s="8"/>
      <c r="V295" s="8"/>
      <c r="W295" s="8"/>
      <c r="X295" s="8"/>
      <c r="Y295" s="885"/>
    </row>
    <row r="296" spans="1:25" ht="50.1" customHeight="1" thickBot="1" x14ac:dyDescent="0.3">
      <c r="A296" s="4" t="s">
        <v>1846</v>
      </c>
      <c r="B296" s="6" t="s">
        <v>1847</v>
      </c>
      <c r="C296" s="5">
        <v>46286</v>
      </c>
      <c r="D296" s="6" t="s">
        <v>19</v>
      </c>
      <c r="E296" s="6" t="s">
        <v>61</v>
      </c>
      <c r="F296" s="7" t="s">
        <v>284</v>
      </c>
      <c r="G296" s="6" t="s">
        <v>22</v>
      </c>
      <c r="H296" s="6">
        <v>316</v>
      </c>
      <c r="I296" s="6" t="s">
        <v>23</v>
      </c>
      <c r="J296" s="6" t="s">
        <v>62</v>
      </c>
      <c r="K296" s="8"/>
      <c r="L296" s="7" t="s">
        <v>1848</v>
      </c>
      <c r="M296" s="8"/>
      <c r="N296" s="8"/>
      <c r="O296" s="8"/>
      <c r="P296" s="6">
        <v>14</v>
      </c>
      <c r="Q296" s="5">
        <v>46304</v>
      </c>
      <c r="R296" s="8"/>
      <c r="S296" s="8"/>
      <c r="T296" s="8"/>
      <c r="U296" s="8"/>
      <c r="V296" s="8"/>
      <c r="W296" s="8"/>
      <c r="X296" s="8"/>
      <c r="Y296" s="885"/>
    </row>
    <row r="297" spans="1:25" ht="50.1" customHeight="1" thickBot="1" x14ac:dyDescent="0.3">
      <c r="A297" s="4" t="s">
        <v>1849</v>
      </c>
      <c r="B297" s="6" t="s">
        <v>1850</v>
      </c>
      <c r="C297" s="5">
        <v>46286</v>
      </c>
      <c r="D297" s="6" t="s">
        <v>19</v>
      </c>
      <c r="E297" s="6" t="s">
        <v>20</v>
      </c>
      <c r="F297" s="7" t="s">
        <v>380</v>
      </c>
      <c r="G297" s="6" t="s">
        <v>22</v>
      </c>
      <c r="H297" s="6">
        <v>316</v>
      </c>
      <c r="I297" s="6" t="s">
        <v>23</v>
      </c>
      <c r="J297" s="6" t="s">
        <v>24</v>
      </c>
      <c r="K297" s="8"/>
      <c r="L297" s="7" t="s">
        <v>1851</v>
      </c>
      <c r="M297" s="8"/>
      <c r="N297" s="8"/>
      <c r="O297" s="8"/>
      <c r="P297" s="6">
        <v>14</v>
      </c>
      <c r="Q297" s="5">
        <v>46304</v>
      </c>
      <c r="R297" s="8"/>
      <c r="S297" s="8"/>
      <c r="T297" s="8"/>
      <c r="U297" s="8"/>
      <c r="V297" s="8"/>
      <c r="W297" s="8"/>
      <c r="X297" s="8"/>
      <c r="Y297" s="885"/>
    </row>
    <row r="298" spans="1:25" ht="50.1" customHeight="1" thickBot="1" x14ac:dyDescent="0.3">
      <c r="A298" s="4" t="s">
        <v>1852</v>
      </c>
      <c r="B298" s="6" t="s">
        <v>1853</v>
      </c>
      <c r="C298" s="5">
        <v>46286</v>
      </c>
      <c r="D298" s="6" t="s">
        <v>19</v>
      </c>
      <c r="E298" s="6" t="s">
        <v>61</v>
      </c>
      <c r="F298" s="7" t="s">
        <v>1854</v>
      </c>
      <c r="G298" s="6" t="s">
        <v>22</v>
      </c>
      <c r="H298" s="6">
        <v>316</v>
      </c>
      <c r="I298" s="6" t="s">
        <v>23</v>
      </c>
      <c r="J298" s="6" t="s">
        <v>175</v>
      </c>
      <c r="K298" s="8"/>
      <c r="L298" s="7" t="s">
        <v>1855</v>
      </c>
      <c r="M298" s="6">
        <v>6018260</v>
      </c>
      <c r="N298" s="8"/>
      <c r="O298" s="8"/>
      <c r="P298" s="6">
        <v>14</v>
      </c>
      <c r="Q298" s="5">
        <v>46304</v>
      </c>
      <c r="R298" s="8"/>
      <c r="S298" s="8"/>
      <c r="T298" s="8"/>
      <c r="U298" s="8"/>
      <c r="V298" s="8"/>
      <c r="W298" s="8"/>
      <c r="X298" s="8"/>
      <c r="Y298" s="885"/>
    </row>
    <row r="299" spans="1:25" ht="50.1" customHeight="1" thickBot="1" x14ac:dyDescent="0.3">
      <c r="A299" s="4" t="s">
        <v>1856</v>
      </c>
      <c r="B299" s="6" t="s">
        <v>1857</v>
      </c>
      <c r="C299" s="5">
        <v>46286</v>
      </c>
      <c r="D299" s="6" t="s">
        <v>19</v>
      </c>
      <c r="E299" s="6" t="s">
        <v>61</v>
      </c>
      <c r="F299" s="7" t="s">
        <v>1858</v>
      </c>
      <c r="G299" s="6" t="s">
        <v>22</v>
      </c>
      <c r="H299" s="6">
        <v>316</v>
      </c>
      <c r="I299" s="6" t="s">
        <v>23</v>
      </c>
      <c r="J299" s="6" t="s">
        <v>62</v>
      </c>
      <c r="K299" s="8"/>
      <c r="L299" s="7" t="s">
        <v>1859</v>
      </c>
      <c r="M299" s="8"/>
      <c r="N299" s="8"/>
      <c r="O299" s="8"/>
      <c r="P299" s="6">
        <v>14</v>
      </c>
      <c r="Q299" s="5">
        <v>46304</v>
      </c>
      <c r="R299" s="8"/>
      <c r="S299" s="8"/>
      <c r="T299" s="8"/>
      <c r="U299" s="8"/>
      <c r="V299" s="8"/>
      <c r="W299" s="8"/>
      <c r="X299" s="8"/>
      <c r="Y299" s="885"/>
    </row>
    <row r="300" spans="1:25" ht="50.1" customHeight="1" thickBot="1" x14ac:dyDescent="0.3">
      <c r="A300" s="4" t="s">
        <v>1860</v>
      </c>
      <c r="B300" s="6" t="s">
        <v>1861</v>
      </c>
      <c r="C300" s="5">
        <v>46286</v>
      </c>
      <c r="D300" s="6" t="s">
        <v>19</v>
      </c>
      <c r="E300" s="6" t="s">
        <v>460</v>
      </c>
      <c r="F300" s="878" t="s">
        <v>1862</v>
      </c>
      <c r="G300" s="6" t="s">
        <v>34</v>
      </c>
      <c r="H300" s="6">
        <v>127</v>
      </c>
      <c r="I300" s="6" t="s">
        <v>88</v>
      </c>
      <c r="J300" s="6" t="s">
        <v>71</v>
      </c>
      <c r="K300" s="8"/>
      <c r="L300" s="7" t="s">
        <v>1863</v>
      </c>
      <c r="M300" s="8"/>
      <c r="N300" s="8"/>
      <c r="O300" s="8"/>
      <c r="P300" s="6">
        <v>14</v>
      </c>
      <c r="Q300" s="5">
        <v>46304</v>
      </c>
      <c r="R300" s="8"/>
      <c r="S300" s="8"/>
      <c r="T300" s="8"/>
      <c r="U300" s="8"/>
      <c r="V300" s="8"/>
      <c r="W300" s="8"/>
      <c r="X300" s="8"/>
      <c r="Y300" s="885"/>
    </row>
    <row r="301" spans="1:25" ht="50.1" customHeight="1" thickBot="1" x14ac:dyDescent="0.3">
      <c r="A301" s="4" t="s">
        <v>1842</v>
      </c>
      <c r="B301" s="6" t="s">
        <v>1864</v>
      </c>
      <c r="C301" s="5">
        <v>46286</v>
      </c>
      <c r="D301" s="6" t="s">
        <v>33</v>
      </c>
      <c r="E301" s="6" t="s">
        <v>460</v>
      </c>
      <c r="F301" s="7" t="s">
        <v>1865</v>
      </c>
      <c r="G301" s="6" t="s">
        <v>34</v>
      </c>
      <c r="H301" s="6">
        <v>127</v>
      </c>
      <c r="I301" s="6" t="s">
        <v>88</v>
      </c>
      <c r="J301" s="6" t="s">
        <v>71</v>
      </c>
      <c r="K301" s="8"/>
      <c r="L301" s="7" t="s">
        <v>1866</v>
      </c>
      <c r="M301" s="6">
        <v>1203060</v>
      </c>
      <c r="N301" s="8"/>
      <c r="O301" s="8"/>
      <c r="P301" s="6">
        <v>14</v>
      </c>
      <c r="Q301" s="5">
        <v>46304</v>
      </c>
      <c r="R301" s="8"/>
      <c r="S301" s="8"/>
      <c r="T301" s="8"/>
      <c r="U301" s="8"/>
      <c r="V301" s="8"/>
      <c r="W301" s="8"/>
      <c r="X301" s="8"/>
      <c r="Y301" s="885"/>
    </row>
    <row r="302" spans="1:25" ht="50.1" customHeight="1" thickBot="1" x14ac:dyDescent="0.3">
      <c r="A302" s="4" t="s">
        <v>1867</v>
      </c>
      <c r="B302" s="6" t="s">
        <v>1868</v>
      </c>
      <c r="C302" s="5">
        <v>46286</v>
      </c>
      <c r="D302" s="6" t="s">
        <v>19</v>
      </c>
      <c r="E302" s="6" t="s">
        <v>61</v>
      </c>
      <c r="F302" s="7" t="s">
        <v>1869</v>
      </c>
      <c r="G302" s="6" t="s">
        <v>22</v>
      </c>
      <c r="H302" s="6">
        <v>316</v>
      </c>
      <c r="I302" s="6" t="s">
        <v>23</v>
      </c>
      <c r="J302" s="6" t="s">
        <v>175</v>
      </c>
      <c r="K302" s="8"/>
      <c r="L302" s="7" t="s">
        <v>1870</v>
      </c>
      <c r="M302" s="8"/>
      <c r="N302" s="8"/>
      <c r="O302" s="8"/>
      <c r="P302" s="6">
        <v>14</v>
      </c>
      <c r="Q302" s="5">
        <v>46304</v>
      </c>
      <c r="R302" s="8"/>
      <c r="S302" s="8"/>
      <c r="T302" s="8"/>
      <c r="U302" s="8"/>
      <c r="V302" s="8"/>
      <c r="W302" s="8"/>
      <c r="X302" s="8"/>
      <c r="Y302" s="885"/>
    </row>
    <row r="303" spans="1:25" ht="50.1" customHeight="1" thickBot="1" x14ac:dyDescent="0.3">
      <c r="A303" s="4" t="s">
        <v>1871</v>
      </c>
      <c r="B303" s="6" t="s">
        <v>1872</v>
      </c>
      <c r="C303" s="5">
        <v>46286</v>
      </c>
      <c r="D303" s="6" t="s">
        <v>19</v>
      </c>
      <c r="E303" s="6" t="s">
        <v>460</v>
      </c>
      <c r="F303" s="7" t="s">
        <v>1873</v>
      </c>
      <c r="G303" s="6" t="s">
        <v>22</v>
      </c>
      <c r="H303" s="6">
        <v>316</v>
      </c>
      <c r="I303" s="6" t="s">
        <v>23</v>
      </c>
      <c r="J303" s="6" t="s">
        <v>54</v>
      </c>
      <c r="K303" s="8"/>
      <c r="L303" s="7" t="s">
        <v>1874</v>
      </c>
      <c r="M303" s="8"/>
      <c r="N303" s="8"/>
      <c r="O303" s="8"/>
      <c r="P303" s="6">
        <v>14</v>
      </c>
      <c r="Q303" s="5">
        <v>46304</v>
      </c>
      <c r="R303" s="8"/>
      <c r="S303" s="8"/>
      <c r="T303" s="8"/>
      <c r="U303" s="8"/>
      <c r="V303" s="8"/>
      <c r="W303" s="8"/>
      <c r="X303" s="8"/>
      <c r="Y303" s="885"/>
    </row>
    <row r="304" spans="1:25" ht="50.1" customHeight="1" thickBot="1" x14ac:dyDescent="0.3">
      <c r="A304" s="4" t="s">
        <v>1875</v>
      </c>
      <c r="B304" s="6" t="s">
        <v>1876</v>
      </c>
      <c r="C304" s="5">
        <v>46286</v>
      </c>
      <c r="D304" s="6" t="s">
        <v>19</v>
      </c>
      <c r="E304" s="6" t="s">
        <v>39</v>
      </c>
      <c r="F304" s="7" t="s">
        <v>498</v>
      </c>
      <c r="G304" s="6" t="s">
        <v>34</v>
      </c>
      <c r="H304" s="6">
        <v>114</v>
      </c>
      <c r="I304" s="6" t="s">
        <v>41</v>
      </c>
      <c r="J304" s="6" t="s">
        <v>42</v>
      </c>
      <c r="K304" s="8"/>
      <c r="L304" s="7" t="s">
        <v>1877</v>
      </c>
      <c r="M304" s="6">
        <v>1239068</v>
      </c>
      <c r="N304" s="8"/>
      <c r="O304" s="8"/>
      <c r="P304" s="6">
        <v>14</v>
      </c>
      <c r="Q304" s="5">
        <v>46304</v>
      </c>
      <c r="R304" s="8"/>
      <c r="S304" s="8"/>
      <c r="T304" s="8"/>
      <c r="U304" s="8"/>
      <c r="V304" s="8"/>
      <c r="W304" s="8"/>
      <c r="X304" s="8"/>
      <c r="Y304" s="885"/>
    </row>
    <row r="305" spans="1:25" ht="50.1" customHeight="1" thickBot="1" x14ac:dyDescent="0.3">
      <c r="A305" s="4" t="s">
        <v>1878</v>
      </c>
      <c r="B305" s="6" t="s">
        <v>1879</v>
      </c>
      <c r="C305" s="5">
        <v>46286</v>
      </c>
      <c r="D305" s="6" t="s">
        <v>19</v>
      </c>
      <c r="E305" s="6" t="s">
        <v>39</v>
      </c>
      <c r="F305" s="7" t="s">
        <v>1880</v>
      </c>
      <c r="G305" s="6" t="s">
        <v>30</v>
      </c>
      <c r="H305" s="6">
        <v>503</v>
      </c>
      <c r="I305" s="6" t="s">
        <v>31</v>
      </c>
      <c r="J305" s="12" t="s">
        <v>93</v>
      </c>
      <c r="K305" s="8"/>
      <c r="L305" s="7" t="s">
        <v>1881</v>
      </c>
      <c r="M305" s="8"/>
      <c r="N305" s="8"/>
      <c r="O305" s="8"/>
      <c r="P305" s="6">
        <v>14</v>
      </c>
      <c r="Q305" s="5">
        <v>46304</v>
      </c>
      <c r="R305" s="8"/>
      <c r="S305" s="8"/>
      <c r="T305" s="8"/>
      <c r="U305" s="8"/>
      <c r="V305" s="8"/>
      <c r="W305" s="8"/>
      <c r="X305" s="8"/>
      <c r="Y305" s="885"/>
    </row>
    <row r="306" spans="1:25" ht="50.1" customHeight="1" thickBot="1" x14ac:dyDescent="0.3">
      <c r="A306" s="4" t="s">
        <v>1882</v>
      </c>
      <c r="B306" s="6" t="s">
        <v>1883</v>
      </c>
      <c r="C306" s="5">
        <v>46287</v>
      </c>
      <c r="D306" s="6" t="s">
        <v>28</v>
      </c>
      <c r="E306" s="6" t="s">
        <v>460</v>
      </c>
      <c r="F306" s="7" t="s">
        <v>1884</v>
      </c>
      <c r="G306" s="6" t="s">
        <v>34</v>
      </c>
      <c r="H306" s="6">
        <v>127</v>
      </c>
      <c r="I306" s="6" t="s">
        <v>88</v>
      </c>
      <c r="J306" s="6" t="s">
        <v>71</v>
      </c>
      <c r="K306" s="8"/>
      <c r="L306" s="7" t="s">
        <v>588</v>
      </c>
      <c r="M306" s="8"/>
      <c r="N306" s="8"/>
      <c r="O306" s="8"/>
      <c r="P306" s="6">
        <v>14</v>
      </c>
      <c r="Q306" s="5">
        <v>46304</v>
      </c>
      <c r="R306" s="8"/>
      <c r="S306" s="8"/>
      <c r="T306" s="8"/>
      <c r="U306" s="8"/>
      <c r="V306" s="8"/>
      <c r="W306" s="8"/>
      <c r="X306" s="8"/>
      <c r="Y306" s="885"/>
    </row>
    <row r="307" spans="1:25" ht="50.1" customHeight="1" thickBot="1" x14ac:dyDescent="0.3">
      <c r="A307" s="4" t="s">
        <v>1885</v>
      </c>
      <c r="B307" s="6" t="s">
        <v>1886</v>
      </c>
      <c r="C307" s="5">
        <v>46287</v>
      </c>
      <c r="D307" s="6" t="s">
        <v>19</v>
      </c>
      <c r="E307" s="6" t="s">
        <v>29</v>
      </c>
      <c r="F307" s="7" t="s">
        <v>1887</v>
      </c>
      <c r="G307" s="6" t="s">
        <v>30</v>
      </c>
      <c r="H307" s="6">
        <v>503</v>
      </c>
      <c r="I307" s="6" t="s">
        <v>31</v>
      </c>
      <c r="J307" s="6" t="s">
        <v>32</v>
      </c>
      <c r="K307" s="8"/>
      <c r="L307" s="7" t="s">
        <v>616</v>
      </c>
      <c r="M307" s="8"/>
      <c r="N307" s="8"/>
      <c r="O307" s="7" t="s">
        <v>617</v>
      </c>
      <c r="P307" s="6">
        <v>14</v>
      </c>
      <c r="Q307" s="5">
        <v>46308</v>
      </c>
      <c r="R307" s="8"/>
      <c r="S307" s="8"/>
      <c r="T307" s="8"/>
      <c r="U307" s="8"/>
      <c r="V307" s="8"/>
      <c r="W307" s="8"/>
      <c r="X307" s="8"/>
      <c r="Y307" s="885"/>
    </row>
    <row r="308" spans="1:25" ht="50.1" customHeight="1" thickBot="1" x14ac:dyDescent="0.3">
      <c r="A308" s="4" t="s">
        <v>1888</v>
      </c>
      <c r="B308" s="6" t="s">
        <v>1889</v>
      </c>
      <c r="C308" s="5">
        <v>46287</v>
      </c>
      <c r="D308" s="6" t="s">
        <v>19</v>
      </c>
      <c r="E308" s="6" t="s">
        <v>63</v>
      </c>
      <c r="F308" s="7" t="s">
        <v>1890</v>
      </c>
      <c r="G308" s="6" t="s">
        <v>22</v>
      </c>
      <c r="H308" s="6">
        <v>316</v>
      </c>
      <c r="I308" s="6" t="s">
        <v>23</v>
      </c>
      <c r="J308" s="6" t="s">
        <v>75</v>
      </c>
      <c r="K308" s="8"/>
      <c r="L308" s="7" t="s">
        <v>1891</v>
      </c>
      <c r="M308" s="6">
        <v>1026080</v>
      </c>
      <c r="N308" s="8"/>
      <c r="O308" s="8"/>
      <c r="P308" s="6">
        <v>14</v>
      </c>
      <c r="Q308" s="5">
        <v>46308</v>
      </c>
      <c r="R308" s="8"/>
      <c r="S308" s="8"/>
      <c r="T308" s="8"/>
      <c r="U308" s="8"/>
      <c r="V308" s="8"/>
      <c r="W308" s="8"/>
      <c r="X308" s="8"/>
      <c r="Y308" s="885"/>
    </row>
    <row r="309" spans="1:25" ht="50.1" customHeight="1" thickBot="1" x14ac:dyDescent="0.3">
      <c r="A309" s="4" t="s">
        <v>1892</v>
      </c>
      <c r="B309" s="6" t="s">
        <v>1893</v>
      </c>
      <c r="C309" s="5">
        <v>46287</v>
      </c>
      <c r="D309" s="6" t="s">
        <v>19</v>
      </c>
      <c r="E309" s="6" t="s">
        <v>460</v>
      </c>
      <c r="F309" s="7" t="s">
        <v>1894</v>
      </c>
      <c r="G309" s="6" t="s">
        <v>34</v>
      </c>
      <c r="H309" s="6">
        <v>127</v>
      </c>
      <c r="I309" s="6" t="s">
        <v>1895</v>
      </c>
      <c r="J309" s="6" t="s">
        <v>71</v>
      </c>
      <c r="K309" s="8"/>
      <c r="L309" s="7" t="s">
        <v>1896</v>
      </c>
      <c r="M309" s="8"/>
      <c r="N309" s="8"/>
      <c r="O309" s="8"/>
      <c r="P309" s="6">
        <v>14</v>
      </c>
      <c r="Q309" s="5">
        <v>46308</v>
      </c>
      <c r="R309" s="8"/>
      <c r="S309" s="8"/>
      <c r="T309" s="8"/>
      <c r="U309" s="8"/>
      <c r="V309" s="8"/>
      <c r="W309" s="8"/>
      <c r="X309" s="8"/>
      <c r="Y309" s="885"/>
    </row>
    <row r="310" spans="1:25" ht="50.1" customHeight="1" thickBot="1" x14ac:dyDescent="0.3">
      <c r="A310" s="4" t="s">
        <v>1897</v>
      </c>
      <c r="B310" s="6" t="s">
        <v>1898</v>
      </c>
      <c r="C310" s="5">
        <v>46287</v>
      </c>
      <c r="D310" s="6" t="s">
        <v>19</v>
      </c>
      <c r="E310" s="6" t="s">
        <v>67</v>
      </c>
      <c r="F310" s="7" t="s">
        <v>1899</v>
      </c>
      <c r="G310" s="6" t="s">
        <v>30</v>
      </c>
      <c r="H310" s="6">
        <v>503</v>
      </c>
      <c r="I310" s="6" t="s">
        <v>31</v>
      </c>
      <c r="J310" s="6" t="s">
        <v>101</v>
      </c>
      <c r="K310" s="8"/>
      <c r="L310" s="7" t="s">
        <v>504</v>
      </c>
      <c r="M310" s="8"/>
      <c r="N310" s="8"/>
      <c r="O310" s="7" t="s">
        <v>1900</v>
      </c>
      <c r="P310" s="6">
        <v>14</v>
      </c>
      <c r="Q310" s="5">
        <v>46308</v>
      </c>
      <c r="R310" s="8"/>
      <c r="S310" s="8"/>
      <c r="T310" s="8"/>
      <c r="U310" s="8"/>
      <c r="V310" s="8"/>
      <c r="W310" s="8"/>
      <c r="X310" s="8"/>
      <c r="Y310" s="885"/>
    </row>
    <row r="311" spans="1:25" ht="50.1" customHeight="1" thickBot="1" x14ac:dyDescent="0.3">
      <c r="A311" s="4" t="s">
        <v>1901</v>
      </c>
      <c r="B311" s="6" t="s">
        <v>1902</v>
      </c>
      <c r="C311" s="5">
        <v>46287</v>
      </c>
      <c r="D311" s="6" t="s">
        <v>19</v>
      </c>
      <c r="E311" s="6" t="s">
        <v>29</v>
      </c>
      <c r="F311" s="7" t="s">
        <v>1903</v>
      </c>
      <c r="G311" s="6" t="s">
        <v>30</v>
      </c>
      <c r="H311" s="6">
        <v>503</v>
      </c>
      <c r="I311" s="6" t="s">
        <v>31</v>
      </c>
      <c r="J311" s="6" t="s">
        <v>32</v>
      </c>
      <c r="K311" s="8"/>
      <c r="L311" s="7" t="s">
        <v>1904</v>
      </c>
      <c r="M311" s="8"/>
      <c r="N311" s="8"/>
      <c r="O311" s="8"/>
      <c r="P311" s="6">
        <v>14</v>
      </c>
      <c r="Q311" s="5">
        <v>46308</v>
      </c>
      <c r="R311" s="8"/>
      <c r="S311" s="8"/>
      <c r="T311" s="8"/>
      <c r="U311" s="8"/>
      <c r="V311" s="8"/>
      <c r="W311" s="8"/>
      <c r="X311" s="8"/>
      <c r="Y311" s="885"/>
    </row>
    <row r="312" spans="1:25" ht="50.1" customHeight="1" thickBot="1" x14ac:dyDescent="0.3">
      <c r="A312" s="4" t="s">
        <v>1905</v>
      </c>
      <c r="B312" s="6" t="s">
        <v>1906</v>
      </c>
      <c r="C312" s="5">
        <v>46287</v>
      </c>
      <c r="D312" s="6" t="s">
        <v>19</v>
      </c>
      <c r="E312" s="6" t="s">
        <v>61</v>
      </c>
      <c r="F312" s="7" t="s">
        <v>1907</v>
      </c>
      <c r="G312" s="6" t="s">
        <v>22</v>
      </c>
      <c r="H312" s="6">
        <v>316</v>
      </c>
      <c r="I312" s="6" t="s">
        <v>23</v>
      </c>
      <c r="J312" s="6" t="s">
        <v>1414</v>
      </c>
      <c r="K312" s="8"/>
      <c r="L312" s="7" t="s">
        <v>1908</v>
      </c>
      <c r="M312" s="8"/>
      <c r="N312" s="8"/>
      <c r="O312" s="8"/>
      <c r="P312" s="6">
        <v>14</v>
      </c>
      <c r="Q312" s="5">
        <v>46308</v>
      </c>
      <c r="R312" s="8"/>
      <c r="S312" s="8"/>
      <c r="T312" s="8"/>
      <c r="U312" s="8"/>
      <c r="V312" s="8"/>
      <c r="W312" s="8"/>
      <c r="X312" s="8"/>
      <c r="Y312" s="885"/>
    </row>
    <row r="313" spans="1:25" ht="50.1" customHeight="1" thickBot="1" x14ac:dyDescent="0.3">
      <c r="A313" s="4" t="s">
        <v>1909</v>
      </c>
      <c r="B313" s="6" t="s">
        <v>1910</v>
      </c>
      <c r="C313" s="5">
        <v>46287</v>
      </c>
      <c r="D313" s="6" t="s">
        <v>19</v>
      </c>
      <c r="E313" s="6" t="s">
        <v>84</v>
      </c>
      <c r="F313" s="7" t="s">
        <v>1911</v>
      </c>
      <c r="G313" s="6" t="s">
        <v>30</v>
      </c>
      <c r="H313" s="6">
        <v>503</v>
      </c>
      <c r="I313" s="6" t="s">
        <v>31</v>
      </c>
      <c r="J313" s="6" t="s">
        <v>59</v>
      </c>
      <c r="K313" s="8"/>
      <c r="L313" s="7" t="s">
        <v>1912</v>
      </c>
      <c r="M313" s="8"/>
      <c r="N313" s="8"/>
      <c r="O313" s="8"/>
      <c r="P313" s="6">
        <v>14</v>
      </c>
      <c r="Q313" s="5">
        <v>46308</v>
      </c>
      <c r="R313" s="8"/>
      <c r="S313" s="8"/>
      <c r="T313" s="8"/>
      <c r="U313" s="8"/>
      <c r="V313" s="8"/>
      <c r="W313" s="8"/>
      <c r="X313" s="8"/>
      <c r="Y313" s="885"/>
    </row>
    <row r="314" spans="1:25" ht="50.1" customHeight="1" thickBot="1" x14ac:dyDescent="0.3">
      <c r="A314" s="4" t="s">
        <v>1913</v>
      </c>
      <c r="B314" s="6" t="s">
        <v>1914</v>
      </c>
      <c r="C314" s="5">
        <v>46287</v>
      </c>
      <c r="D314" s="6" t="s">
        <v>19</v>
      </c>
      <c r="E314" s="6" t="s">
        <v>20</v>
      </c>
      <c r="F314" s="7" t="s">
        <v>467</v>
      </c>
      <c r="G314" s="6" t="s">
        <v>22</v>
      </c>
      <c r="H314" s="6">
        <v>316</v>
      </c>
      <c r="I314" s="6" t="s">
        <v>23</v>
      </c>
      <c r="J314" s="6" t="s">
        <v>46</v>
      </c>
      <c r="K314" s="8"/>
      <c r="L314" s="7" t="s">
        <v>1915</v>
      </c>
      <c r="M314" s="8"/>
      <c r="N314" s="8"/>
      <c r="O314" s="8"/>
      <c r="P314" s="6">
        <v>14</v>
      </c>
      <c r="Q314" s="5">
        <v>46308</v>
      </c>
      <c r="R314" s="8"/>
      <c r="S314" s="8"/>
      <c r="T314" s="8"/>
      <c r="U314" s="8"/>
      <c r="V314" s="8"/>
      <c r="W314" s="8"/>
      <c r="X314" s="8"/>
      <c r="Y314" s="885"/>
    </row>
    <row r="315" spans="1:25" ht="50.1" customHeight="1" thickBot="1" x14ac:dyDescent="0.3">
      <c r="A315" s="4" t="s">
        <v>1916</v>
      </c>
      <c r="B315" s="6" t="s">
        <v>1917</v>
      </c>
      <c r="C315" s="5">
        <v>46287</v>
      </c>
      <c r="D315" s="6" t="s">
        <v>19</v>
      </c>
      <c r="E315" s="6" t="s">
        <v>460</v>
      </c>
      <c r="F315" s="7" t="s">
        <v>90</v>
      </c>
      <c r="G315" s="6" t="s">
        <v>22</v>
      </c>
      <c r="H315" s="6">
        <v>316</v>
      </c>
      <c r="I315" s="6" t="s">
        <v>23</v>
      </c>
      <c r="J315" s="6" t="s">
        <v>57</v>
      </c>
      <c r="K315" s="8"/>
      <c r="L315" s="7" t="s">
        <v>1918</v>
      </c>
      <c r="M315" s="6">
        <v>1021060</v>
      </c>
      <c r="N315" s="8"/>
      <c r="O315" s="8"/>
      <c r="P315" s="6">
        <v>14</v>
      </c>
      <c r="Q315" s="5">
        <v>46308</v>
      </c>
      <c r="R315" s="8"/>
      <c r="S315" s="8"/>
      <c r="T315" s="8"/>
      <c r="U315" s="8"/>
      <c r="V315" s="8"/>
      <c r="W315" s="8"/>
      <c r="X315" s="8"/>
      <c r="Y315" s="885"/>
    </row>
    <row r="316" spans="1:25" ht="50.1" customHeight="1" thickBot="1" x14ac:dyDescent="0.3">
      <c r="A316" s="4" t="s">
        <v>1919</v>
      </c>
      <c r="B316" s="6" t="s">
        <v>1920</v>
      </c>
      <c r="C316" s="5">
        <v>46287</v>
      </c>
      <c r="D316" s="6" t="s">
        <v>19</v>
      </c>
      <c r="E316" s="6" t="s">
        <v>460</v>
      </c>
      <c r="F316" s="7" t="s">
        <v>1921</v>
      </c>
      <c r="G316" s="6" t="s">
        <v>22</v>
      </c>
      <c r="H316" s="6">
        <v>316</v>
      </c>
      <c r="I316" s="6" t="s">
        <v>23</v>
      </c>
      <c r="J316" s="6" t="s">
        <v>173</v>
      </c>
      <c r="K316" s="8"/>
      <c r="L316" s="7" t="s">
        <v>1922</v>
      </c>
      <c r="M316" s="8"/>
      <c r="N316" s="8"/>
      <c r="O316" s="8"/>
      <c r="P316" s="6">
        <v>14</v>
      </c>
      <c r="Q316" s="5">
        <v>46308</v>
      </c>
      <c r="R316" s="8"/>
      <c r="S316" s="8"/>
      <c r="T316" s="8"/>
      <c r="U316" s="8"/>
      <c r="V316" s="8"/>
      <c r="W316" s="8"/>
      <c r="X316" s="8"/>
      <c r="Y316" s="885"/>
    </row>
    <row r="317" spans="1:25" ht="50.1" customHeight="1" thickBot="1" x14ac:dyDescent="0.3">
      <c r="A317" s="4" t="s">
        <v>1923</v>
      </c>
      <c r="B317" s="6" t="s">
        <v>1924</v>
      </c>
      <c r="C317" s="5">
        <v>46287</v>
      </c>
      <c r="D317" s="6" t="s">
        <v>19</v>
      </c>
      <c r="E317" s="6" t="s">
        <v>460</v>
      </c>
      <c r="F317" s="7" t="s">
        <v>1925</v>
      </c>
      <c r="G317" s="6" t="s">
        <v>34</v>
      </c>
      <c r="H317" s="6">
        <v>127</v>
      </c>
      <c r="I317" s="6" t="s">
        <v>88</v>
      </c>
      <c r="J317" s="6" t="s">
        <v>1926</v>
      </c>
      <c r="K317" s="8"/>
      <c r="L317" s="7" t="s">
        <v>633</v>
      </c>
      <c r="M317" s="6">
        <v>1012960</v>
      </c>
      <c r="N317" s="6">
        <v>3137268488</v>
      </c>
      <c r="O317" s="7" t="s">
        <v>1927</v>
      </c>
      <c r="P317" s="6">
        <v>14</v>
      </c>
      <c r="Q317" s="5">
        <v>46308</v>
      </c>
      <c r="R317" s="8"/>
      <c r="S317" s="8"/>
      <c r="T317" s="8"/>
      <c r="U317" s="8"/>
      <c r="V317" s="8"/>
      <c r="W317" s="8"/>
      <c r="X317" s="8"/>
      <c r="Y317" s="885"/>
    </row>
    <row r="318" spans="1:25" ht="50.1" customHeight="1" thickBot="1" x14ac:dyDescent="0.3">
      <c r="A318" s="4" t="s">
        <v>1928</v>
      </c>
      <c r="B318" s="6" t="s">
        <v>1929</v>
      </c>
      <c r="C318" s="5">
        <v>46287</v>
      </c>
      <c r="D318" s="6" t="s">
        <v>19</v>
      </c>
      <c r="E318" s="6" t="s">
        <v>460</v>
      </c>
      <c r="F318" s="7" t="s">
        <v>1930</v>
      </c>
      <c r="G318" s="6" t="s">
        <v>34</v>
      </c>
      <c r="H318" s="6">
        <v>127</v>
      </c>
      <c r="I318" s="6" t="s">
        <v>88</v>
      </c>
      <c r="J318" s="6" t="s">
        <v>1926</v>
      </c>
      <c r="K318" s="8"/>
      <c r="L318" s="7" t="s">
        <v>1931</v>
      </c>
      <c r="M318" s="6">
        <v>1251095</v>
      </c>
      <c r="N318" s="8"/>
      <c r="O318" s="8"/>
      <c r="P318" s="6">
        <v>14</v>
      </c>
      <c r="Q318" s="5">
        <v>46308</v>
      </c>
      <c r="R318" s="8"/>
      <c r="S318" s="8"/>
      <c r="T318" s="8"/>
      <c r="U318" s="8"/>
      <c r="V318" s="8"/>
      <c r="W318" s="8"/>
      <c r="X318" s="8"/>
      <c r="Y318" s="885"/>
    </row>
    <row r="319" spans="1:25" ht="50.1" customHeight="1" thickBot="1" x14ac:dyDescent="0.3">
      <c r="A319" s="4" t="s">
        <v>1932</v>
      </c>
      <c r="B319" s="6" t="s">
        <v>1933</v>
      </c>
      <c r="C319" s="5">
        <v>46287</v>
      </c>
      <c r="D319" s="6" t="s">
        <v>19</v>
      </c>
      <c r="E319" s="6" t="s">
        <v>63</v>
      </c>
      <c r="F319" s="7" t="s">
        <v>1934</v>
      </c>
      <c r="G319" s="6" t="s">
        <v>22</v>
      </c>
      <c r="H319" s="6">
        <v>316</v>
      </c>
      <c r="I319" s="6" t="s">
        <v>23</v>
      </c>
      <c r="J319" s="6" t="s">
        <v>367</v>
      </c>
      <c r="K319" s="8"/>
      <c r="L319" s="7" t="s">
        <v>1935</v>
      </c>
      <c r="M319" s="8"/>
      <c r="N319" s="8"/>
      <c r="O319" s="8"/>
      <c r="P319" s="6">
        <v>14</v>
      </c>
      <c r="Q319" s="5">
        <v>46308</v>
      </c>
      <c r="R319" s="8"/>
      <c r="S319" s="8"/>
      <c r="T319" s="8"/>
      <c r="U319" s="8"/>
      <c r="V319" s="8"/>
      <c r="W319" s="8"/>
      <c r="X319" s="8"/>
      <c r="Y319" s="885"/>
    </row>
    <row r="320" spans="1:25" ht="50.1" customHeight="1" thickBot="1" x14ac:dyDescent="0.3">
      <c r="A320" s="4" t="s">
        <v>1936</v>
      </c>
      <c r="B320" s="6" t="s">
        <v>1937</v>
      </c>
      <c r="C320" s="5">
        <v>46287</v>
      </c>
      <c r="D320" s="6" t="s">
        <v>19</v>
      </c>
      <c r="E320" s="6" t="s">
        <v>39</v>
      </c>
      <c r="F320" s="7" t="s">
        <v>1938</v>
      </c>
      <c r="G320" s="6" t="s">
        <v>34</v>
      </c>
      <c r="H320" s="6">
        <v>114</v>
      </c>
      <c r="I320" s="6" t="s">
        <v>41</v>
      </c>
      <c r="J320" s="6" t="s">
        <v>42</v>
      </c>
      <c r="K320" s="8"/>
      <c r="L320" s="7" t="s">
        <v>1939</v>
      </c>
      <c r="M320" s="8"/>
      <c r="N320" s="8"/>
      <c r="O320" s="8"/>
      <c r="P320" s="6">
        <v>14</v>
      </c>
      <c r="Q320" s="5">
        <v>46308</v>
      </c>
      <c r="R320" s="8"/>
      <c r="S320" s="8"/>
      <c r="T320" s="8"/>
      <c r="U320" s="8"/>
      <c r="V320" s="8"/>
      <c r="W320" s="8"/>
      <c r="X320" s="8"/>
      <c r="Y320" s="885"/>
    </row>
    <row r="321" spans="1:25" ht="50.1" customHeight="1" thickBot="1" x14ac:dyDescent="0.3">
      <c r="A321" s="4" t="s">
        <v>1940</v>
      </c>
      <c r="B321" s="6" t="s">
        <v>1941</v>
      </c>
      <c r="C321" s="5">
        <v>46287</v>
      </c>
      <c r="D321" s="6" t="s">
        <v>19</v>
      </c>
      <c r="E321" s="6" t="s">
        <v>29</v>
      </c>
      <c r="F321" s="7" t="s">
        <v>1942</v>
      </c>
      <c r="G321" s="6" t="s">
        <v>30</v>
      </c>
      <c r="H321" s="6">
        <v>503</v>
      </c>
      <c r="I321" s="6" t="s">
        <v>31</v>
      </c>
      <c r="J321" s="6" t="s">
        <v>32</v>
      </c>
      <c r="K321" s="8"/>
      <c r="L321" s="7" t="s">
        <v>547</v>
      </c>
      <c r="M321" s="8"/>
      <c r="N321" s="8"/>
      <c r="O321" s="8"/>
      <c r="P321" s="6">
        <v>14</v>
      </c>
      <c r="Q321" s="5">
        <v>46308</v>
      </c>
      <c r="R321" s="8"/>
      <c r="S321" s="8"/>
      <c r="T321" s="8"/>
      <c r="U321" s="8"/>
      <c r="V321" s="8"/>
      <c r="W321" s="8"/>
      <c r="X321" s="8"/>
      <c r="Y321" s="885"/>
    </row>
    <row r="322" spans="1:25" ht="50.1" customHeight="1" thickBot="1" x14ac:dyDescent="0.3">
      <c r="A322" s="4" t="s">
        <v>1943</v>
      </c>
      <c r="B322" s="6" t="s">
        <v>1944</v>
      </c>
      <c r="C322" s="5">
        <v>46287</v>
      </c>
      <c r="D322" s="6" t="s">
        <v>19</v>
      </c>
      <c r="E322" s="6" t="s">
        <v>39</v>
      </c>
      <c r="F322" s="7" t="s">
        <v>1945</v>
      </c>
      <c r="G322" s="6" t="s">
        <v>34</v>
      </c>
      <c r="H322" s="6">
        <v>114</v>
      </c>
      <c r="I322" s="6" t="s">
        <v>41</v>
      </c>
      <c r="J322" s="6" t="s">
        <v>42</v>
      </c>
      <c r="K322" s="8"/>
      <c r="L322" s="7" t="s">
        <v>1946</v>
      </c>
      <c r="M322" s="8"/>
      <c r="N322" s="8"/>
      <c r="O322" s="8"/>
      <c r="P322" s="6">
        <v>14</v>
      </c>
      <c r="Q322" s="5">
        <v>46308</v>
      </c>
      <c r="R322" s="8"/>
      <c r="S322" s="8"/>
      <c r="T322" s="8"/>
      <c r="U322" s="8"/>
      <c r="V322" s="8"/>
      <c r="W322" s="8"/>
      <c r="X322" s="8"/>
      <c r="Y322" s="885"/>
    </row>
    <row r="323" spans="1:25" ht="50.1" customHeight="1" thickBot="1" x14ac:dyDescent="0.3">
      <c r="A323" s="4" t="s">
        <v>1947</v>
      </c>
      <c r="B323" s="6" t="s">
        <v>1948</v>
      </c>
      <c r="C323" s="5">
        <v>46287</v>
      </c>
      <c r="D323" s="6" t="s">
        <v>28</v>
      </c>
      <c r="E323" s="6" t="s">
        <v>29</v>
      </c>
      <c r="F323" s="7" t="s">
        <v>1949</v>
      </c>
      <c r="G323" s="6" t="s">
        <v>30</v>
      </c>
      <c r="H323" s="6">
        <v>503</v>
      </c>
      <c r="I323" s="6" t="s">
        <v>31</v>
      </c>
      <c r="J323" s="6" t="s">
        <v>32</v>
      </c>
      <c r="K323" s="8"/>
      <c r="L323" s="7" t="s">
        <v>1946</v>
      </c>
      <c r="M323" s="8"/>
      <c r="N323" s="8"/>
      <c r="O323" s="8"/>
      <c r="P323" s="6">
        <v>14</v>
      </c>
      <c r="Q323" s="5">
        <v>46308</v>
      </c>
      <c r="R323" s="8"/>
      <c r="S323" s="8"/>
      <c r="T323" s="8"/>
      <c r="U323" s="8"/>
      <c r="V323" s="8"/>
      <c r="W323" s="8"/>
      <c r="X323" s="8"/>
      <c r="Y323" s="885"/>
    </row>
    <row r="324" spans="1:25" ht="50.1" customHeight="1" thickBot="1" x14ac:dyDescent="0.3">
      <c r="A324" s="4" t="s">
        <v>1950</v>
      </c>
      <c r="B324" s="6" t="s">
        <v>1951</v>
      </c>
      <c r="C324" s="5">
        <v>46287</v>
      </c>
      <c r="D324" s="6" t="s">
        <v>19</v>
      </c>
      <c r="E324" s="6" t="s">
        <v>39</v>
      </c>
      <c r="F324" s="7" t="s">
        <v>1652</v>
      </c>
      <c r="G324" s="6" t="s">
        <v>34</v>
      </c>
      <c r="H324" s="6">
        <v>114</v>
      </c>
      <c r="I324" s="6" t="s">
        <v>41</v>
      </c>
      <c r="J324" s="6" t="s">
        <v>42</v>
      </c>
      <c r="K324" s="8"/>
      <c r="L324" s="7" t="s">
        <v>548</v>
      </c>
      <c r="M324" s="8"/>
      <c r="N324" s="8"/>
      <c r="O324" s="8"/>
      <c r="P324" s="6">
        <v>14</v>
      </c>
      <c r="Q324" s="5">
        <v>46308</v>
      </c>
      <c r="R324" s="8"/>
      <c r="S324" s="8"/>
      <c r="T324" s="8"/>
      <c r="U324" s="8"/>
      <c r="V324" s="8"/>
      <c r="W324" s="8"/>
      <c r="X324" s="8"/>
      <c r="Y324" s="885"/>
    </row>
    <row r="325" spans="1:25" ht="50.1" customHeight="1" thickBot="1" x14ac:dyDescent="0.3">
      <c r="A325" s="4" t="s">
        <v>1952</v>
      </c>
      <c r="B325" s="6" t="s">
        <v>1953</v>
      </c>
      <c r="C325" s="5">
        <v>46287</v>
      </c>
      <c r="D325" s="6" t="s">
        <v>19</v>
      </c>
      <c r="E325" s="6" t="s">
        <v>39</v>
      </c>
      <c r="F325" s="7" t="s">
        <v>553</v>
      </c>
      <c r="G325" s="6" t="s">
        <v>34</v>
      </c>
      <c r="H325" s="6">
        <v>114</v>
      </c>
      <c r="I325" s="6" t="s">
        <v>41</v>
      </c>
      <c r="J325" s="6" t="s">
        <v>42</v>
      </c>
      <c r="K325" s="8"/>
      <c r="L325" s="7" t="s">
        <v>548</v>
      </c>
      <c r="M325" s="8"/>
      <c r="N325" s="8"/>
      <c r="O325" s="8"/>
      <c r="P325" s="6">
        <v>14</v>
      </c>
      <c r="Q325" s="5">
        <v>46308</v>
      </c>
      <c r="R325" s="8"/>
      <c r="S325" s="8"/>
      <c r="T325" s="8"/>
      <c r="U325" s="8"/>
      <c r="V325" s="8"/>
      <c r="W325" s="8"/>
      <c r="X325" s="8"/>
      <c r="Y325" s="885"/>
    </row>
    <row r="326" spans="1:25" ht="50.1" customHeight="1" thickBot="1" x14ac:dyDescent="0.3">
      <c r="A326" s="4" t="s">
        <v>1954</v>
      </c>
      <c r="B326" s="6" t="s">
        <v>1955</v>
      </c>
      <c r="C326" s="5">
        <v>46287</v>
      </c>
      <c r="D326" s="6" t="s">
        <v>28</v>
      </c>
      <c r="E326" s="6" t="s">
        <v>63</v>
      </c>
      <c r="F326" s="7" t="s">
        <v>1956</v>
      </c>
      <c r="G326" s="6" t="s">
        <v>22</v>
      </c>
      <c r="H326" s="6">
        <v>316</v>
      </c>
      <c r="I326" s="6" t="s">
        <v>23</v>
      </c>
      <c r="J326" s="6" t="s">
        <v>75</v>
      </c>
      <c r="K326" s="8"/>
      <c r="L326" s="7" t="s">
        <v>1957</v>
      </c>
      <c r="M326" s="8"/>
      <c r="N326" s="8"/>
      <c r="O326" s="8"/>
      <c r="P326" s="6">
        <v>14</v>
      </c>
      <c r="Q326" s="5">
        <v>46308</v>
      </c>
      <c r="R326" s="8"/>
      <c r="S326" s="8"/>
      <c r="T326" s="8"/>
      <c r="U326" s="8"/>
      <c r="V326" s="8"/>
      <c r="W326" s="8"/>
      <c r="X326" s="8"/>
      <c r="Y326" s="885"/>
    </row>
    <row r="327" spans="1:25" ht="50.1" customHeight="1" thickBot="1" x14ac:dyDescent="0.3">
      <c r="A327" s="4" t="s">
        <v>1958</v>
      </c>
      <c r="B327" s="6" t="s">
        <v>1959</v>
      </c>
      <c r="C327" s="5">
        <v>46287</v>
      </c>
      <c r="D327" s="6" t="s">
        <v>33</v>
      </c>
      <c r="E327" s="6" t="s">
        <v>29</v>
      </c>
      <c r="F327" s="7" t="s">
        <v>1960</v>
      </c>
      <c r="G327" s="6" t="s">
        <v>30</v>
      </c>
      <c r="H327" s="6">
        <v>502</v>
      </c>
      <c r="I327" s="6" t="s">
        <v>37</v>
      </c>
      <c r="J327" s="6" t="s">
        <v>38</v>
      </c>
      <c r="K327" s="8"/>
      <c r="L327" s="7" t="s">
        <v>1961</v>
      </c>
      <c r="M327" s="8"/>
      <c r="N327" s="8"/>
      <c r="O327" s="8"/>
      <c r="P327" s="6">
        <v>14</v>
      </c>
      <c r="Q327" s="5">
        <v>46308</v>
      </c>
      <c r="R327" s="8"/>
      <c r="S327" s="8"/>
      <c r="T327" s="8"/>
      <c r="U327" s="8"/>
      <c r="V327" s="8"/>
      <c r="W327" s="8"/>
      <c r="X327" s="8"/>
      <c r="Y327" s="885"/>
    </row>
    <row r="328" spans="1:25" ht="50.1" customHeight="1" thickBot="1" x14ac:dyDescent="0.3">
      <c r="A328" s="4" t="s">
        <v>1962</v>
      </c>
      <c r="B328" s="6" t="s">
        <v>1963</v>
      </c>
      <c r="C328" s="5">
        <v>46287</v>
      </c>
      <c r="D328" s="6" t="s">
        <v>19</v>
      </c>
      <c r="E328" s="6" t="s">
        <v>39</v>
      </c>
      <c r="F328" s="7" t="s">
        <v>1964</v>
      </c>
      <c r="G328" s="6" t="s">
        <v>34</v>
      </c>
      <c r="H328" s="6">
        <v>114</v>
      </c>
      <c r="I328" s="6" t="s">
        <v>41</v>
      </c>
      <c r="J328" s="6" t="s">
        <v>42</v>
      </c>
      <c r="K328" s="8"/>
      <c r="L328" s="7" t="s">
        <v>499</v>
      </c>
      <c r="M328" s="6">
        <v>1252888</v>
      </c>
      <c r="N328" s="8"/>
      <c r="O328" s="8"/>
      <c r="P328" s="6">
        <v>14</v>
      </c>
      <c r="Q328" s="5">
        <v>46308</v>
      </c>
      <c r="R328" s="8"/>
      <c r="S328" s="8"/>
      <c r="T328" s="8"/>
      <c r="U328" s="8"/>
      <c r="V328" s="8"/>
      <c r="W328" s="8"/>
      <c r="X328" s="8"/>
      <c r="Y328" s="885"/>
    </row>
    <row r="329" spans="1:25" ht="50.1" customHeight="1" thickBot="1" x14ac:dyDescent="0.3">
      <c r="A329" s="4" t="s">
        <v>1965</v>
      </c>
      <c r="B329" s="6" t="s">
        <v>1966</v>
      </c>
      <c r="C329" s="5">
        <v>46287</v>
      </c>
      <c r="D329" s="6" t="s">
        <v>19</v>
      </c>
      <c r="E329" s="6" t="s">
        <v>20</v>
      </c>
      <c r="F329" s="7" t="s">
        <v>467</v>
      </c>
      <c r="G329" s="6" t="s">
        <v>22</v>
      </c>
      <c r="H329" s="6">
        <v>316</v>
      </c>
      <c r="I329" s="6" t="s">
        <v>23</v>
      </c>
      <c r="J329" s="6" t="s">
        <v>46</v>
      </c>
      <c r="K329" s="8"/>
      <c r="L329" s="7" t="s">
        <v>1967</v>
      </c>
      <c r="M329" s="8"/>
      <c r="N329" s="8"/>
      <c r="O329" s="8"/>
      <c r="P329" s="6">
        <v>14</v>
      </c>
      <c r="Q329" s="5">
        <v>46308</v>
      </c>
      <c r="R329" s="8"/>
      <c r="S329" s="8"/>
      <c r="T329" s="8"/>
      <c r="U329" s="8"/>
      <c r="V329" s="8"/>
      <c r="W329" s="8"/>
      <c r="X329" s="8"/>
      <c r="Y329" s="885"/>
    </row>
    <row r="330" spans="1:25" ht="50.1" customHeight="1" thickBot="1" x14ac:dyDescent="0.3">
      <c r="A330" s="4" t="s">
        <v>1968</v>
      </c>
      <c r="B330" s="6" t="s">
        <v>1969</v>
      </c>
      <c r="C330" s="5">
        <v>46287</v>
      </c>
      <c r="D330" s="6" t="s">
        <v>19</v>
      </c>
      <c r="E330" s="6" t="s">
        <v>20</v>
      </c>
      <c r="F330" s="7" t="s">
        <v>464</v>
      </c>
      <c r="G330" s="6" t="s">
        <v>22</v>
      </c>
      <c r="H330" s="6">
        <v>316</v>
      </c>
      <c r="I330" s="6" t="s">
        <v>23</v>
      </c>
      <c r="J330" s="6" t="s">
        <v>24</v>
      </c>
      <c r="K330" s="8"/>
      <c r="L330" s="7" t="s">
        <v>1967</v>
      </c>
      <c r="M330" s="8"/>
      <c r="N330" s="8"/>
      <c r="O330" s="8"/>
      <c r="P330" s="6">
        <v>14</v>
      </c>
      <c r="Q330" s="5">
        <v>46308</v>
      </c>
      <c r="R330" s="8"/>
      <c r="S330" s="8"/>
      <c r="T330" s="8"/>
      <c r="U330" s="8"/>
      <c r="V330" s="8"/>
      <c r="W330" s="8"/>
      <c r="X330" s="8"/>
      <c r="Y330" s="885"/>
    </row>
    <row r="331" spans="1:25" ht="50.1" customHeight="1" thickBot="1" x14ac:dyDescent="0.3">
      <c r="A331" s="4" t="s">
        <v>1970</v>
      </c>
      <c r="B331" s="6" t="s">
        <v>1971</v>
      </c>
      <c r="C331" s="5">
        <v>46287</v>
      </c>
      <c r="D331" s="6" t="s">
        <v>19</v>
      </c>
      <c r="E331" s="6" t="s">
        <v>61</v>
      </c>
      <c r="F331" s="7" t="s">
        <v>1972</v>
      </c>
      <c r="G331" s="6" t="s">
        <v>22</v>
      </c>
      <c r="H331" s="6">
        <v>316</v>
      </c>
      <c r="I331" s="6" t="s">
        <v>23</v>
      </c>
      <c r="J331" s="6" t="s">
        <v>175</v>
      </c>
      <c r="K331" s="8"/>
      <c r="L331" s="7" t="s">
        <v>1973</v>
      </c>
      <c r="M331" s="8"/>
      <c r="N331" s="8"/>
      <c r="O331" s="8"/>
      <c r="P331" s="6">
        <v>14</v>
      </c>
      <c r="Q331" s="5">
        <v>46308</v>
      </c>
      <c r="R331" s="8"/>
      <c r="S331" s="8"/>
      <c r="T331" s="8"/>
      <c r="U331" s="8"/>
      <c r="V331" s="8"/>
      <c r="W331" s="8"/>
      <c r="X331" s="8"/>
      <c r="Y331" s="885"/>
    </row>
    <row r="332" spans="1:25" ht="50.1" customHeight="1" thickBot="1" x14ac:dyDescent="0.3">
      <c r="A332" s="4" t="s">
        <v>1974</v>
      </c>
      <c r="B332" s="6" t="s">
        <v>1975</v>
      </c>
      <c r="C332" s="5">
        <v>46287</v>
      </c>
      <c r="D332" s="6" t="s">
        <v>19</v>
      </c>
      <c r="E332" s="6" t="s">
        <v>61</v>
      </c>
      <c r="F332" s="7" t="s">
        <v>541</v>
      </c>
      <c r="G332" s="6" t="s">
        <v>22</v>
      </c>
      <c r="H332" s="6">
        <v>316</v>
      </c>
      <c r="I332" s="6" t="s">
        <v>23</v>
      </c>
      <c r="J332" s="6" t="s">
        <v>62</v>
      </c>
      <c r="K332" s="8"/>
      <c r="L332" s="7" t="s">
        <v>1976</v>
      </c>
      <c r="M332" s="6">
        <v>1165840</v>
      </c>
      <c r="N332" s="8"/>
      <c r="O332" s="8"/>
      <c r="P332" s="6">
        <v>14</v>
      </c>
      <c r="Q332" s="5">
        <v>46308</v>
      </c>
      <c r="R332" s="8"/>
      <c r="S332" s="8"/>
      <c r="T332" s="8"/>
      <c r="U332" s="8"/>
      <c r="V332" s="8"/>
      <c r="W332" s="8"/>
      <c r="X332" s="8"/>
      <c r="Y332" s="885"/>
    </row>
    <row r="333" spans="1:25" ht="50.1" customHeight="1" thickBot="1" x14ac:dyDescent="0.3">
      <c r="A333" s="4" t="s">
        <v>1977</v>
      </c>
      <c r="B333" s="6" t="s">
        <v>1978</v>
      </c>
      <c r="C333" s="5">
        <v>46287</v>
      </c>
      <c r="D333" s="6" t="s">
        <v>19</v>
      </c>
      <c r="E333" s="6" t="s">
        <v>29</v>
      </c>
      <c r="F333" s="7" t="s">
        <v>1979</v>
      </c>
      <c r="G333" s="6" t="s">
        <v>34</v>
      </c>
      <c r="H333" s="6">
        <v>122</v>
      </c>
      <c r="I333" s="6" t="s">
        <v>50</v>
      </c>
      <c r="J333" s="6" t="s">
        <v>285</v>
      </c>
      <c r="K333" s="8"/>
      <c r="L333" s="7" t="s">
        <v>1980</v>
      </c>
      <c r="M333" s="8"/>
      <c r="N333" s="8"/>
      <c r="O333" s="8"/>
      <c r="P333" s="6">
        <v>14</v>
      </c>
      <c r="Q333" s="5">
        <v>46308</v>
      </c>
      <c r="R333" s="8"/>
      <c r="S333" s="8"/>
      <c r="T333" s="8"/>
      <c r="U333" s="8"/>
      <c r="V333" s="8"/>
      <c r="W333" s="8"/>
      <c r="X333" s="8"/>
      <c r="Y333" s="885"/>
    </row>
    <row r="334" spans="1:25" ht="50.1" customHeight="1" thickBot="1" x14ac:dyDescent="0.3">
      <c r="A334" s="4" t="s">
        <v>1981</v>
      </c>
      <c r="B334" s="6" t="s">
        <v>1982</v>
      </c>
      <c r="C334" s="5">
        <v>46287</v>
      </c>
      <c r="D334" s="6" t="s">
        <v>28</v>
      </c>
      <c r="E334" s="6" t="s">
        <v>39</v>
      </c>
      <c r="F334" s="7" t="s">
        <v>1983</v>
      </c>
      <c r="G334" s="6" t="s">
        <v>30</v>
      </c>
      <c r="H334" s="6">
        <v>503</v>
      </c>
      <c r="I334" s="6" t="s">
        <v>31</v>
      </c>
      <c r="J334" s="6" t="s">
        <v>1984</v>
      </c>
      <c r="K334" s="8"/>
      <c r="L334" s="7" t="s">
        <v>627</v>
      </c>
      <c r="M334" s="8"/>
      <c r="N334" s="8"/>
      <c r="O334" s="7" t="s">
        <v>776</v>
      </c>
      <c r="P334" s="6">
        <v>14</v>
      </c>
      <c r="Q334" s="5">
        <v>46308</v>
      </c>
      <c r="R334" s="8"/>
      <c r="S334" s="8"/>
      <c r="T334" s="8"/>
      <c r="U334" s="8"/>
      <c r="V334" s="8"/>
      <c r="W334" s="8"/>
      <c r="X334" s="8"/>
      <c r="Y334" s="885"/>
    </row>
    <row r="335" spans="1:25" ht="50.1" customHeight="1" thickBot="1" x14ac:dyDescent="0.3">
      <c r="A335" s="4" t="s">
        <v>1985</v>
      </c>
      <c r="B335" s="6" t="s">
        <v>1986</v>
      </c>
      <c r="C335" s="5">
        <v>46288</v>
      </c>
      <c r="D335" s="6" t="s">
        <v>33</v>
      </c>
      <c r="E335" s="6" t="s">
        <v>29</v>
      </c>
      <c r="F335" s="7" t="s">
        <v>1987</v>
      </c>
      <c r="G335" s="6" t="s">
        <v>34</v>
      </c>
      <c r="H335" s="6">
        <v>122</v>
      </c>
      <c r="I335" s="6" t="s">
        <v>50</v>
      </c>
      <c r="J335" s="6" t="s">
        <v>285</v>
      </c>
      <c r="K335" s="8"/>
      <c r="L335" s="7" t="s">
        <v>1988</v>
      </c>
      <c r="M335" s="6">
        <v>1121620</v>
      </c>
      <c r="N335" s="8"/>
      <c r="O335" s="8"/>
      <c r="P335" s="6">
        <v>14</v>
      </c>
      <c r="Q335" s="5">
        <v>46308</v>
      </c>
      <c r="R335" s="8"/>
      <c r="S335" s="8"/>
      <c r="T335" s="8"/>
      <c r="U335" s="8"/>
      <c r="V335" s="8"/>
      <c r="W335" s="8"/>
      <c r="X335" s="8"/>
      <c r="Y335" s="885"/>
    </row>
    <row r="336" spans="1:25" ht="50.1" customHeight="1" thickBot="1" x14ac:dyDescent="0.3">
      <c r="A336" s="4" t="s">
        <v>1989</v>
      </c>
      <c r="B336" s="6" t="s">
        <v>1990</v>
      </c>
      <c r="C336" s="5">
        <v>46288</v>
      </c>
      <c r="D336" s="6" t="s">
        <v>19</v>
      </c>
      <c r="E336" s="6" t="s">
        <v>39</v>
      </c>
      <c r="F336" s="7" t="s">
        <v>1991</v>
      </c>
      <c r="G336" s="6" t="s">
        <v>34</v>
      </c>
      <c r="H336" s="6">
        <v>111</v>
      </c>
      <c r="I336" s="6" t="s">
        <v>115</v>
      </c>
      <c r="J336" s="6" t="s">
        <v>551</v>
      </c>
      <c r="K336" s="8"/>
      <c r="L336" s="7" t="s">
        <v>1992</v>
      </c>
      <c r="M336" s="8"/>
      <c r="N336" s="8"/>
      <c r="O336" s="8"/>
      <c r="P336" s="6">
        <v>14</v>
      </c>
      <c r="Q336" s="5">
        <v>46309</v>
      </c>
      <c r="R336" s="8"/>
      <c r="S336" s="8"/>
      <c r="T336" s="8"/>
      <c r="U336" s="8"/>
      <c r="V336" s="8"/>
      <c r="W336" s="8"/>
      <c r="X336" s="8"/>
      <c r="Y336" s="885"/>
    </row>
    <row r="337" spans="1:25" ht="50.1" customHeight="1" thickBot="1" x14ac:dyDescent="0.3">
      <c r="A337" s="4" t="s">
        <v>1993</v>
      </c>
      <c r="B337" s="6" t="s">
        <v>1994</v>
      </c>
      <c r="C337" s="5">
        <v>46288</v>
      </c>
      <c r="D337" s="6" t="s">
        <v>19</v>
      </c>
      <c r="E337" s="6" t="s">
        <v>63</v>
      </c>
      <c r="F337" s="7" t="s">
        <v>1995</v>
      </c>
      <c r="G337" s="6" t="s">
        <v>22</v>
      </c>
      <c r="H337" s="6">
        <v>316</v>
      </c>
      <c r="I337" s="6" t="s">
        <v>23</v>
      </c>
      <c r="J337" s="6" t="s">
        <v>75</v>
      </c>
      <c r="K337" s="8"/>
      <c r="L337" s="7" t="s">
        <v>1996</v>
      </c>
      <c r="M337" s="6">
        <v>1254380</v>
      </c>
      <c r="N337" s="8"/>
      <c r="O337" s="8"/>
      <c r="P337" s="6">
        <v>14</v>
      </c>
      <c r="Q337" s="5">
        <v>46309</v>
      </c>
      <c r="R337" s="8"/>
      <c r="S337" s="8"/>
      <c r="T337" s="8"/>
      <c r="U337" s="8"/>
      <c r="V337" s="8"/>
      <c r="W337" s="8"/>
      <c r="X337" s="8"/>
      <c r="Y337" s="885"/>
    </row>
    <row r="338" spans="1:25" ht="50.1" customHeight="1" thickBot="1" x14ac:dyDescent="0.3">
      <c r="A338" s="4" t="s">
        <v>1895</v>
      </c>
      <c r="B338" s="6" t="s">
        <v>1997</v>
      </c>
      <c r="C338" s="5">
        <v>46288</v>
      </c>
      <c r="D338" s="6" t="s">
        <v>19</v>
      </c>
      <c r="E338" s="6" t="s">
        <v>460</v>
      </c>
      <c r="F338" s="7" t="s">
        <v>614</v>
      </c>
      <c r="G338" s="6" t="s">
        <v>34</v>
      </c>
      <c r="H338" s="6">
        <v>127</v>
      </c>
      <c r="I338" s="6" t="s">
        <v>88</v>
      </c>
      <c r="J338" s="6" t="s">
        <v>71</v>
      </c>
      <c r="K338" s="8"/>
      <c r="L338" s="7" t="s">
        <v>1998</v>
      </c>
      <c r="M338" s="8"/>
      <c r="N338" s="8"/>
      <c r="O338" s="8"/>
      <c r="P338" s="6">
        <v>14</v>
      </c>
      <c r="Q338" s="5">
        <v>46309</v>
      </c>
      <c r="R338" s="8"/>
      <c r="S338" s="8"/>
      <c r="T338" s="8"/>
      <c r="U338" s="8"/>
      <c r="V338" s="8"/>
      <c r="W338" s="8"/>
      <c r="X338" s="8"/>
      <c r="Y338" s="885"/>
    </row>
    <row r="339" spans="1:25" ht="50.1" customHeight="1" thickBot="1" x14ac:dyDescent="0.3">
      <c r="A339" s="4" t="s">
        <v>1999</v>
      </c>
      <c r="B339" s="6" t="s">
        <v>2000</v>
      </c>
      <c r="C339" s="5">
        <v>46288</v>
      </c>
      <c r="D339" s="6" t="s">
        <v>19</v>
      </c>
      <c r="E339" s="6" t="s">
        <v>39</v>
      </c>
      <c r="F339" s="7" t="s">
        <v>2001</v>
      </c>
      <c r="G339" s="6" t="s">
        <v>30</v>
      </c>
      <c r="H339" s="6">
        <v>503</v>
      </c>
      <c r="I339" s="6" t="s">
        <v>31</v>
      </c>
      <c r="J339" s="12" t="s">
        <v>93</v>
      </c>
      <c r="K339" s="8"/>
      <c r="L339" s="7" t="s">
        <v>2002</v>
      </c>
      <c r="M339" s="8"/>
      <c r="N339" s="8"/>
      <c r="O339" s="8"/>
      <c r="P339" s="6">
        <v>14</v>
      </c>
      <c r="Q339" s="5">
        <v>46309</v>
      </c>
      <c r="R339" s="8"/>
      <c r="S339" s="8"/>
      <c r="T339" s="8"/>
      <c r="U339" s="8"/>
      <c r="V339" s="8"/>
      <c r="W339" s="8"/>
      <c r="X339" s="8"/>
      <c r="Y339" s="885"/>
    </row>
    <row r="340" spans="1:25" ht="50.1" customHeight="1" thickBot="1" x14ac:dyDescent="0.3">
      <c r="A340" s="4" t="s">
        <v>2003</v>
      </c>
      <c r="B340" s="6" t="s">
        <v>2004</v>
      </c>
      <c r="C340" s="5">
        <v>46288</v>
      </c>
      <c r="D340" s="6" t="s">
        <v>19</v>
      </c>
      <c r="E340" s="6" t="s">
        <v>61</v>
      </c>
      <c r="F340" s="7" t="s">
        <v>2005</v>
      </c>
      <c r="G340" s="6" t="s">
        <v>30</v>
      </c>
      <c r="H340" s="6">
        <v>316</v>
      </c>
      <c r="I340" s="6" t="s">
        <v>23</v>
      </c>
      <c r="J340" s="6" t="s">
        <v>173</v>
      </c>
      <c r="K340" s="8"/>
      <c r="L340" s="7" t="s">
        <v>2006</v>
      </c>
      <c r="M340" s="8"/>
      <c r="N340" s="8"/>
      <c r="O340" s="8"/>
      <c r="P340" s="6">
        <v>14</v>
      </c>
      <c r="Q340" s="5">
        <v>46309</v>
      </c>
      <c r="R340" s="8"/>
      <c r="S340" s="8"/>
      <c r="T340" s="8"/>
      <c r="U340" s="8"/>
      <c r="V340" s="8"/>
      <c r="W340" s="8"/>
      <c r="X340" s="8"/>
      <c r="Y340" s="885"/>
    </row>
    <row r="341" spans="1:25" ht="50.1" customHeight="1" thickBot="1" x14ac:dyDescent="0.3">
      <c r="A341" s="4" t="s">
        <v>2007</v>
      </c>
      <c r="B341" s="6" t="s">
        <v>2008</v>
      </c>
      <c r="C341" s="5">
        <v>46288</v>
      </c>
      <c r="D341" s="6" t="s">
        <v>19</v>
      </c>
      <c r="E341" s="6" t="s">
        <v>20</v>
      </c>
      <c r="F341" s="7" t="s">
        <v>2009</v>
      </c>
      <c r="G341" s="6" t="s">
        <v>22</v>
      </c>
      <c r="H341" s="6">
        <v>304</v>
      </c>
      <c r="I341" s="6" t="s">
        <v>43</v>
      </c>
      <c r="J341" s="6" t="s">
        <v>44</v>
      </c>
      <c r="K341" s="8"/>
      <c r="L341" s="7" t="s">
        <v>2010</v>
      </c>
      <c r="M341" s="6">
        <v>1253935</v>
      </c>
      <c r="N341" s="8"/>
      <c r="O341" s="8"/>
      <c r="P341" s="6">
        <v>14</v>
      </c>
      <c r="Q341" s="5">
        <v>46309</v>
      </c>
      <c r="R341" s="8"/>
      <c r="S341" s="8"/>
      <c r="T341" s="8"/>
      <c r="U341" s="8"/>
      <c r="V341" s="8"/>
      <c r="W341" s="8"/>
      <c r="X341" s="8"/>
      <c r="Y341" s="885"/>
    </row>
    <row r="342" spans="1:25" ht="50.1" customHeight="1" thickBot="1" x14ac:dyDescent="0.3">
      <c r="A342" s="4" t="s">
        <v>2011</v>
      </c>
      <c r="B342" s="6" t="s">
        <v>2012</v>
      </c>
      <c r="C342" s="5">
        <v>46288</v>
      </c>
      <c r="D342" s="6" t="s">
        <v>19</v>
      </c>
      <c r="E342" s="6" t="s">
        <v>39</v>
      </c>
      <c r="F342" s="7" t="s">
        <v>2001</v>
      </c>
      <c r="G342" s="6" t="s">
        <v>30</v>
      </c>
      <c r="H342" s="6">
        <v>503</v>
      </c>
      <c r="I342" s="6" t="s">
        <v>31</v>
      </c>
      <c r="J342" s="12" t="s">
        <v>93</v>
      </c>
      <c r="K342" s="8"/>
      <c r="L342" s="7" t="s">
        <v>413</v>
      </c>
      <c r="M342" s="8"/>
      <c r="N342" s="8"/>
      <c r="O342" s="8"/>
      <c r="P342" s="6">
        <v>14</v>
      </c>
      <c r="Q342" s="5">
        <v>46309</v>
      </c>
      <c r="R342" s="8"/>
      <c r="S342" s="8"/>
      <c r="T342" s="8"/>
      <c r="U342" s="8"/>
      <c r="V342" s="8"/>
      <c r="W342" s="8"/>
      <c r="X342" s="8"/>
      <c r="Y342" s="885"/>
    </row>
    <row r="343" spans="1:25" ht="50.1" customHeight="1" thickBot="1" x14ac:dyDescent="0.3">
      <c r="A343" s="4" t="s">
        <v>2013</v>
      </c>
      <c r="B343" s="6" t="s">
        <v>2014</v>
      </c>
      <c r="C343" s="5">
        <v>46288</v>
      </c>
      <c r="D343" s="6" t="s">
        <v>19</v>
      </c>
      <c r="E343" s="6" t="s">
        <v>460</v>
      </c>
      <c r="F343" s="7" t="s">
        <v>1663</v>
      </c>
      <c r="G343" s="6" t="s">
        <v>22</v>
      </c>
      <c r="H343" s="6">
        <v>316</v>
      </c>
      <c r="I343" s="6" t="s">
        <v>23</v>
      </c>
      <c r="J343" s="6" t="s">
        <v>167</v>
      </c>
      <c r="K343" s="8"/>
      <c r="L343" s="7" t="s">
        <v>2015</v>
      </c>
      <c r="M343" s="8"/>
      <c r="N343" s="8"/>
      <c r="O343" s="8"/>
      <c r="P343" s="6">
        <v>14</v>
      </c>
      <c r="Q343" s="5">
        <v>46309</v>
      </c>
      <c r="R343" s="8"/>
      <c r="S343" s="8"/>
      <c r="T343" s="8"/>
      <c r="U343" s="8"/>
      <c r="V343" s="8"/>
      <c r="W343" s="8"/>
      <c r="X343" s="8"/>
      <c r="Y343" s="885"/>
    </row>
    <row r="344" spans="1:25" ht="50.1" customHeight="1" thickBot="1" x14ac:dyDescent="0.3">
      <c r="A344" s="4" t="s">
        <v>2016</v>
      </c>
      <c r="B344" s="6" t="s">
        <v>2017</v>
      </c>
      <c r="C344" s="5">
        <v>46288</v>
      </c>
      <c r="D344" s="6" t="s">
        <v>19</v>
      </c>
      <c r="E344" s="6" t="s">
        <v>29</v>
      </c>
      <c r="F344" s="7" t="s">
        <v>2018</v>
      </c>
      <c r="G344" s="6" t="s">
        <v>30</v>
      </c>
      <c r="H344" s="6">
        <v>503</v>
      </c>
      <c r="I344" s="6" t="s">
        <v>31</v>
      </c>
      <c r="J344" s="6" t="s">
        <v>81</v>
      </c>
      <c r="K344" s="8"/>
      <c r="L344" s="7" t="s">
        <v>2010</v>
      </c>
      <c r="M344" s="8"/>
      <c r="N344" s="8"/>
      <c r="O344" s="8"/>
      <c r="P344" s="6">
        <v>14</v>
      </c>
      <c r="Q344" s="5">
        <v>46309</v>
      </c>
      <c r="R344" s="8"/>
      <c r="S344" s="8"/>
      <c r="T344" s="8"/>
      <c r="U344" s="8"/>
      <c r="V344" s="8"/>
      <c r="W344" s="8"/>
      <c r="X344" s="8"/>
      <c r="Y344" s="885"/>
    </row>
    <row r="345" spans="1:25" ht="50.1" customHeight="1" thickBot="1" x14ac:dyDescent="0.3">
      <c r="A345" s="4" t="s">
        <v>2019</v>
      </c>
      <c r="B345" s="6" t="s">
        <v>2020</v>
      </c>
      <c r="C345" s="5">
        <v>46288</v>
      </c>
      <c r="D345" s="6" t="s">
        <v>19</v>
      </c>
      <c r="E345" s="6" t="s">
        <v>460</v>
      </c>
      <c r="F345" s="7" t="s">
        <v>2021</v>
      </c>
      <c r="G345" s="6" t="s">
        <v>34</v>
      </c>
      <c r="H345" s="6">
        <v>127</v>
      </c>
      <c r="I345" s="6" t="s">
        <v>88</v>
      </c>
      <c r="J345" s="6" t="s">
        <v>71</v>
      </c>
      <c r="K345" s="8"/>
      <c r="L345" s="7" t="s">
        <v>643</v>
      </c>
      <c r="M345" s="8"/>
      <c r="N345" s="8"/>
      <c r="O345" s="8"/>
      <c r="P345" s="6">
        <v>14</v>
      </c>
      <c r="Q345" s="5">
        <v>46309</v>
      </c>
      <c r="R345" s="8"/>
      <c r="S345" s="8"/>
      <c r="T345" s="8"/>
      <c r="U345" s="8"/>
      <c r="V345" s="8"/>
      <c r="W345" s="8"/>
      <c r="X345" s="8"/>
      <c r="Y345" s="885"/>
    </row>
    <row r="346" spans="1:25" ht="50.1" customHeight="1" thickBot="1" x14ac:dyDescent="0.3">
      <c r="A346" s="4" t="s">
        <v>2022</v>
      </c>
      <c r="B346" s="6" t="s">
        <v>2023</v>
      </c>
      <c r="C346" s="5">
        <v>46288</v>
      </c>
      <c r="D346" s="6" t="s">
        <v>19</v>
      </c>
      <c r="E346" s="6" t="s">
        <v>29</v>
      </c>
      <c r="F346" s="7" t="s">
        <v>290</v>
      </c>
      <c r="G346" s="6" t="s">
        <v>34</v>
      </c>
      <c r="H346" s="6">
        <v>106</v>
      </c>
      <c r="I346" s="6" t="s">
        <v>112</v>
      </c>
      <c r="J346" s="6" t="s">
        <v>53</v>
      </c>
      <c r="K346" s="8"/>
      <c r="L346" s="7" t="s">
        <v>2024</v>
      </c>
      <c r="M346" s="8"/>
      <c r="N346" s="8"/>
      <c r="O346" s="8"/>
      <c r="P346" s="6">
        <v>14</v>
      </c>
      <c r="Q346" s="5">
        <v>46309</v>
      </c>
      <c r="R346" s="8"/>
      <c r="S346" s="8"/>
      <c r="T346" s="8"/>
      <c r="U346" s="8"/>
      <c r="V346" s="8"/>
      <c r="W346" s="8"/>
      <c r="X346" s="8"/>
      <c r="Y346" s="885"/>
    </row>
    <row r="347" spans="1:25" ht="50.1" customHeight="1" thickBot="1" x14ac:dyDescent="0.3">
      <c r="A347" s="4" t="s">
        <v>2025</v>
      </c>
      <c r="B347" s="6" t="s">
        <v>2026</v>
      </c>
      <c r="C347" s="5">
        <v>46288</v>
      </c>
      <c r="D347" s="6" t="s">
        <v>19</v>
      </c>
      <c r="E347" s="6" t="s">
        <v>39</v>
      </c>
      <c r="F347" s="7" t="s">
        <v>553</v>
      </c>
      <c r="G347" s="6" t="s">
        <v>34</v>
      </c>
      <c r="H347" s="6">
        <v>114</v>
      </c>
      <c r="I347" s="6" t="s">
        <v>41</v>
      </c>
      <c r="J347" s="6" t="s">
        <v>42</v>
      </c>
      <c r="K347" s="8"/>
      <c r="L347" s="7" t="s">
        <v>631</v>
      </c>
      <c r="M347" s="8"/>
      <c r="N347" s="8"/>
      <c r="O347" s="8"/>
      <c r="P347" s="6">
        <v>14</v>
      </c>
      <c r="Q347" s="5">
        <v>46309</v>
      </c>
      <c r="R347" s="8"/>
      <c r="S347" s="8"/>
      <c r="T347" s="8"/>
      <c r="U347" s="8"/>
      <c r="V347" s="8"/>
      <c r="W347" s="8"/>
      <c r="X347" s="8"/>
      <c r="Y347" s="885"/>
    </row>
    <row r="348" spans="1:25" ht="50.1" customHeight="1" thickBot="1" x14ac:dyDescent="0.3">
      <c r="A348" s="4" t="s">
        <v>2027</v>
      </c>
      <c r="B348" s="6" t="s">
        <v>2028</v>
      </c>
      <c r="C348" s="5">
        <v>46288</v>
      </c>
      <c r="D348" s="6" t="s">
        <v>19</v>
      </c>
      <c r="E348" s="6" t="s">
        <v>67</v>
      </c>
      <c r="F348" s="7" t="s">
        <v>2029</v>
      </c>
      <c r="G348" s="6" t="s">
        <v>22</v>
      </c>
      <c r="H348" s="6">
        <v>308</v>
      </c>
      <c r="I348" s="6" t="s">
        <v>77</v>
      </c>
      <c r="J348" s="6" t="s">
        <v>138</v>
      </c>
      <c r="K348" s="8"/>
      <c r="L348" s="7" t="s">
        <v>2030</v>
      </c>
      <c r="M348" s="8"/>
      <c r="N348" s="8"/>
      <c r="O348" s="8"/>
      <c r="P348" s="6">
        <v>14</v>
      </c>
      <c r="Q348" s="5">
        <v>46309</v>
      </c>
      <c r="R348" s="8"/>
      <c r="S348" s="8"/>
      <c r="T348" s="8"/>
      <c r="U348" s="8"/>
      <c r="V348" s="8"/>
      <c r="W348" s="8"/>
      <c r="X348" s="8"/>
      <c r="Y348" s="885"/>
    </row>
    <row r="349" spans="1:25" ht="50.1" customHeight="1" thickBot="1" x14ac:dyDescent="0.3">
      <c r="A349" s="4" t="s">
        <v>2031</v>
      </c>
      <c r="B349" s="6" t="s">
        <v>2032</v>
      </c>
      <c r="C349" s="5">
        <v>46288</v>
      </c>
      <c r="D349" s="6" t="s">
        <v>19</v>
      </c>
      <c r="E349" s="6" t="s">
        <v>39</v>
      </c>
      <c r="F349" s="7" t="s">
        <v>2033</v>
      </c>
      <c r="G349" s="6" t="s">
        <v>22</v>
      </c>
      <c r="H349" s="6">
        <v>311</v>
      </c>
      <c r="I349" s="6" t="s">
        <v>64</v>
      </c>
      <c r="J349" s="12" t="s">
        <v>2034</v>
      </c>
      <c r="K349" s="8"/>
      <c r="L349" s="7" t="s">
        <v>2035</v>
      </c>
      <c r="M349" s="8"/>
      <c r="N349" s="8"/>
      <c r="O349" s="8"/>
      <c r="P349" s="6">
        <v>14</v>
      </c>
      <c r="Q349" s="5">
        <v>46309</v>
      </c>
      <c r="R349" s="8"/>
      <c r="S349" s="8"/>
      <c r="T349" s="8"/>
      <c r="U349" s="8"/>
      <c r="V349" s="8"/>
      <c r="W349" s="8"/>
      <c r="X349" s="8"/>
      <c r="Y349" s="885"/>
    </row>
    <row r="350" spans="1:25" ht="50.1" customHeight="1" thickBot="1" x14ac:dyDescent="0.3">
      <c r="A350" s="4" t="s">
        <v>2036</v>
      </c>
      <c r="B350" s="6" t="s">
        <v>2037</v>
      </c>
      <c r="C350" s="5">
        <v>46288</v>
      </c>
      <c r="D350" s="6" t="s">
        <v>19</v>
      </c>
      <c r="E350" s="6" t="s">
        <v>29</v>
      </c>
      <c r="F350" s="7" t="s">
        <v>2038</v>
      </c>
      <c r="G350" s="6" t="s">
        <v>34</v>
      </c>
      <c r="H350" s="6">
        <v>122</v>
      </c>
      <c r="I350" s="6" t="s">
        <v>50</v>
      </c>
      <c r="J350" s="6" t="s">
        <v>285</v>
      </c>
      <c r="K350" s="8"/>
      <c r="L350" s="7" t="s">
        <v>649</v>
      </c>
      <c r="M350" s="8"/>
      <c r="N350" s="8"/>
      <c r="O350" s="8"/>
      <c r="P350" s="6">
        <v>14</v>
      </c>
      <c r="Q350" s="5">
        <v>46309</v>
      </c>
      <c r="R350" s="8"/>
      <c r="S350" s="8"/>
      <c r="T350" s="8"/>
      <c r="U350" s="8"/>
      <c r="V350" s="8"/>
      <c r="W350" s="8"/>
      <c r="X350" s="8"/>
      <c r="Y350" s="885"/>
    </row>
    <row r="351" spans="1:25" ht="50.1" customHeight="1" thickBot="1" x14ac:dyDescent="0.3">
      <c r="A351" s="4" t="s">
        <v>2039</v>
      </c>
      <c r="B351" s="6" t="s">
        <v>2040</v>
      </c>
      <c r="C351" s="5">
        <v>46288</v>
      </c>
      <c r="D351" s="6" t="s">
        <v>19</v>
      </c>
      <c r="E351" s="6" t="s">
        <v>39</v>
      </c>
      <c r="F351" s="7" t="s">
        <v>543</v>
      </c>
      <c r="G351" s="6" t="s">
        <v>34</v>
      </c>
      <c r="H351" s="6">
        <v>114</v>
      </c>
      <c r="I351" s="6" t="s">
        <v>41</v>
      </c>
      <c r="J351" s="6" t="s">
        <v>42</v>
      </c>
      <c r="K351" s="8"/>
      <c r="L351" s="7" t="s">
        <v>2041</v>
      </c>
      <c r="M351" s="6">
        <v>1251528</v>
      </c>
      <c r="N351" s="8"/>
      <c r="O351" s="8"/>
      <c r="P351" s="6">
        <v>14</v>
      </c>
      <c r="Q351" s="5">
        <v>46309</v>
      </c>
      <c r="R351" s="8"/>
      <c r="S351" s="8"/>
      <c r="T351" s="8"/>
      <c r="U351" s="8"/>
      <c r="V351" s="8"/>
      <c r="W351" s="8"/>
      <c r="X351" s="8"/>
      <c r="Y351" s="885"/>
    </row>
    <row r="352" spans="1:25" ht="50.1" customHeight="1" thickBot="1" x14ac:dyDescent="0.3">
      <c r="A352" s="4" t="s">
        <v>2042</v>
      </c>
      <c r="B352" s="6" t="s">
        <v>2043</v>
      </c>
      <c r="C352" s="5">
        <v>46288</v>
      </c>
      <c r="D352" s="6" t="s">
        <v>19</v>
      </c>
      <c r="E352" s="6" t="s">
        <v>20</v>
      </c>
      <c r="F352" s="7" t="s">
        <v>488</v>
      </c>
      <c r="G352" s="6" t="s">
        <v>22</v>
      </c>
      <c r="H352" s="6">
        <v>304</v>
      </c>
      <c r="I352" s="6" t="s">
        <v>43</v>
      </c>
      <c r="J352" s="6" t="s">
        <v>44</v>
      </c>
      <c r="K352" s="8"/>
      <c r="L352" s="7" t="s">
        <v>632</v>
      </c>
      <c r="M352" s="8"/>
      <c r="N352" s="8"/>
      <c r="O352" s="8"/>
      <c r="P352" s="6">
        <v>14</v>
      </c>
      <c r="Q352" s="5">
        <v>46309</v>
      </c>
      <c r="R352" s="8"/>
      <c r="S352" s="8"/>
      <c r="T352" s="8"/>
      <c r="U352" s="8"/>
      <c r="V352" s="8"/>
      <c r="W352" s="8"/>
      <c r="X352" s="8"/>
      <c r="Y352" s="885"/>
    </row>
    <row r="353" spans="1:25" ht="50.1" customHeight="1" thickBot="1" x14ac:dyDescent="0.3">
      <c r="A353" s="4" t="s">
        <v>2044</v>
      </c>
      <c r="B353" s="6" t="s">
        <v>2045</v>
      </c>
      <c r="C353" s="5">
        <v>46288</v>
      </c>
      <c r="D353" s="6" t="s">
        <v>28</v>
      </c>
      <c r="E353" s="6" t="s">
        <v>29</v>
      </c>
      <c r="F353" s="7" t="s">
        <v>2046</v>
      </c>
      <c r="G353" s="6" t="s">
        <v>34</v>
      </c>
      <c r="H353" s="6">
        <v>106</v>
      </c>
      <c r="I353" s="6" t="s">
        <v>112</v>
      </c>
      <c r="J353" s="6" t="s">
        <v>53</v>
      </c>
      <c r="K353" s="8"/>
      <c r="L353" s="7" t="s">
        <v>627</v>
      </c>
      <c r="M353" s="8"/>
      <c r="N353" s="8"/>
      <c r="O353" s="8"/>
      <c r="P353" s="6">
        <v>14</v>
      </c>
      <c r="Q353" s="5">
        <v>46309</v>
      </c>
      <c r="R353" s="8"/>
      <c r="S353" s="8"/>
      <c r="T353" s="8"/>
      <c r="U353" s="8"/>
      <c r="V353" s="8"/>
      <c r="W353" s="8"/>
      <c r="X353" s="8"/>
      <c r="Y353" s="885"/>
    </row>
    <row r="354" spans="1:25" ht="50.1" customHeight="1" thickBot="1" x14ac:dyDescent="0.3">
      <c r="A354" s="4" t="s">
        <v>2047</v>
      </c>
      <c r="B354" s="6" t="s">
        <v>2048</v>
      </c>
      <c r="C354" s="5">
        <v>46288</v>
      </c>
      <c r="D354" s="6" t="s">
        <v>19</v>
      </c>
      <c r="E354" s="6" t="s">
        <v>460</v>
      </c>
      <c r="F354" s="7" t="s">
        <v>2049</v>
      </c>
      <c r="G354" s="6" t="s">
        <v>22</v>
      </c>
      <c r="H354" s="6">
        <v>316</v>
      </c>
      <c r="I354" s="6" t="s">
        <v>23</v>
      </c>
      <c r="J354" s="12" t="s">
        <v>169</v>
      </c>
      <c r="K354" s="8"/>
      <c r="L354" s="7" t="s">
        <v>2050</v>
      </c>
      <c r="M354" s="8"/>
      <c r="N354" s="8"/>
      <c r="O354" s="8"/>
      <c r="P354" s="6">
        <v>14</v>
      </c>
      <c r="Q354" s="5">
        <v>46309</v>
      </c>
      <c r="R354" s="8"/>
      <c r="S354" s="8"/>
      <c r="T354" s="8"/>
      <c r="U354" s="8"/>
      <c r="V354" s="8"/>
      <c r="W354" s="8"/>
      <c r="X354" s="8"/>
      <c r="Y354" s="885"/>
    </row>
    <row r="355" spans="1:25" ht="50.1" customHeight="1" thickBot="1" x14ac:dyDescent="0.3">
      <c r="A355" s="4" t="s">
        <v>2051</v>
      </c>
      <c r="B355" s="6" t="s">
        <v>2052</v>
      </c>
      <c r="C355" s="5">
        <v>46288</v>
      </c>
      <c r="D355" s="6" t="s">
        <v>19</v>
      </c>
      <c r="E355" s="6" t="s">
        <v>460</v>
      </c>
      <c r="F355" s="7" t="s">
        <v>614</v>
      </c>
      <c r="G355" s="6" t="s">
        <v>34</v>
      </c>
      <c r="H355" s="6">
        <v>127</v>
      </c>
      <c r="I355" s="6" t="s">
        <v>88</v>
      </c>
      <c r="J355" s="6" t="s">
        <v>71</v>
      </c>
      <c r="K355" s="8"/>
      <c r="L355" s="7" t="s">
        <v>2053</v>
      </c>
      <c r="M355" s="8"/>
      <c r="N355" s="8"/>
      <c r="O355" s="8"/>
      <c r="P355" s="6">
        <v>14</v>
      </c>
      <c r="Q355" s="5">
        <v>46309</v>
      </c>
      <c r="R355" s="8"/>
      <c r="S355" s="8"/>
      <c r="T355" s="8"/>
      <c r="U355" s="8"/>
      <c r="V355" s="8"/>
      <c r="W355" s="8"/>
      <c r="X355" s="8"/>
      <c r="Y355" s="885"/>
    </row>
    <row r="356" spans="1:25" ht="50.1" customHeight="1" thickBot="1" x14ac:dyDescent="0.3">
      <c r="A356" s="4" t="s">
        <v>2054</v>
      </c>
      <c r="B356" s="6" t="s">
        <v>2055</v>
      </c>
      <c r="C356" s="5">
        <v>46288</v>
      </c>
      <c r="D356" s="6" t="s">
        <v>19</v>
      </c>
      <c r="E356" s="6" t="s">
        <v>20</v>
      </c>
      <c r="F356" s="7" t="s">
        <v>464</v>
      </c>
      <c r="G356" s="6" t="s">
        <v>22</v>
      </c>
      <c r="H356" s="6">
        <v>316</v>
      </c>
      <c r="I356" s="6" t="s">
        <v>23</v>
      </c>
      <c r="J356" s="6" t="s">
        <v>24</v>
      </c>
      <c r="K356" s="8"/>
      <c r="L356" s="7" t="s">
        <v>2056</v>
      </c>
      <c r="M356" s="8"/>
      <c r="N356" s="8"/>
      <c r="O356" s="8"/>
      <c r="P356" s="6">
        <v>14</v>
      </c>
      <c r="Q356" s="5">
        <v>46309</v>
      </c>
      <c r="R356" s="8"/>
      <c r="S356" s="8"/>
      <c r="T356" s="8"/>
      <c r="U356" s="8"/>
      <c r="V356" s="8"/>
      <c r="W356" s="8"/>
      <c r="X356" s="8"/>
      <c r="Y356" s="885"/>
    </row>
    <row r="357" spans="1:25" ht="50.1" customHeight="1" thickBot="1" x14ac:dyDescent="0.3">
      <c r="A357" s="4" t="s">
        <v>2057</v>
      </c>
      <c r="B357" s="6" t="s">
        <v>2058</v>
      </c>
      <c r="C357" s="5">
        <v>46288</v>
      </c>
      <c r="D357" s="6" t="s">
        <v>19</v>
      </c>
      <c r="E357" s="6" t="s">
        <v>29</v>
      </c>
      <c r="F357" s="7" t="s">
        <v>2059</v>
      </c>
      <c r="G357" s="6" t="s">
        <v>34</v>
      </c>
      <c r="H357" s="6">
        <v>106</v>
      </c>
      <c r="I357" s="6" t="s">
        <v>112</v>
      </c>
      <c r="J357" s="6" t="s">
        <v>53</v>
      </c>
      <c r="K357" s="8"/>
      <c r="L357" s="7" t="s">
        <v>2060</v>
      </c>
      <c r="M357" s="6">
        <v>1139880</v>
      </c>
      <c r="N357" s="8"/>
      <c r="O357" s="8"/>
      <c r="P357" s="6">
        <v>14</v>
      </c>
      <c r="Q357" s="5">
        <v>46309</v>
      </c>
      <c r="R357" s="8"/>
      <c r="S357" s="8"/>
      <c r="T357" s="8"/>
      <c r="U357" s="8"/>
      <c r="V357" s="8"/>
      <c r="W357" s="8"/>
      <c r="X357" s="8"/>
      <c r="Y357" s="885"/>
    </row>
    <row r="358" spans="1:25" ht="50.1" customHeight="1" thickBot="1" x14ac:dyDescent="0.3">
      <c r="A358" s="4" t="s">
        <v>2061</v>
      </c>
      <c r="B358" s="6" t="s">
        <v>2062</v>
      </c>
      <c r="C358" s="5">
        <v>46288</v>
      </c>
      <c r="D358" s="6" t="s">
        <v>33</v>
      </c>
      <c r="E358" s="6" t="s">
        <v>61</v>
      </c>
      <c r="F358" s="7" t="s">
        <v>2063</v>
      </c>
      <c r="G358" s="6" t="s">
        <v>22</v>
      </c>
      <c r="H358" s="6">
        <v>316</v>
      </c>
      <c r="I358" s="6" t="s">
        <v>23</v>
      </c>
      <c r="J358" s="6" t="s">
        <v>175</v>
      </c>
      <c r="K358" s="8"/>
      <c r="L358" s="7" t="s">
        <v>644</v>
      </c>
      <c r="M358" s="8"/>
      <c r="N358" s="8"/>
      <c r="O358" s="8"/>
      <c r="P358" s="6">
        <v>14</v>
      </c>
      <c r="Q358" s="5">
        <v>46309</v>
      </c>
      <c r="R358" s="8"/>
      <c r="S358" s="8"/>
      <c r="T358" s="8"/>
      <c r="U358" s="8"/>
      <c r="V358" s="8"/>
      <c r="W358" s="8"/>
      <c r="X358" s="8"/>
      <c r="Y358" s="885"/>
    </row>
    <row r="359" spans="1:25" ht="50.1" customHeight="1" thickBot="1" x14ac:dyDescent="0.3">
      <c r="A359" s="4" t="s">
        <v>2064</v>
      </c>
      <c r="B359" s="6" t="s">
        <v>2065</v>
      </c>
      <c r="C359" s="5">
        <v>46288</v>
      </c>
      <c r="D359" s="6" t="s">
        <v>28</v>
      </c>
      <c r="E359" s="6" t="s">
        <v>63</v>
      </c>
      <c r="F359" s="7" t="s">
        <v>2066</v>
      </c>
      <c r="G359" s="6" t="s">
        <v>22</v>
      </c>
      <c r="H359" s="6">
        <v>316</v>
      </c>
      <c r="I359" s="6" t="s">
        <v>23</v>
      </c>
      <c r="J359" s="6" t="s">
        <v>74</v>
      </c>
      <c r="K359" s="8"/>
      <c r="L359" s="7" t="s">
        <v>627</v>
      </c>
      <c r="M359" s="8"/>
      <c r="N359" s="8"/>
      <c r="O359" s="6" t="s">
        <v>776</v>
      </c>
      <c r="P359" s="6">
        <v>14</v>
      </c>
      <c r="Q359" s="5">
        <v>46309</v>
      </c>
      <c r="R359" s="8"/>
      <c r="S359" s="8"/>
      <c r="T359" s="8"/>
      <c r="U359" s="8"/>
      <c r="V359" s="8"/>
      <c r="W359" s="8"/>
      <c r="X359" s="8"/>
      <c r="Y359" s="885"/>
    </row>
    <row r="360" spans="1:25" ht="50.1" customHeight="1" thickBot="1" x14ac:dyDescent="0.3">
      <c r="A360" s="4" t="s">
        <v>2067</v>
      </c>
      <c r="B360" s="6" t="s">
        <v>2068</v>
      </c>
      <c r="C360" s="5">
        <v>46289</v>
      </c>
      <c r="D360" s="6" t="s">
        <v>19</v>
      </c>
      <c r="E360" s="6" t="s">
        <v>460</v>
      </c>
      <c r="F360" s="7" t="s">
        <v>346</v>
      </c>
      <c r="G360" s="6" t="s">
        <v>22</v>
      </c>
      <c r="H360" s="6">
        <v>316</v>
      </c>
      <c r="I360" s="6" t="s">
        <v>23</v>
      </c>
      <c r="J360" s="6" t="s">
        <v>57</v>
      </c>
      <c r="K360" s="8"/>
      <c r="L360" s="7" t="s">
        <v>2069</v>
      </c>
      <c r="M360" s="8"/>
      <c r="N360" s="8"/>
      <c r="O360" s="6" t="s">
        <v>621</v>
      </c>
      <c r="P360" s="6">
        <v>14</v>
      </c>
      <c r="Q360" s="5">
        <v>46309</v>
      </c>
      <c r="R360" s="8"/>
      <c r="S360" s="8"/>
      <c r="T360" s="8"/>
      <c r="U360" s="8"/>
      <c r="V360" s="8"/>
      <c r="W360" s="8"/>
      <c r="X360" s="8"/>
      <c r="Y360" s="885"/>
    </row>
    <row r="361" spans="1:25" ht="50.1" customHeight="1" thickBot="1" x14ac:dyDescent="0.3">
      <c r="A361" s="4" t="s">
        <v>2070</v>
      </c>
      <c r="B361" s="6" t="s">
        <v>2071</v>
      </c>
      <c r="C361" s="5">
        <v>46289</v>
      </c>
      <c r="D361" s="6" t="s">
        <v>33</v>
      </c>
      <c r="E361" s="6" t="s">
        <v>84</v>
      </c>
      <c r="F361" s="7" t="s">
        <v>2072</v>
      </c>
      <c r="G361" s="6" t="s">
        <v>30</v>
      </c>
      <c r="H361" s="6">
        <v>503</v>
      </c>
      <c r="I361" s="6" t="s">
        <v>31</v>
      </c>
      <c r="J361" s="6" t="s">
        <v>59</v>
      </c>
      <c r="K361" s="8"/>
      <c r="L361" s="7" t="s">
        <v>2073</v>
      </c>
      <c r="M361" s="8"/>
      <c r="N361" s="8"/>
      <c r="O361" s="8"/>
      <c r="P361" s="6">
        <v>14</v>
      </c>
      <c r="Q361" s="5">
        <v>46310</v>
      </c>
      <c r="R361" s="8"/>
      <c r="S361" s="8"/>
      <c r="T361" s="8"/>
      <c r="U361" s="8"/>
      <c r="V361" s="8"/>
      <c r="W361" s="8"/>
      <c r="X361" s="8"/>
      <c r="Y361" s="885"/>
    </row>
    <row r="362" spans="1:25" ht="50.1" customHeight="1" thickBot="1" x14ac:dyDescent="0.3">
      <c r="A362" s="4" t="s">
        <v>2074</v>
      </c>
      <c r="B362" s="6" t="s">
        <v>2075</v>
      </c>
      <c r="C362" s="5">
        <v>46289</v>
      </c>
      <c r="D362" s="6" t="s">
        <v>19</v>
      </c>
      <c r="E362" s="6" t="s">
        <v>460</v>
      </c>
      <c r="F362" s="7" t="s">
        <v>2076</v>
      </c>
      <c r="G362" s="6" t="s">
        <v>22</v>
      </c>
      <c r="H362" s="6">
        <v>316</v>
      </c>
      <c r="I362" s="6" t="s">
        <v>23</v>
      </c>
      <c r="J362" s="6" t="s">
        <v>57</v>
      </c>
      <c r="K362" s="8"/>
      <c r="L362" s="7" t="s">
        <v>2077</v>
      </c>
      <c r="M362" s="6">
        <v>1109305</v>
      </c>
      <c r="N362" s="8"/>
      <c r="O362" s="8"/>
      <c r="P362" s="6">
        <v>14</v>
      </c>
      <c r="Q362" s="5">
        <v>46310</v>
      </c>
      <c r="R362" s="8"/>
      <c r="S362" s="8"/>
      <c r="T362" s="8"/>
      <c r="U362" s="8"/>
      <c r="V362" s="8"/>
      <c r="W362" s="8"/>
      <c r="X362" s="8"/>
      <c r="Y362" s="885"/>
    </row>
    <row r="363" spans="1:25" ht="50.1" customHeight="1" thickBot="1" x14ac:dyDescent="0.3">
      <c r="A363" s="4" t="s">
        <v>2078</v>
      </c>
      <c r="B363" s="6" t="s">
        <v>2079</v>
      </c>
      <c r="C363" s="5">
        <v>46289</v>
      </c>
      <c r="D363" s="6" t="s">
        <v>19</v>
      </c>
      <c r="E363" s="6" t="s">
        <v>460</v>
      </c>
      <c r="F363" s="7" t="s">
        <v>2080</v>
      </c>
      <c r="G363" s="6" t="s">
        <v>22</v>
      </c>
      <c r="H363" s="6">
        <v>316</v>
      </c>
      <c r="I363" s="6" t="s">
        <v>23</v>
      </c>
      <c r="J363" s="6" t="s">
        <v>57</v>
      </c>
      <c r="K363" s="8"/>
      <c r="L363" s="7" t="s">
        <v>2081</v>
      </c>
      <c r="M363" s="6">
        <v>1109170</v>
      </c>
      <c r="N363" s="8"/>
      <c r="O363" s="8"/>
      <c r="P363" s="6">
        <v>14</v>
      </c>
      <c r="Q363" s="5">
        <v>46310</v>
      </c>
      <c r="R363" s="8"/>
      <c r="S363" s="8"/>
      <c r="T363" s="8"/>
      <c r="U363" s="8"/>
      <c r="V363" s="8"/>
      <c r="W363" s="8"/>
      <c r="X363" s="8"/>
      <c r="Y363" s="885"/>
    </row>
    <row r="364" spans="1:25" ht="50.1" customHeight="1" thickBot="1" x14ac:dyDescent="0.3">
      <c r="A364" s="4" t="s">
        <v>2082</v>
      </c>
      <c r="B364" s="6" t="s">
        <v>2083</v>
      </c>
      <c r="C364" s="5">
        <v>46289</v>
      </c>
      <c r="D364" s="6" t="s">
        <v>19</v>
      </c>
      <c r="E364" s="6" t="s">
        <v>29</v>
      </c>
      <c r="F364" s="7" t="s">
        <v>2084</v>
      </c>
      <c r="G364" s="6" t="s">
        <v>34</v>
      </c>
      <c r="H364" s="6">
        <v>118</v>
      </c>
      <c r="I364" s="6" t="s">
        <v>492</v>
      </c>
      <c r="J364" s="6" t="s">
        <v>97</v>
      </c>
      <c r="K364" s="8"/>
      <c r="L364" s="7" t="s">
        <v>2085</v>
      </c>
      <c r="M364" s="8"/>
      <c r="N364" s="8"/>
      <c r="O364" s="8"/>
      <c r="P364" s="6">
        <v>14</v>
      </c>
      <c r="Q364" s="5">
        <v>46310</v>
      </c>
      <c r="R364" s="8"/>
      <c r="S364" s="8"/>
      <c r="T364" s="8"/>
      <c r="U364" s="8"/>
      <c r="V364" s="8"/>
      <c r="W364" s="8"/>
      <c r="X364" s="8"/>
      <c r="Y364" s="885"/>
    </row>
    <row r="365" spans="1:25" ht="50.1" customHeight="1" thickBot="1" x14ac:dyDescent="0.3">
      <c r="A365" s="4" t="s">
        <v>2086</v>
      </c>
      <c r="B365" s="6" t="s">
        <v>2087</v>
      </c>
      <c r="C365" s="5">
        <v>46289</v>
      </c>
      <c r="D365" s="6" t="s">
        <v>19</v>
      </c>
      <c r="E365" s="6" t="s">
        <v>61</v>
      </c>
      <c r="F365" s="7" t="s">
        <v>100</v>
      </c>
      <c r="G365" s="6" t="s">
        <v>22</v>
      </c>
      <c r="H365" s="6">
        <v>316</v>
      </c>
      <c r="I365" s="6" t="s">
        <v>23</v>
      </c>
      <c r="J365" s="6" t="s">
        <v>62</v>
      </c>
      <c r="K365" s="8"/>
      <c r="L365" s="7" t="s">
        <v>2088</v>
      </c>
      <c r="M365" s="8"/>
      <c r="N365" s="8"/>
      <c r="O365" s="8"/>
      <c r="P365" s="6">
        <v>14</v>
      </c>
      <c r="Q365" s="5">
        <v>46310</v>
      </c>
      <c r="R365" s="8"/>
      <c r="S365" s="8"/>
      <c r="T365" s="8"/>
      <c r="U365" s="8"/>
      <c r="V365" s="8"/>
      <c r="W365" s="8"/>
      <c r="X365" s="8"/>
      <c r="Y365" s="885"/>
    </row>
    <row r="366" spans="1:25" ht="50.1" customHeight="1" thickBot="1" x14ac:dyDescent="0.3">
      <c r="A366" s="4" t="s">
        <v>2089</v>
      </c>
      <c r="B366" s="6" t="s">
        <v>2090</v>
      </c>
      <c r="C366" s="5">
        <v>46289</v>
      </c>
      <c r="D366" s="6" t="s">
        <v>19</v>
      </c>
      <c r="E366" s="6" t="s">
        <v>29</v>
      </c>
      <c r="F366" s="7" t="s">
        <v>2091</v>
      </c>
      <c r="G366" s="6" t="s">
        <v>34</v>
      </c>
      <c r="H366" s="6">
        <v>102</v>
      </c>
      <c r="I366" s="6" t="s">
        <v>70</v>
      </c>
      <c r="J366" s="6" t="s">
        <v>71</v>
      </c>
      <c r="K366" s="8"/>
      <c r="L366" s="7" t="s">
        <v>2092</v>
      </c>
      <c r="M366" s="8"/>
      <c r="N366" s="8"/>
      <c r="O366" s="8"/>
      <c r="P366" s="6">
        <v>14</v>
      </c>
      <c r="Q366" s="5">
        <v>46310</v>
      </c>
      <c r="R366" s="8"/>
      <c r="S366" s="8"/>
      <c r="T366" s="8"/>
      <c r="U366" s="8"/>
      <c r="V366" s="8"/>
      <c r="W366" s="8"/>
      <c r="X366" s="8"/>
      <c r="Y366" s="885"/>
    </row>
    <row r="367" spans="1:25" ht="50.1" customHeight="1" thickBot="1" x14ac:dyDescent="0.3">
      <c r="A367" s="4" t="s">
        <v>2093</v>
      </c>
      <c r="B367" s="6" t="s">
        <v>2094</v>
      </c>
      <c r="C367" s="5">
        <v>46289</v>
      </c>
      <c r="D367" s="6" t="s">
        <v>19</v>
      </c>
      <c r="E367" s="6" t="s">
        <v>61</v>
      </c>
      <c r="F367" s="7" t="s">
        <v>2095</v>
      </c>
      <c r="G367" s="6" t="s">
        <v>22</v>
      </c>
      <c r="H367" s="6">
        <v>316</v>
      </c>
      <c r="I367" s="6" t="s">
        <v>23</v>
      </c>
      <c r="J367" s="6" t="s">
        <v>62</v>
      </c>
      <c r="K367" s="8"/>
      <c r="L367" s="7" t="s">
        <v>2096</v>
      </c>
      <c r="M367" s="8"/>
      <c r="N367" s="8"/>
      <c r="O367" s="8"/>
      <c r="P367" s="6">
        <v>14</v>
      </c>
      <c r="Q367" s="5">
        <v>46310</v>
      </c>
      <c r="R367" s="8"/>
      <c r="S367" s="8"/>
      <c r="T367" s="8"/>
      <c r="U367" s="8"/>
      <c r="V367" s="8"/>
      <c r="W367" s="8"/>
      <c r="X367" s="8"/>
      <c r="Y367" s="885"/>
    </row>
    <row r="368" spans="1:25" ht="50.1" customHeight="1" thickBot="1" x14ac:dyDescent="0.3">
      <c r="A368" s="4" t="s">
        <v>2097</v>
      </c>
      <c r="B368" s="6" t="s">
        <v>2098</v>
      </c>
      <c r="C368" s="5">
        <v>46289</v>
      </c>
      <c r="D368" s="6" t="s">
        <v>19</v>
      </c>
      <c r="E368" s="6" t="s">
        <v>460</v>
      </c>
      <c r="F368" s="7" t="s">
        <v>2099</v>
      </c>
      <c r="G368" s="6" t="s">
        <v>34</v>
      </c>
      <c r="H368" s="6">
        <v>127</v>
      </c>
      <c r="I368" s="6" t="s">
        <v>88</v>
      </c>
      <c r="J368" s="6" t="s">
        <v>71</v>
      </c>
      <c r="K368" s="8"/>
      <c r="L368" s="7" t="s">
        <v>2100</v>
      </c>
      <c r="M368" s="8"/>
      <c r="N368" s="8"/>
      <c r="O368" s="8"/>
      <c r="P368" s="6">
        <v>14</v>
      </c>
      <c r="Q368" s="5">
        <v>46310</v>
      </c>
      <c r="R368" s="8"/>
      <c r="S368" s="8"/>
      <c r="T368" s="8"/>
      <c r="U368" s="8"/>
      <c r="V368" s="8"/>
      <c r="W368" s="8"/>
      <c r="X368" s="8"/>
      <c r="Y368" s="885"/>
    </row>
    <row r="369" spans="1:25" ht="50.1" customHeight="1" thickBot="1" x14ac:dyDescent="0.3">
      <c r="A369" s="4" t="s">
        <v>2101</v>
      </c>
      <c r="B369" s="6" t="s">
        <v>2102</v>
      </c>
      <c r="C369" s="5">
        <v>46289</v>
      </c>
      <c r="D369" s="6" t="s">
        <v>33</v>
      </c>
      <c r="E369" s="6" t="s">
        <v>460</v>
      </c>
      <c r="F369" s="7" t="s">
        <v>2103</v>
      </c>
      <c r="G369" s="6" t="s">
        <v>30</v>
      </c>
      <c r="H369" s="6">
        <v>506</v>
      </c>
      <c r="I369" s="6" t="s">
        <v>94</v>
      </c>
      <c r="J369" s="6" t="s">
        <v>95</v>
      </c>
      <c r="K369" s="8"/>
      <c r="L369" s="7" t="s">
        <v>2104</v>
      </c>
      <c r="M369" s="6">
        <v>1107700</v>
      </c>
      <c r="N369" s="8"/>
      <c r="O369" s="8"/>
      <c r="P369" s="6">
        <v>14</v>
      </c>
      <c r="Q369" s="5">
        <v>46310</v>
      </c>
      <c r="R369" s="8"/>
      <c r="S369" s="8"/>
      <c r="T369" s="8"/>
      <c r="U369" s="8"/>
      <c r="V369" s="8"/>
      <c r="W369" s="8"/>
      <c r="X369" s="8"/>
      <c r="Y369" s="885"/>
    </row>
    <row r="370" spans="1:25" ht="50.1" customHeight="1" thickBot="1" x14ac:dyDescent="0.3">
      <c r="A370" s="4" t="s">
        <v>2105</v>
      </c>
      <c r="B370" s="6" t="s">
        <v>2106</v>
      </c>
      <c r="C370" s="5">
        <v>46289</v>
      </c>
      <c r="D370" s="6" t="s">
        <v>33</v>
      </c>
      <c r="E370" s="6" t="s">
        <v>29</v>
      </c>
      <c r="F370" s="7" t="s">
        <v>2107</v>
      </c>
      <c r="G370" s="6" t="s">
        <v>30</v>
      </c>
      <c r="H370" s="6">
        <v>503</v>
      </c>
      <c r="I370" s="6" t="s">
        <v>31</v>
      </c>
      <c r="J370" s="6" t="s">
        <v>81</v>
      </c>
      <c r="K370" s="8"/>
      <c r="L370" s="7" t="s">
        <v>2108</v>
      </c>
      <c r="M370" s="6">
        <v>1171600</v>
      </c>
      <c r="N370" s="8"/>
      <c r="O370" s="8"/>
      <c r="P370" s="6">
        <v>14</v>
      </c>
      <c r="Q370" s="5">
        <v>46310</v>
      </c>
      <c r="R370" s="8"/>
      <c r="S370" s="8"/>
      <c r="T370" s="8"/>
      <c r="U370" s="8"/>
      <c r="V370" s="8"/>
      <c r="W370" s="8"/>
      <c r="X370" s="8"/>
      <c r="Y370" s="885"/>
    </row>
    <row r="371" spans="1:25" ht="50.1" customHeight="1" thickBot="1" x14ac:dyDescent="0.3">
      <c r="A371" s="4" t="s">
        <v>2109</v>
      </c>
      <c r="B371" s="6" t="s">
        <v>2110</v>
      </c>
      <c r="C371" s="5">
        <v>46289</v>
      </c>
      <c r="D371" s="6" t="s">
        <v>19</v>
      </c>
      <c r="E371" s="6" t="s">
        <v>20</v>
      </c>
      <c r="F371" s="7" t="s">
        <v>2111</v>
      </c>
      <c r="G371" s="6" t="s">
        <v>22</v>
      </c>
      <c r="H371" s="6">
        <v>304</v>
      </c>
      <c r="I371" s="6" t="s">
        <v>43</v>
      </c>
      <c r="J371" s="6" t="s">
        <v>44</v>
      </c>
      <c r="K371" s="8"/>
      <c r="L371" s="7" t="s">
        <v>2112</v>
      </c>
      <c r="M371" s="6">
        <v>1251046</v>
      </c>
      <c r="N371" s="8"/>
      <c r="O371" s="8"/>
      <c r="P371" s="6">
        <v>14</v>
      </c>
      <c r="Q371" s="5">
        <v>46310</v>
      </c>
      <c r="R371" s="8"/>
      <c r="S371" s="8"/>
      <c r="T371" s="8"/>
      <c r="U371" s="8"/>
      <c r="V371" s="8"/>
      <c r="W371" s="8"/>
      <c r="X371" s="8"/>
      <c r="Y371" s="885"/>
    </row>
    <row r="372" spans="1:25" ht="50.1" customHeight="1" thickBot="1" x14ac:dyDescent="0.3">
      <c r="A372" s="4" t="s">
        <v>1206</v>
      </c>
      <c r="B372" s="6" t="s">
        <v>2113</v>
      </c>
      <c r="C372" s="5">
        <v>46289</v>
      </c>
      <c r="D372" s="6" t="s">
        <v>33</v>
      </c>
      <c r="E372" s="6" t="s">
        <v>460</v>
      </c>
      <c r="F372" s="7" t="s">
        <v>2114</v>
      </c>
      <c r="G372" s="6" t="s">
        <v>22</v>
      </c>
      <c r="H372" s="6">
        <v>316</v>
      </c>
      <c r="I372" s="6" t="s">
        <v>23</v>
      </c>
      <c r="J372" s="6" t="s">
        <v>54</v>
      </c>
      <c r="K372" s="8"/>
      <c r="L372" s="7" t="s">
        <v>2115</v>
      </c>
      <c r="M372" s="8"/>
      <c r="N372" s="8"/>
      <c r="O372" s="8"/>
      <c r="P372" s="6">
        <v>14</v>
      </c>
      <c r="Q372" s="5">
        <v>46310</v>
      </c>
      <c r="R372" s="8"/>
      <c r="S372" s="8"/>
      <c r="T372" s="8"/>
      <c r="U372" s="8"/>
      <c r="V372" s="8"/>
      <c r="W372" s="8"/>
      <c r="X372" s="8"/>
      <c r="Y372" s="885"/>
    </row>
    <row r="373" spans="1:25" ht="50.1" customHeight="1" thickBot="1" x14ac:dyDescent="0.3">
      <c r="A373" s="4" t="s">
        <v>2116</v>
      </c>
      <c r="B373" s="6" t="s">
        <v>2117</v>
      </c>
      <c r="C373" s="5">
        <v>46289</v>
      </c>
      <c r="D373" s="6" t="s">
        <v>19</v>
      </c>
      <c r="E373" s="6" t="s">
        <v>460</v>
      </c>
      <c r="F373" s="7" t="s">
        <v>2118</v>
      </c>
      <c r="G373" s="6" t="s">
        <v>34</v>
      </c>
      <c r="H373" s="6">
        <v>127</v>
      </c>
      <c r="I373" s="6" t="s">
        <v>88</v>
      </c>
      <c r="J373" s="6" t="s">
        <v>71</v>
      </c>
      <c r="K373" s="8"/>
      <c r="L373" s="7" t="s">
        <v>2119</v>
      </c>
      <c r="M373" s="8"/>
      <c r="N373" s="8"/>
      <c r="O373" s="8"/>
      <c r="P373" s="6">
        <v>14</v>
      </c>
      <c r="Q373" s="5">
        <v>46310</v>
      </c>
      <c r="R373" s="8"/>
      <c r="S373" s="8"/>
      <c r="T373" s="8"/>
      <c r="U373" s="8"/>
      <c r="V373" s="8"/>
      <c r="W373" s="8"/>
      <c r="X373" s="8"/>
      <c r="Y373" s="885"/>
    </row>
    <row r="374" spans="1:25" ht="50.1" customHeight="1" thickBot="1" x14ac:dyDescent="0.3">
      <c r="A374" s="4" t="s">
        <v>2120</v>
      </c>
      <c r="B374" s="879" t="s">
        <v>2121</v>
      </c>
      <c r="C374" s="5">
        <v>46289</v>
      </c>
      <c r="D374" s="6" t="s">
        <v>19</v>
      </c>
      <c r="E374" s="6" t="s">
        <v>20</v>
      </c>
      <c r="F374" s="7" t="s">
        <v>596</v>
      </c>
      <c r="G374" s="6" t="s">
        <v>22</v>
      </c>
      <c r="H374" s="6">
        <v>316</v>
      </c>
      <c r="I374" s="6" t="s">
        <v>23</v>
      </c>
      <c r="J374" s="6" t="s">
        <v>46</v>
      </c>
      <c r="K374" s="8"/>
      <c r="L374" s="7" t="s">
        <v>2122</v>
      </c>
      <c r="M374" s="6">
        <v>1175780</v>
      </c>
      <c r="N374" s="8"/>
      <c r="O374" s="8"/>
      <c r="P374" s="6">
        <v>14</v>
      </c>
      <c r="Q374" s="5">
        <v>46310</v>
      </c>
      <c r="R374" s="8"/>
      <c r="S374" s="8"/>
      <c r="T374" s="8"/>
      <c r="U374" s="8"/>
      <c r="V374" s="8"/>
      <c r="W374" s="8"/>
      <c r="X374" s="8"/>
      <c r="Y374" s="885"/>
    </row>
    <row r="375" spans="1:25" ht="50.1" customHeight="1" thickBot="1" x14ac:dyDescent="0.3">
      <c r="A375" s="4" t="s">
        <v>2123</v>
      </c>
      <c r="B375" s="6" t="s">
        <v>2124</v>
      </c>
      <c r="C375" s="5">
        <v>46289</v>
      </c>
      <c r="D375" s="6" t="s">
        <v>19</v>
      </c>
      <c r="E375" s="6" t="s">
        <v>39</v>
      </c>
      <c r="F375" s="7" t="s">
        <v>553</v>
      </c>
      <c r="G375" s="6" t="s">
        <v>34</v>
      </c>
      <c r="H375" s="6">
        <v>114</v>
      </c>
      <c r="I375" s="6" t="s">
        <v>41</v>
      </c>
      <c r="J375" s="6" t="s">
        <v>42</v>
      </c>
      <c r="K375" s="8"/>
      <c r="L375" s="7" t="s">
        <v>2125</v>
      </c>
      <c r="M375" s="8"/>
      <c r="N375" s="8"/>
      <c r="O375" s="8"/>
      <c r="P375" s="6">
        <v>14</v>
      </c>
      <c r="Q375" s="5">
        <v>46310</v>
      </c>
      <c r="R375" s="8"/>
      <c r="S375" s="8"/>
      <c r="T375" s="8"/>
      <c r="U375" s="8"/>
      <c r="V375" s="8"/>
      <c r="W375" s="8"/>
      <c r="X375" s="8"/>
      <c r="Y375" s="885"/>
    </row>
    <row r="376" spans="1:25" ht="50.1" customHeight="1" thickBot="1" x14ac:dyDescent="0.3">
      <c r="A376" s="4" t="s">
        <v>2126</v>
      </c>
      <c r="B376" s="6" t="s">
        <v>2127</v>
      </c>
      <c r="C376" s="5">
        <v>46289</v>
      </c>
      <c r="D376" s="6" t="s">
        <v>33</v>
      </c>
      <c r="E376" s="6" t="s">
        <v>29</v>
      </c>
      <c r="F376" s="7" t="s">
        <v>2128</v>
      </c>
      <c r="G376" s="6" t="s">
        <v>34</v>
      </c>
      <c r="H376" s="6">
        <v>118</v>
      </c>
      <c r="I376" s="6" t="s">
        <v>492</v>
      </c>
      <c r="J376" s="6" t="s">
        <v>511</v>
      </c>
      <c r="K376" s="8"/>
      <c r="L376" s="7" t="s">
        <v>2129</v>
      </c>
      <c r="M376" s="8"/>
      <c r="N376" s="8"/>
      <c r="O376" s="8"/>
      <c r="P376" s="6">
        <v>14</v>
      </c>
      <c r="Q376" s="5">
        <v>46310</v>
      </c>
      <c r="R376" s="8"/>
      <c r="S376" s="8"/>
      <c r="T376" s="8"/>
      <c r="U376" s="8"/>
      <c r="V376" s="8"/>
      <c r="W376" s="8"/>
      <c r="X376" s="8"/>
      <c r="Y376" s="885"/>
    </row>
    <row r="377" spans="1:25" ht="50.1" customHeight="1" thickBot="1" x14ac:dyDescent="0.3">
      <c r="A377" s="4" t="s">
        <v>2130</v>
      </c>
      <c r="B377" s="6" t="s">
        <v>2131</v>
      </c>
      <c r="C377" s="5">
        <v>46289</v>
      </c>
      <c r="D377" s="6" t="s">
        <v>19</v>
      </c>
      <c r="E377" s="6" t="s">
        <v>460</v>
      </c>
      <c r="F377" s="7" t="s">
        <v>58</v>
      </c>
      <c r="G377" s="6" t="s">
        <v>34</v>
      </c>
      <c r="H377" s="6">
        <v>114</v>
      </c>
      <c r="I377" s="6" t="s">
        <v>41</v>
      </c>
      <c r="J377" s="6" t="s">
        <v>42</v>
      </c>
      <c r="K377" s="8"/>
      <c r="L377" s="7" t="s">
        <v>2132</v>
      </c>
      <c r="M377" s="6">
        <v>1180860</v>
      </c>
      <c r="N377" s="8"/>
      <c r="O377" s="8"/>
      <c r="P377" s="6">
        <v>14</v>
      </c>
      <c r="Q377" s="5">
        <v>46310</v>
      </c>
      <c r="R377" s="8"/>
      <c r="S377" s="8"/>
      <c r="T377" s="8"/>
      <c r="U377" s="8"/>
      <c r="V377" s="8"/>
      <c r="W377" s="8"/>
      <c r="X377" s="8"/>
      <c r="Y377" s="885"/>
    </row>
    <row r="378" spans="1:25" ht="50.1" customHeight="1" thickBot="1" x14ac:dyDescent="0.3">
      <c r="A378" s="4" t="s">
        <v>2133</v>
      </c>
      <c r="B378" s="6" t="s">
        <v>2134</v>
      </c>
      <c r="C378" s="5">
        <v>46289</v>
      </c>
      <c r="D378" s="6" t="s">
        <v>33</v>
      </c>
      <c r="E378" s="6" t="s">
        <v>67</v>
      </c>
      <c r="F378" s="7" t="s">
        <v>2135</v>
      </c>
      <c r="G378" s="6" t="s">
        <v>30</v>
      </c>
      <c r="H378" s="6">
        <v>502</v>
      </c>
      <c r="I378" s="6" t="s">
        <v>37</v>
      </c>
      <c r="J378" s="6" t="s">
        <v>287</v>
      </c>
      <c r="K378" s="8"/>
      <c r="L378" s="7" t="s">
        <v>2136</v>
      </c>
      <c r="M378" s="8"/>
      <c r="N378" s="8"/>
      <c r="O378" s="8"/>
      <c r="P378" s="6">
        <v>14</v>
      </c>
      <c r="Q378" s="5">
        <v>46310</v>
      </c>
      <c r="R378" s="8"/>
      <c r="S378" s="8"/>
      <c r="T378" s="8"/>
      <c r="U378" s="8"/>
      <c r="V378" s="8"/>
      <c r="W378" s="8"/>
      <c r="X378" s="8"/>
      <c r="Y378" s="885"/>
    </row>
    <row r="379" spans="1:25" ht="50.1" customHeight="1" thickBot="1" x14ac:dyDescent="0.3">
      <c r="A379" s="4" t="s">
        <v>2137</v>
      </c>
      <c r="B379" s="6" t="s">
        <v>2138</v>
      </c>
      <c r="C379" s="5">
        <v>46289</v>
      </c>
      <c r="D379" s="6" t="s">
        <v>19</v>
      </c>
      <c r="E379" s="6" t="s">
        <v>39</v>
      </c>
      <c r="F379" s="7" t="s">
        <v>2139</v>
      </c>
      <c r="G379" s="6" t="s">
        <v>34</v>
      </c>
      <c r="H379" s="6">
        <v>114</v>
      </c>
      <c r="I379" s="6" t="s">
        <v>41</v>
      </c>
      <c r="J379" s="6" t="s">
        <v>42</v>
      </c>
      <c r="K379" s="8"/>
      <c r="L379" s="7" t="s">
        <v>2140</v>
      </c>
      <c r="M379" s="6">
        <v>1159680</v>
      </c>
      <c r="N379" s="8"/>
      <c r="O379" s="8"/>
      <c r="P379" s="6">
        <v>14</v>
      </c>
      <c r="Q379" s="5">
        <v>46310</v>
      </c>
      <c r="R379" s="8"/>
      <c r="S379" s="8"/>
      <c r="T379" s="8"/>
      <c r="U379" s="8"/>
      <c r="V379" s="8"/>
      <c r="W379" s="8"/>
      <c r="X379" s="8"/>
      <c r="Y379" s="885"/>
    </row>
    <row r="380" spans="1:25" ht="50.1" customHeight="1" thickBot="1" x14ac:dyDescent="0.3">
      <c r="A380" s="4" t="s">
        <v>2141</v>
      </c>
      <c r="B380" s="6" t="s">
        <v>2142</v>
      </c>
      <c r="C380" s="5">
        <v>46289</v>
      </c>
      <c r="D380" s="6" t="s">
        <v>33</v>
      </c>
      <c r="E380" s="6" t="s">
        <v>29</v>
      </c>
      <c r="F380" s="7" t="s">
        <v>2143</v>
      </c>
      <c r="G380" s="6" t="s">
        <v>30</v>
      </c>
      <c r="H380" s="6">
        <v>502</v>
      </c>
      <c r="I380" s="6" t="s">
        <v>37</v>
      </c>
      <c r="J380" s="6" t="s">
        <v>38</v>
      </c>
      <c r="K380" s="8"/>
      <c r="L380" s="7" t="s">
        <v>2144</v>
      </c>
      <c r="M380" s="8"/>
      <c r="N380" s="8"/>
      <c r="O380" s="8"/>
      <c r="P380" s="6">
        <v>14</v>
      </c>
      <c r="Q380" s="5">
        <v>46310</v>
      </c>
      <c r="R380" s="8"/>
      <c r="S380" s="8"/>
      <c r="T380" s="8"/>
      <c r="U380" s="8"/>
      <c r="V380" s="8"/>
      <c r="W380" s="8"/>
      <c r="X380" s="8"/>
      <c r="Y380" s="885"/>
    </row>
    <row r="381" spans="1:25" ht="50.1" customHeight="1" thickBot="1" x14ac:dyDescent="0.3">
      <c r="A381" s="4" t="s">
        <v>2145</v>
      </c>
      <c r="B381" s="6" t="s">
        <v>2146</v>
      </c>
      <c r="C381" s="5">
        <v>46289</v>
      </c>
      <c r="D381" s="6" t="s">
        <v>33</v>
      </c>
      <c r="E381" s="6" t="s">
        <v>460</v>
      </c>
      <c r="F381" s="7" t="s">
        <v>2147</v>
      </c>
      <c r="G381" s="6" t="s">
        <v>34</v>
      </c>
      <c r="H381" s="6">
        <v>127</v>
      </c>
      <c r="I381" s="6" t="s">
        <v>88</v>
      </c>
      <c r="J381" s="6" t="s">
        <v>71</v>
      </c>
      <c r="K381" s="8"/>
      <c r="L381" s="7" t="s">
        <v>2148</v>
      </c>
      <c r="M381" s="8"/>
      <c r="N381" s="8"/>
      <c r="O381" s="8"/>
      <c r="P381" s="6">
        <v>14</v>
      </c>
      <c r="Q381" s="5">
        <v>46310</v>
      </c>
      <c r="R381" s="8"/>
      <c r="S381" s="8"/>
      <c r="T381" s="8"/>
      <c r="U381" s="8"/>
      <c r="V381" s="8"/>
      <c r="W381" s="8"/>
      <c r="X381" s="8"/>
      <c r="Y381" s="885"/>
    </row>
    <row r="382" spans="1:25" ht="50.1" customHeight="1" thickBot="1" x14ac:dyDescent="0.3">
      <c r="A382" s="4" t="s">
        <v>2149</v>
      </c>
      <c r="B382" s="6" t="s">
        <v>2150</v>
      </c>
      <c r="C382" s="5">
        <v>46289</v>
      </c>
      <c r="D382" s="6" t="s">
        <v>19</v>
      </c>
      <c r="E382" s="6" t="s">
        <v>20</v>
      </c>
      <c r="F382" s="7" t="s">
        <v>467</v>
      </c>
      <c r="G382" s="6" t="s">
        <v>22</v>
      </c>
      <c r="H382" s="6">
        <v>316</v>
      </c>
      <c r="I382" s="6" t="s">
        <v>23</v>
      </c>
      <c r="J382" s="6" t="s">
        <v>46</v>
      </c>
      <c r="K382" s="8"/>
      <c r="L382" s="7" t="s">
        <v>2151</v>
      </c>
      <c r="M382" s="8"/>
      <c r="N382" s="8"/>
      <c r="O382" s="8"/>
      <c r="P382" s="6">
        <v>14</v>
      </c>
      <c r="Q382" s="5">
        <v>46310</v>
      </c>
      <c r="R382" s="8"/>
      <c r="S382" s="8"/>
      <c r="T382" s="8"/>
      <c r="U382" s="8"/>
      <c r="V382" s="8"/>
      <c r="W382" s="8"/>
      <c r="X382" s="8"/>
      <c r="Y382" s="885"/>
    </row>
    <row r="383" spans="1:25" ht="50.1" customHeight="1" thickBot="1" x14ac:dyDescent="0.3">
      <c r="A383" s="4" t="s">
        <v>2152</v>
      </c>
      <c r="B383" s="6" t="s">
        <v>2153</v>
      </c>
      <c r="C383" s="5">
        <v>46289</v>
      </c>
      <c r="D383" s="6" t="s">
        <v>33</v>
      </c>
      <c r="E383" s="6" t="s">
        <v>29</v>
      </c>
      <c r="F383" s="7" t="s">
        <v>2154</v>
      </c>
      <c r="G383" s="6" t="s">
        <v>30</v>
      </c>
      <c r="H383" s="6">
        <v>502</v>
      </c>
      <c r="I383" s="6" t="s">
        <v>37</v>
      </c>
      <c r="J383" s="6" t="s">
        <v>38</v>
      </c>
      <c r="K383" s="8"/>
      <c r="L383" s="7" t="s">
        <v>2144</v>
      </c>
      <c r="M383" s="8"/>
      <c r="N383" s="8"/>
      <c r="O383" s="8"/>
      <c r="P383" s="6">
        <v>14</v>
      </c>
      <c r="Q383" s="5">
        <v>46310</v>
      </c>
      <c r="R383" s="8"/>
      <c r="S383" s="8"/>
      <c r="T383" s="8"/>
      <c r="U383" s="8"/>
      <c r="V383" s="8"/>
      <c r="W383" s="8"/>
      <c r="X383" s="8"/>
      <c r="Y383" s="885"/>
    </row>
    <row r="384" spans="1:25" ht="50.1" customHeight="1" thickBot="1" x14ac:dyDescent="0.3">
      <c r="A384" s="4" t="s">
        <v>2155</v>
      </c>
      <c r="B384" s="6" t="s">
        <v>2156</v>
      </c>
      <c r="C384" s="5">
        <v>46289</v>
      </c>
      <c r="D384" s="6" t="s">
        <v>33</v>
      </c>
      <c r="E384" s="6" t="s">
        <v>39</v>
      </c>
      <c r="F384" s="7" t="s">
        <v>2157</v>
      </c>
      <c r="G384" s="6" t="s">
        <v>34</v>
      </c>
      <c r="H384" s="6">
        <v>101</v>
      </c>
      <c r="I384" s="6" t="s">
        <v>2158</v>
      </c>
      <c r="J384" s="6" t="s">
        <v>1357</v>
      </c>
      <c r="K384" s="8"/>
      <c r="L384" s="7" t="s">
        <v>2159</v>
      </c>
      <c r="M384" s="8"/>
      <c r="N384" s="8"/>
      <c r="O384" s="8"/>
      <c r="P384" s="6">
        <v>14</v>
      </c>
      <c r="Q384" s="5">
        <v>46310</v>
      </c>
      <c r="R384" s="8"/>
      <c r="S384" s="8"/>
      <c r="T384" s="8"/>
      <c r="U384" s="8"/>
      <c r="V384" s="8"/>
      <c r="W384" s="8"/>
      <c r="X384" s="8"/>
      <c r="Y384" s="885"/>
    </row>
    <row r="385" spans="1:25" ht="50.1" customHeight="1" thickBot="1" x14ac:dyDescent="0.3">
      <c r="A385" s="4" t="s">
        <v>2160</v>
      </c>
      <c r="B385" s="6" t="s">
        <v>2161</v>
      </c>
      <c r="C385" s="5">
        <v>46289</v>
      </c>
      <c r="D385" s="6" t="s">
        <v>19</v>
      </c>
      <c r="E385" s="6" t="s">
        <v>39</v>
      </c>
      <c r="F385" s="7" t="s">
        <v>2162</v>
      </c>
      <c r="G385" s="6" t="s">
        <v>34</v>
      </c>
      <c r="H385" s="6">
        <v>101</v>
      </c>
      <c r="I385" s="6" t="s">
        <v>2158</v>
      </c>
      <c r="J385" s="6" t="s">
        <v>1357</v>
      </c>
      <c r="K385" s="8"/>
      <c r="L385" s="7" t="s">
        <v>2159</v>
      </c>
      <c r="M385" s="8"/>
      <c r="N385" s="8"/>
      <c r="O385" s="8"/>
      <c r="P385" s="6">
        <v>14</v>
      </c>
      <c r="Q385" s="5">
        <v>46310</v>
      </c>
      <c r="R385" s="8"/>
      <c r="S385" s="8"/>
      <c r="T385" s="8"/>
      <c r="U385" s="8"/>
      <c r="V385" s="8"/>
      <c r="W385" s="8"/>
      <c r="X385" s="8"/>
      <c r="Y385" s="885"/>
    </row>
    <row r="386" spans="1:25" ht="50.1" customHeight="1" thickBot="1" x14ac:dyDescent="0.3">
      <c r="A386" s="4" t="s">
        <v>2163</v>
      </c>
      <c r="B386" s="6" t="s">
        <v>2164</v>
      </c>
      <c r="C386" s="5">
        <v>46289</v>
      </c>
      <c r="D386" s="6" t="s">
        <v>19</v>
      </c>
      <c r="E386" s="6" t="s">
        <v>29</v>
      </c>
      <c r="F386" s="7" t="s">
        <v>2165</v>
      </c>
      <c r="G386" s="6" t="s">
        <v>22</v>
      </c>
      <c r="H386" s="6">
        <v>309</v>
      </c>
      <c r="I386" s="6" t="s">
        <v>98</v>
      </c>
      <c r="J386" s="6" t="s">
        <v>2166</v>
      </c>
      <c r="K386" s="8"/>
      <c r="L386" s="7" t="s">
        <v>545</v>
      </c>
      <c r="M386" s="8"/>
      <c r="N386" s="8"/>
      <c r="O386" s="8"/>
      <c r="P386" s="6">
        <v>14</v>
      </c>
      <c r="Q386" s="5">
        <v>46310</v>
      </c>
      <c r="R386" s="8"/>
      <c r="S386" s="8"/>
      <c r="T386" s="8"/>
      <c r="U386" s="8"/>
      <c r="V386" s="8"/>
      <c r="W386" s="8"/>
      <c r="X386" s="8"/>
      <c r="Y386" s="885"/>
    </row>
    <row r="387" spans="1:25" ht="50.1" customHeight="1" thickBot="1" x14ac:dyDescent="0.3">
      <c r="A387" s="4" t="s">
        <v>2167</v>
      </c>
      <c r="B387" s="6" t="s">
        <v>2168</v>
      </c>
      <c r="C387" s="5">
        <v>46289</v>
      </c>
      <c r="D387" s="6" t="s">
        <v>33</v>
      </c>
      <c r="E387" s="6" t="s">
        <v>39</v>
      </c>
      <c r="F387" s="7" t="s">
        <v>2169</v>
      </c>
      <c r="G387" s="6" t="s">
        <v>30</v>
      </c>
      <c r="H387" s="6">
        <v>503</v>
      </c>
      <c r="I387" s="6" t="s">
        <v>31</v>
      </c>
      <c r="J387" s="6" t="s">
        <v>476</v>
      </c>
      <c r="K387" s="8"/>
      <c r="L387" s="7" t="s">
        <v>2170</v>
      </c>
      <c r="M387" s="8"/>
      <c r="N387" s="8"/>
      <c r="O387" s="8"/>
      <c r="P387" s="6">
        <v>14</v>
      </c>
      <c r="Q387" s="5">
        <v>46310</v>
      </c>
      <c r="R387" s="8"/>
      <c r="S387" s="8"/>
      <c r="T387" s="8"/>
      <c r="U387" s="8"/>
      <c r="V387" s="8"/>
      <c r="W387" s="8"/>
      <c r="X387" s="8"/>
      <c r="Y387" s="885"/>
    </row>
    <row r="388" spans="1:25" ht="50.1" customHeight="1" thickBot="1" x14ac:dyDescent="0.3">
      <c r="A388" s="4" t="s">
        <v>2171</v>
      </c>
      <c r="B388" s="6" t="s">
        <v>2172</v>
      </c>
      <c r="C388" s="5">
        <v>46289</v>
      </c>
      <c r="D388" s="6" t="s">
        <v>19</v>
      </c>
      <c r="E388" s="6" t="s">
        <v>63</v>
      </c>
      <c r="F388" s="7" t="s">
        <v>2173</v>
      </c>
      <c r="G388" s="6" t="s">
        <v>30</v>
      </c>
      <c r="H388" s="6">
        <v>316</v>
      </c>
      <c r="I388" s="6" t="s">
        <v>23</v>
      </c>
      <c r="J388" s="6" t="s">
        <v>75</v>
      </c>
      <c r="K388" s="8"/>
      <c r="L388" s="7" t="s">
        <v>2174</v>
      </c>
      <c r="M388" s="8"/>
      <c r="N388" s="8"/>
      <c r="O388" s="8"/>
      <c r="P388" s="6">
        <v>14</v>
      </c>
      <c r="Q388" s="5">
        <v>46310</v>
      </c>
      <c r="R388" s="8"/>
      <c r="S388" s="8"/>
      <c r="T388" s="8"/>
      <c r="U388" s="8"/>
      <c r="V388" s="8"/>
      <c r="W388" s="8"/>
      <c r="X388" s="8"/>
      <c r="Y388" s="885"/>
    </row>
    <row r="389" spans="1:25" ht="50.1" customHeight="1" thickBot="1" x14ac:dyDescent="0.3">
      <c r="A389" s="4" t="s">
        <v>2175</v>
      </c>
      <c r="B389" s="6" t="s">
        <v>2176</v>
      </c>
      <c r="C389" s="5">
        <v>46289</v>
      </c>
      <c r="D389" s="6" t="s">
        <v>19</v>
      </c>
      <c r="E389" s="6" t="s">
        <v>39</v>
      </c>
      <c r="F389" s="7" t="s">
        <v>553</v>
      </c>
      <c r="G389" s="6" t="s">
        <v>34</v>
      </c>
      <c r="H389" s="6">
        <v>114</v>
      </c>
      <c r="I389" s="6" t="s">
        <v>41</v>
      </c>
      <c r="J389" s="6" t="s">
        <v>42</v>
      </c>
      <c r="K389" s="8"/>
      <c r="L389" s="7" t="s">
        <v>2177</v>
      </c>
      <c r="M389" s="8"/>
      <c r="N389" s="8"/>
      <c r="O389" s="8"/>
      <c r="P389" s="6">
        <v>14</v>
      </c>
      <c r="Q389" s="5">
        <v>46310</v>
      </c>
      <c r="R389" s="8"/>
      <c r="S389" s="8"/>
      <c r="T389" s="8"/>
      <c r="U389" s="8"/>
      <c r="V389" s="8"/>
      <c r="W389" s="8"/>
      <c r="X389" s="8"/>
      <c r="Y389" s="885"/>
    </row>
    <row r="390" spans="1:25" ht="50.1" customHeight="1" thickBot="1" x14ac:dyDescent="0.3">
      <c r="A390" s="4" t="s">
        <v>2178</v>
      </c>
      <c r="B390" s="6" t="s">
        <v>2179</v>
      </c>
      <c r="C390" s="5">
        <v>46289</v>
      </c>
      <c r="D390" s="6" t="s">
        <v>19</v>
      </c>
      <c r="E390" s="6" t="s">
        <v>29</v>
      </c>
      <c r="F390" s="7" t="s">
        <v>2180</v>
      </c>
      <c r="G390" s="6" t="s">
        <v>34</v>
      </c>
      <c r="H390" s="6">
        <v>118</v>
      </c>
      <c r="I390" s="6" t="s">
        <v>492</v>
      </c>
      <c r="J390" s="6" t="s">
        <v>511</v>
      </c>
      <c r="K390" s="8"/>
      <c r="L390" s="7" t="s">
        <v>625</v>
      </c>
      <c r="M390" s="8"/>
      <c r="N390" s="8"/>
      <c r="O390" s="8"/>
      <c r="P390" s="6">
        <v>14</v>
      </c>
      <c r="Q390" s="5">
        <v>46310</v>
      </c>
      <c r="R390" s="8"/>
      <c r="S390" s="8"/>
      <c r="T390" s="8"/>
      <c r="U390" s="8"/>
      <c r="V390" s="8"/>
      <c r="W390" s="8"/>
      <c r="X390" s="8"/>
      <c r="Y390" s="885"/>
    </row>
    <row r="391" spans="1:25" ht="50.1" customHeight="1" thickBot="1" x14ac:dyDescent="0.3">
      <c r="A391" s="4" t="s">
        <v>2181</v>
      </c>
      <c r="B391" s="6" t="s">
        <v>2182</v>
      </c>
      <c r="C391" s="5">
        <v>46289</v>
      </c>
      <c r="D391" s="6" t="s">
        <v>19</v>
      </c>
      <c r="E391" s="6" t="s">
        <v>29</v>
      </c>
      <c r="F391" s="7" t="s">
        <v>2183</v>
      </c>
      <c r="G391" s="6" t="s">
        <v>34</v>
      </c>
      <c r="H391" s="6">
        <v>118</v>
      </c>
      <c r="I391" s="6" t="s">
        <v>492</v>
      </c>
      <c r="J391" s="6" t="s">
        <v>511</v>
      </c>
      <c r="K391" s="8"/>
      <c r="L391" s="7" t="s">
        <v>642</v>
      </c>
      <c r="M391" s="8"/>
      <c r="N391" s="8"/>
      <c r="O391" s="8"/>
      <c r="P391" s="6">
        <v>14</v>
      </c>
      <c r="Q391" s="5">
        <v>46310</v>
      </c>
      <c r="R391" s="8"/>
      <c r="S391" s="8"/>
      <c r="T391" s="8"/>
      <c r="U391" s="8"/>
      <c r="V391" s="8"/>
      <c r="W391" s="8"/>
      <c r="X391" s="8"/>
      <c r="Y391" s="885"/>
    </row>
    <row r="392" spans="1:25" ht="50.1" customHeight="1" thickBot="1" x14ac:dyDescent="0.3">
      <c r="A392" s="4" t="s">
        <v>2184</v>
      </c>
      <c r="B392" s="6" t="s">
        <v>2185</v>
      </c>
      <c r="C392" s="5">
        <v>46290</v>
      </c>
      <c r="D392" s="6" t="s">
        <v>19</v>
      </c>
      <c r="E392" s="6" t="s">
        <v>20</v>
      </c>
      <c r="F392" s="7" t="s">
        <v>45</v>
      </c>
      <c r="G392" s="6" t="s">
        <v>22</v>
      </c>
      <c r="H392" s="6">
        <v>316</v>
      </c>
      <c r="I392" s="6" t="s">
        <v>23</v>
      </c>
      <c r="J392" s="6" t="s">
        <v>46</v>
      </c>
      <c r="K392" s="8"/>
      <c r="L392" s="7" t="s">
        <v>753</v>
      </c>
      <c r="M392" s="6">
        <v>1243117</v>
      </c>
      <c r="N392" s="8"/>
      <c r="O392" s="8"/>
      <c r="P392" s="6">
        <v>14</v>
      </c>
      <c r="Q392" s="5">
        <v>46310</v>
      </c>
      <c r="R392" s="8"/>
      <c r="S392" s="8"/>
      <c r="T392" s="8"/>
      <c r="U392" s="8"/>
      <c r="V392" s="8"/>
      <c r="W392" s="8"/>
      <c r="X392" s="8"/>
      <c r="Y392" s="885"/>
    </row>
    <row r="393" spans="1:25" ht="50.1" customHeight="1" thickBot="1" x14ac:dyDescent="0.3">
      <c r="A393" s="4" t="s">
        <v>2186</v>
      </c>
      <c r="B393" s="6" t="s">
        <v>2187</v>
      </c>
      <c r="C393" s="5">
        <v>46290</v>
      </c>
      <c r="D393" s="6" t="s">
        <v>28</v>
      </c>
      <c r="E393" s="6" t="s">
        <v>29</v>
      </c>
      <c r="F393" s="7" t="s">
        <v>2188</v>
      </c>
      <c r="G393" s="6" t="s">
        <v>30</v>
      </c>
      <c r="H393" s="6">
        <v>503</v>
      </c>
      <c r="I393" s="6" t="s">
        <v>31</v>
      </c>
      <c r="J393" s="6" t="s">
        <v>32</v>
      </c>
      <c r="K393" s="8"/>
      <c r="L393" s="7" t="s">
        <v>2189</v>
      </c>
      <c r="M393" s="8"/>
      <c r="N393" s="8"/>
      <c r="O393" s="8"/>
      <c r="P393" s="6">
        <v>14</v>
      </c>
      <c r="Q393" s="5">
        <v>46311</v>
      </c>
      <c r="R393" s="8"/>
      <c r="S393" s="8"/>
      <c r="T393" s="8"/>
      <c r="U393" s="8"/>
      <c r="V393" s="8"/>
      <c r="W393" s="8"/>
      <c r="X393" s="8"/>
      <c r="Y393" s="885"/>
    </row>
    <row r="394" spans="1:25" ht="50.1" customHeight="1" thickBot="1" x14ac:dyDescent="0.3">
      <c r="A394" s="4" t="s">
        <v>2190</v>
      </c>
      <c r="B394" s="6" t="s">
        <v>2191</v>
      </c>
      <c r="C394" s="5">
        <v>46290</v>
      </c>
      <c r="D394" s="6" t="s">
        <v>33</v>
      </c>
      <c r="E394" s="6" t="s">
        <v>29</v>
      </c>
      <c r="F394" s="7" t="s">
        <v>2192</v>
      </c>
      <c r="G394" s="6" t="s">
        <v>30</v>
      </c>
      <c r="H394" s="6">
        <v>503</v>
      </c>
      <c r="I394" s="6" t="s">
        <v>31</v>
      </c>
      <c r="J394" s="6" t="s">
        <v>81</v>
      </c>
      <c r="K394" s="8"/>
      <c r="L394" s="7" t="s">
        <v>2193</v>
      </c>
      <c r="M394" s="6">
        <v>1060260</v>
      </c>
      <c r="N394" s="8"/>
      <c r="O394" s="8"/>
      <c r="P394" s="6">
        <v>14</v>
      </c>
      <c r="Q394" s="5">
        <v>46311</v>
      </c>
      <c r="R394" s="8"/>
      <c r="S394" s="8"/>
      <c r="T394" s="8"/>
      <c r="U394" s="8"/>
      <c r="V394" s="8"/>
      <c r="W394" s="8"/>
      <c r="X394" s="8"/>
      <c r="Y394" s="885"/>
    </row>
    <row r="395" spans="1:25" ht="50.1" customHeight="1" thickBot="1" x14ac:dyDescent="0.3">
      <c r="A395" s="4" t="s">
        <v>2194</v>
      </c>
      <c r="B395" s="6" t="s">
        <v>2195</v>
      </c>
      <c r="C395" s="5">
        <v>46290</v>
      </c>
      <c r="D395" s="6" t="s">
        <v>19</v>
      </c>
      <c r="E395" s="6" t="s">
        <v>20</v>
      </c>
      <c r="F395" s="7" t="s">
        <v>2196</v>
      </c>
      <c r="G395" s="6" t="s">
        <v>22</v>
      </c>
      <c r="H395" s="6">
        <v>304</v>
      </c>
      <c r="I395" s="6" t="s">
        <v>43</v>
      </c>
      <c r="J395" s="6" t="s">
        <v>44</v>
      </c>
      <c r="K395" s="8"/>
      <c r="L395" s="7" t="s">
        <v>2197</v>
      </c>
      <c r="M395" s="8"/>
      <c r="N395" s="8"/>
      <c r="O395" s="8"/>
      <c r="P395" s="6">
        <v>14</v>
      </c>
      <c r="Q395" s="5">
        <v>46311</v>
      </c>
      <c r="R395" s="8"/>
      <c r="S395" s="8"/>
      <c r="T395" s="8"/>
      <c r="U395" s="8"/>
      <c r="V395" s="8"/>
      <c r="W395" s="8"/>
      <c r="X395" s="8"/>
      <c r="Y395" s="885"/>
    </row>
    <row r="396" spans="1:25" ht="50.1" customHeight="1" thickBot="1" x14ac:dyDescent="0.3">
      <c r="A396" s="4" t="s">
        <v>2198</v>
      </c>
      <c r="B396" s="6" t="s">
        <v>2199</v>
      </c>
      <c r="C396" s="5">
        <v>46290</v>
      </c>
      <c r="D396" s="6" t="s">
        <v>19</v>
      </c>
      <c r="E396" s="6" t="s">
        <v>460</v>
      </c>
      <c r="F396" s="7" t="s">
        <v>2200</v>
      </c>
      <c r="G396" s="6" t="s">
        <v>34</v>
      </c>
      <c r="H396" s="6">
        <v>127</v>
      </c>
      <c r="I396" s="6" t="s">
        <v>88</v>
      </c>
      <c r="J396" s="6" t="s">
        <v>71</v>
      </c>
      <c r="K396" s="8"/>
      <c r="L396" s="7" t="s">
        <v>411</v>
      </c>
      <c r="M396" s="8"/>
      <c r="N396" s="8"/>
      <c r="O396" s="8"/>
      <c r="P396" s="6">
        <v>14</v>
      </c>
      <c r="Q396" s="5">
        <v>46311</v>
      </c>
      <c r="R396" s="8"/>
      <c r="S396" s="8"/>
      <c r="T396" s="8"/>
      <c r="U396" s="8"/>
      <c r="V396" s="8"/>
      <c r="W396" s="8"/>
      <c r="X396" s="8"/>
      <c r="Y396" s="885"/>
    </row>
    <row r="397" spans="1:25" ht="50.1" customHeight="1" thickBot="1" x14ac:dyDescent="0.3">
      <c r="A397" s="4" t="s">
        <v>2201</v>
      </c>
      <c r="B397" s="6" t="s">
        <v>2202</v>
      </c>
      <c r="C397" s="5">
        <v>46290</v>
      </c>
      <c r="D397" s="6" t="s">
        <v>19</v>
      </c>
      <c r="E397" s="6" t="s">
        <v>39</v>
      </c>
      <c r="F397" s="7" t="s">
        <v>2203</v>
      </c>
      <c r="G397" s="6" t="s">
        <v>22</v>
      </c>
      <c r="H397" s="6">
        <v>310</v>
      </c>
      <c r="I397" s="6" t="s">
        <v>91</v>
      </c>
      <c r="J397" s="12" t="s">
        <v>283</v>
      </c>
      <c r="K397" s="8"/>
      <c r="L397" s="7" t="s">
        <v>2204</v>
      </c>
      <c r="M397" s="6">
        <v>1058880</v>
      </c>
      <c r="N397" s="8"/>
      <c r="O397" s="8"/>
      <c r="P397" s="6">
        <v>14</v>
      </c>
      <c r="Q397" s="5">
        <v>46311</v>
      </c>
      <c r="R397" s="8"/>
      <c r="S397" s="8"/>
      <c r="T397" s="8"/>
      <c r="U397" s="8"/>
      <c r="V397" s="8"/>
      <c r="W397" s="8"/>
      <c r="X397" s="8"/>
      <c r="Y397" s="885"/>
    </row>
    <row r="398" spans="1:25" ht="50.1" customHeight="1" thickBot="1" x14ac:dyDescent="0.3">
      <c r="A398" s="4" t="s">
        <v>2205</v>
      </c>
      <c r="B398" s="6" t="s">
        <v>2206</v>
      </c>
      <c r="C398" s="5">
        <v>46290</v>
      </c>
      <c r="D398" s="6" t="s">
        <v>19</v>
      </c>
      <c r="E398" s="6" t="s">
        <v>460</v>
      </c>
      <c r="F398" s="7" t="s">
        <v>519</v>
      </c>
      <c r="G398" s="6" t="s">
        <v>34</v>
      </c>
      <c r="H398" s="6">
        <v>127</v>
      </c>
      <c r="I398" s="6" t="s">
        <v>88</v>
      </c>
      <c r="J398" s="6" t="s">
        <v>71</v>
      </c>
      <c r="K398" s="8"/>
      <c r="L398" s="7" t="s">
        <v>2207</v>
      </c>
      <c r="M398" s="6">
        <v>1219000</v>
      </c>
      <c r="N398" s="8"/>
      <c r="O398" s="8"/>
      <c r="P398" s="6">
        <v>14</v>
      </c>
      <c r="Q398" s="5">
        <v>46311</v>
      </c>
      <c r="R398" s="8"/>
      <c r="S398" s="8"/>
      <c r="T398" s="8"/>
      <c r="U398" s="8"/>
      <c r="V398" s="8"/>
      <c r="W398" s="8"/>
      <c r="X398" s="8"/>
      <c r="Y398" s="885"/>
    </row>
    <row r="399" spans="1:25" ht="50.1" customHeight="1" thickBot="1" x14ac:dyDescent="0.3">
      <c r="A399" s="4" t="s">
        <v>2208</v>
      </c>
      <c r="B399" s="6" t="s">
        <v>2209</v>
      </c>
      <c r="C399" s="5">
        <v>46290</v>
      </c>
      <c r="D399" s="6" t="s">
        <v>19</v>
      </c>
      <c r="E399" s="6" t="s">
        <v>460</v>
      </c>
      <c r="F399" s="7" t="s">
        <v>2210</v>
      </c>
      <c r="G399" s="6" t="s">
        <v>34</v>
      </c>
      <c r="H399" s="6">
        <v>114</v>
      </c>
      <c r="I399" s="6" t="s">
        <v>41</v>
      </c>
      <c r="J399" s="6" t="s">
        <v>365</v>
      </c>
      <c r="K399" s="8"/>
      <c r="L399" s="7" t="s">
        <v>2211</v>
      </c>
      <c r="M399" s="8"/>
      <c r="N399" s="8"/>
      <c r="O399" s="8"/>
      <c r="P399" s="6">
        <v>14</v>
      </c>
      <c r="Q399" s="5">
        <v>46311</v>
      </c>
      <c r="R399" s="8"/>
      <c r="S399" s="8"/>
      <c r="T399" s="8"/>
      <c r="U399" s="8"/>
      <c r="V399" s="8"/>
      <c r="W399" s="8"/>
      <c r="X399" s="8"/>
      <c r="Y399" s="885"/>
    </row>
    <row r="400" spans="1:25" ht="50.1" customHeight="1" thickBot="1" x14ac:dyDescent="0.3">
      <c r="A400" s="4" t="s">
        <v>2212</v>
      </c>
      <c r="B400" s="6" t="s">
        <v>2213</v>
      </c>
      <c r="C400" s="5">
        <v>46290</v>
      </c>
      <c r="D400" s="6" t="s">
        <v>28</v>
      </c>
      <c r="E400" s="6" t="s">
        <v>67</v>
      </c>
      <c r="F400" s="7" t="s">
        <v>2214</v>
      </c>
      <c r="G400" s="6" t="s">
        <v>30</v>
      </c>
      <c r="H400" s="6">
        <v>503</v>
      </c>
      <c r="I400" s="6" t="s">
        <v>31</v>
      </c>
      <c r="J400" s="6" t="s">
        <v>81</v>
      </c>
      <c r="K400" s="8"/>
      <c r="L400" s="7" t="s">
        <v>2215</v>
      </c>
      <c r="M400" s="8"/>
      <c r="N400" s="8"/>
      <c r="O400" s="8"/>
      <c r="P400" s="6">
        <v>14</v>
      </c>
      <c r="Q400" s="5">
        <v>46311</v>
      </c>
      <c r="R400" s="8"/>
      <c r="S400" s="8"/>
      <c r="T400" s="8"/>
      <c r="U400" s="8"/>
      <c r="V400" s="8"/>
      <c r="W400" s="8"/>
      <c r="X400" s="8"/>
      <c r="Y400" s="885"/>
    </row>
    <row r="401" spans="1:25" ht="50.1" customHeight="1" thickBot="1" x14ac:dyDescent="0.3">
      <c r="A401" s="4" t="s">
        <v>2216</v>
      </c>
      <c r="B401" s="6" t="s">
        <v>2217</v>
      </c>
      <c r="C401" s="5">
        <v>46290</v>
      </c>
      <c r="D401" s="6" t="s">
        <v>28</v>
      </c>
      <c r="E401" s="6" t="s">
        <v>460</v>
      </c>
      <c r="F401" s="7" t="s">
        <v>2218</v>
      </c>
      <c r="G401" s="6" t="s">
        <v>34</v>
      </c>
      <c r="H401" s="6">
        <v>127</v>
      </c>
      <c r="I401" s="6" t="s">
        <v>88</v>
      </c>
      <c r="J401" s="6" t="s">
        <v>71</v>
      </c>
      <c r="K401" s="8"/>
      <c r="L401" s="7" t="s">
        <v>713</v>
      </c>
      <c r="M401" s="8"/>
      <c r="N401" s="8"/>
      <c r="O401" s="8"/>
      <c r="P401" s="6">
        <v>14</v>
      </c>
      <c r="Q401" s="5">
        <v>46311</v>
      </c>
      <c r="R401" s="8"/>
      <c r="S401" s="8"/>
      <c r="T401" s="8"/>
      <c r="U401" s="8"/>
      <c r="V401" s="8"/>
      <c r="W401" s="8"/>
      <c r="X401" s="8"/>
      <c r="Y401" s="885"/>
    </row>
    <row r="402" spans="1:25" ht="50.1" customHeight="1" thickBot="1" x14ac:dyDescent="0.3">
      <c r="A402" s="4" t="s">
        <v>2219</v>
      </c>
      <c r="B402" s="6" t="s">
        <v>2220</v>
      </c>
      <c r="C402" s="5">
        <v>46290</v>
      </c>
      <c r="D402" s="6" t="s">
        <v>19</v>
      </c>
      <c r="E402" s="6" t="s">
        <v>460</v>
      </c>
      <c r="F402" s="7" t="s">
        <v>2221</v>
      </c>
      <c r="G402" s="6" t="s">
        <v>34</v>
      </c>
      <c r="H402" s="6">
        <v>120</v>
      </c>
      <c r="I402" s="6" t="s">
        <v>82</v>
      </c>
      <c r="J402" s="6" t="s">
        <v>71</v>
      </c>
      <c r="K402" s="8"/>
      <c r="L402" s="7" t="s">
        <v>471</v>
      </c>
      <c r="M402" s="6">
        <v>1002160</v>
      </c>
      <c r="N402" s="8"/>
      <c r="O402" s="8"/>
      <c r="P402" s="6">
        <v>14</v>
      </c>
      <c r="Q402" s="5">
        <v>46311</v>
      </c>
      <c r="R402" s="8"/>
      <c r="S402" s="8"/>
      <c r="T402" s="8"/>
      <c r="U402" s="8"/>
      <c r="V402" s="8"/>
      <c r="W402" s="8"/>
      <c r="X402" s="8"/>
      <c r="Y402" s="885"/>
    </row>
    <row r="403" spans="1:25" ht="50.1" customHeight="1" thickBot="1" x14ac:dyDescent="0.3">
      <c r="A403" s="4" t="s">
        <v>2222</v>
      </c>
      <c r="B403" s="6" t="s">
        <v>2223</v>
      </c>
      <c r="C403" s="5">
        <v>46290</v>
      </c>
      <c r="D403" s="6" t="s">
        <v>19</v>
      </c>
      <c r="E403" s="6" t="s">
        <v>29</v>
      </c>
      <c r="F403" s="7" t="s">
        <v>2224</v>
      </c>
      <c r="G403" s="6" t="s">
        <v>34</v>
      </c>
      <c r="H403" s="6">
        <v>122</v>
      </c>
      <c r="I403" s="6" t="s">
        <v>50</v>
      </c>
      <c r="J403" s="6" t="s">
        <v>285</v>
      </c>
      <c r="K403" s="8"/>
      <c r="L403" s="7" t="s">
        <v>2225</v>
      </c>
      <c r="M403" s="6">
        <v>1159164</v>
      </c>
      <c r="N403" s="8"/>
      <c r="O403" s="8"/>
      <c r="P403" s="6">
        <v>14</v>
      </c>
      <c r="Q403" s="5">
        <v>46311</v>
      </c>
      <c r="R403" s="8"/>
      <c r="S403" s="8"/>
      <c r="T403" s="8"/>
      <c r="U403" s="8"/>
      <c r="V403" s="8"/>
      <c r="W403" s="8"/>
      <c r="X403" s="8"/>
      <c r="Y403" s="885"/>
    </row>
    <row r="404" spans="1:25" ht="50.1" customHeight="1" thickBot="1" x14ac:dyDescent="0.3">
      <c r="A404" s="4" t="s">
        <v>2226</v>
      </c>
      <c r="B404" s="6" t="s">
        <v>2227</v>
      </c>
      <c r="C404" s="5">
        <v>46290</v>
      </c>
      <c r="D404" s="6" t="s">
        <v>19</v>
      </c>
      <c r="E404" s="6" t="s">
        <v>39</v>
      </c>
      <c r="F404" s="7" t="s">
        <v>58</v>
      </c>
      <c r="G404" s="6" t="s">
        <v>34</v>
      </c>
      <c r="H404" s="6">
        <v>114</v>
      </c>
      <c r="I404" s="6" t="s">
        <v>41</v>
      </c>
      <c r="J404" s="6" t="s">
        <v>42</v>
      </c>
      <c r="K404" s="8"/>
      <c r="L404" s="7" t="s">
        <v>2228</v>
      </c>
      <c r="M404" s="8"/>
      <c r="N404" s="8"/>
      <c r="O404" s="8"/>
      <c r="P404" s="6">
        <v>14</v>
      </c>
      <c r="Q404" s="5">
        <v>46311</v>
      </c>
      <c r="R404" s="8"/>
      <c r="S404" s="8"/>
      <c r="T404" s="8"/>
      <c r="U404" s="8"/>
      <c r="V404" s="8"/>
      <c r="W404" s="8"/>
      <c r="X404" s="8"/>
      <c r="Y404" s="885"/>
    </row>
    <row r="405" spans="1:25" ht="50.1" customHeight="1" thickBot="1" x14ac:dyDescent="0.3">
      <c r="A405" s="4" t="s">
        <v>2229</v>
      </c>
      <c r="B405" s="6" t="s">
        <v>2230</v>
      </c>
      <c r="C405" s="5">
        <v>46290</v>
      </c>
      <c r="D405" s="6" t="s">
        <v>19</v>
      </c>
      <c r="E405" s="6" t="s">
        <v>460</v>
      </c>
      <c r="F405" s="7" t="s">
        <v>2231</v>
      </c>
      <c r="G405" s="6" t="s">
        <v>22</v>
      </c>
      <c r="H405" s="6">
        <v>316</v>
      </c>
      <c r="I405" s="6" t="s">
        <v>23</v>
      </c>
      <c r="J405" s="6" t="s">
        <v>54</v>
      </c>
      <c r="K405" s="8"/>
      <c r="L405" s="7" t="s">
        <v>2228</v>
      </c>
      <c r="M405" s="8"/>
      <c r="N405" s="8"/>
      <c r="O405" s="8"/>
      <c r="P405" s="6">
        <v>14</v>
      </c>
      <c r="Q405" s="5">
        <v>46311</v>
      </c>
      <c r="R405" s="8"/>
      <c r="S405" s="8"/>
      <c r="T405" s="8"/>
      <c r="U405" s="8"/>
      <c r="V405" s="8"/>
      <c r="W405" s="8"/>
      <c r="X405" s="8"/>
      <c r="Y405" s="885"/>
    </row>
    <row r="406" spans="1:25" ht="50.1" customHeight="1" thickBot="1" x14ac:dyDescent="0.3">
      <c r="A406" s="4" t="s">
        <v>2232</v>
      </c>
      <c r="B406" s="6" t="s">
        <v>2233</v>
      </c>
      <c r="C406" s="5">
        <v>46290</v>
      </c>
      <c r="D406" s="6" t="s">
        <v>19</v>
      </c>
      <c r="E406" s="6" t="s">
        <v>39</v>
      </c>
      <c r="F406" s="7" t="s">
        <v>40</v>
      </c>
      <c r="G406" s="6" t="s">
        <v>34</v>
      </c>
      <c r="H406" s="6">
        <v>114</v>
      </c>
      <c r="I406" s="6" t="s">
        <v>41</v>
      </c>
      <c r="J406" s="6" t="s">
        <v>42</v>
      </c>
      <c r="K406" s="8"/>
      <c r="L406" s="7" t="s">
        <v>631</v>
      </c>
      <c r="M406" s="6">
        <v>1047940</v>
      </c>
      <c r="N406" s="8"/>
      <c r="O406" s="8"/>
      <c r="P406" s="6">
        <v>14</v>
      </c>
      <c r="Q406" s="5">
        <v>46311</v>
      </c>
      <c r="R406" s="8"/>
      <c r="S406" s="8"/>
      <c r="T406" s="8"/>
      <c r="U406" s="8"/>
      <c r="V406" s="8"/>
      <c r="W406" s="8"/>
      <c r="X406" s="8"/>
      <c r="Y406" s="885"/>
    </row>
    <row r="407" spans="1:25" ht="50.1" customHeight="1" thickBot="1" x14ac:dyDescent="0.3">
      <c r="A407" s="4" t="s">
        <v>2234</v>
      </c>
      <c r="B407" s="6" t="s">
        <v>2235</v>
      </c>
      <c r="C407" s="5">
        <v>46290</v>
      </c>
      <c r="D407" s="6" t="s">
        <v>19</v>
      </c>
      <c r="E407" s="6" t="s">
        <v>39</v>
      </c>
      <c r="F407" s="7" t="s">
        <v>2236</v>
      </c>
      <c r="G407" s="6" t="s">
        <v>34</v>
      </c>
      <c r="H407" s="6">
        <v>114</v>
      </c>
      <c r="I407" s="6" t="s">
        <v>41</v>
      </c>
      <c r="J407" s="6" t="s">
        <v>365</v>
      </c>
      <c r="K407" s="8"/>
      <c r="L407" s="7" t="s">
        <v>2237</v>
      </c>
      <c r="M407" s="8"/>
      <c r="N407" s="8"/>
      <c r="O407" s="8"/>
      <c r="P407" s="6">
        <v>14</v>
      </c>
      <c r="Q407" s="5">
        <v>46311</v>
      </c>
      <c r="R407" s="8"/>
      <c r="S407" s="8"/>
      <c r="T407" s="8"/>
      <c r="U407" s="8"/>
      <c r="V407" s="8"/>
      <c r="W407" s="8"/>
      <c r="X407" s="8"/>
      <c r="Y407" s="885"/>
    </row>
    <row r="408" spans="1:25" ht="50.1" customHeight="1" thickBot="1" x14ac:dyDescent="0.3">
      <c r="A408" s="4" t="s">
        <v>2238</v>
      </c>
      <c r="B408" s="6" t="s">
        <v>2239</v>
      </c>
      <c r="C408" s="5">
        <v>46290</v>
      </c>
      <c r="D408" s="6" t="s">
        <v>19</v>
      </c>
      <c r="E408" s="6" t="s">
        <v>20</v>
      </c>
      <c r="F408" s="7" t="s">
        <v>2240</v>
      </c>
      <c r="G408" s="6" t="s">
        <v>22</v>
      </c>
      <c r="H408" s="6">
        <v>316</v>
      </c>
      <c r="I408" s="6" t="s">
        <v>23</v>
      </c>
      <c r="J408" s="6" t="s">
        <v>46</v>
      </c>
      <c r="K408" s="8"/>
      <c r="L408" s="7" t="s">
        <v>2241</v>
      </c>
      <c r="M408" s="8"/>
      <c r="N408" s="8"/>
      <c r="O408" s="8"/>
      <c r="P408" s="6">
        <v>14</v>
      </c>
      <c r="Q408" s="5">
        <v>46311</v>
      </c>
      <c r="R408" s="8"/>
      <c r="S408" s="8"/>
      <c r="T408" s="8"/>
      <c r="U408" s="8"/>
      <c r="V408" s="8"/>
      <c r="W408" s="8"/>
      <c r="X408" s="8"/>
      <c r="Y408" s="885"/>
    </row>
    <row r="409" spans="1:25" ht="50.1" customHeight="1" thickBot="1" x14ac:dyDescent="0.3">
      <c r="A409" s="4" t="s">
        <v>2242</v>
      </c>
      <c r="B409" s="6" t="s">
        <v>2243</v>
      </c>
      <c r="C409" s="5">
        <v>46290</v>
      </c>
      <c r="D409" s="6" t="s">
        <v>33</v>
      </c>
      <c r="E409" s="6" t="s">
        <v>29</v>
      </c>
      <c r="F409" s="7" t="s">
        <v>2244</v>
      </c>
      <c r="G409" s="6" t="s">
        <v>34</v>
      </c>
      <c r="H409" s="6">
        <v>118</v>
      </c>
      <c r="I409" s="6" t="s">
        <v>492</v>
      </c>
      <c r="J409" s="6" t="s">
        <v>511</v>
      </c>
      <c r="K409" s="8"/>
      <c r="L409" s="7" t="s">
        <v>533</v>
      </c>
      <c r="M409" s="8"/>
      <c r="N409" s="8"/>
      <c r="O409" s="8"/>
      <c r="P409" s="6">
        <v>14</v>
      </c>
      <c r="Q409" s="5">
        <v>46311</v>
      </c>
      <c r="R409" s="8"/>
      <c r="S409" s="8"/>
      <c r="T409" s="8"/>
      <c r="U409" s="8"/>
      <c r="V409" s="8"/>
      <c r="W409" s="8"/>
      <c r="X409" s="8"/>
      <c r="Y409" s="885"/>
    </row>
    <row r="410" spans="1:25" ht="50.1" customHeight="1" thickBot="1" x14ac:dyDescent="0.3">
      <c r="A410" s="4" t="s">
        <v>2245</v>
      </c>
      <c r="B410" s="6" t="s">
        <v>2246</v>
      </c>
      <c r="C410" s="5">
        <v>46290</v>
      </c>
      <c r="D410" s="6" t="s">
        <v>19</v>
      </c>
      <c r="E410" s="6" t="s">
        <v>29</v>
      </c>
      <c r="F410" s="7" t="s">
        <v>290</v>
      </c>
      <c r="G410" s="6" t="s">
        <v>34</v>
      </c>
      <c r="H410" s="6">
        <v>106</v>
      </c>
      <c r="I410" s="6" t="s">
        <v>112</v>
      </c>
      <c r="J410" s="6" t="s">
        <v>53</v>
      </c>
      <c r="K410" s="8"/>
      <c r="L410" s="7" t="s">
        <v>2247</v>
      </c>
      <c r="M410" s="8"/>
      <c r="N410" s="8"/>
      <c r="O410" s="8"/>
      <c r="P410" s="6">
        <v>14</v>
      </c>
      <c r="Q410" s="5">
        <v>46311</v>
      </c>
      <c r="R410" s="8"/>
      <c r="S410" s="8"/>
      <c r="T410" s="8"/>
      <c r="U410" s="8"/>
      <c r="V410" s="8"/>
      <c r="W410" s="8"/>
      <c r="X410" s="8"/>
      <c r="Y410" s="885"/>
    </row>
    <row r="411" spans="1:25" ht="50.1" customHeight="1" thickBot="1" x14ac:dyDescent="0.3">
      <c r="A411" s="4" t="s">
        <v>2248</v>
      </c>
      <c r="B411" s="6" t="s">
        <v>2249</v>
      </c>
      <c r="C411" s="5">
        <v>46290</v>
      </c>
      <c r="D411" s="6" t="s">
        <v>19</v>
      </c>
      <c r="E411" s="6" t="s">
        <v>20</v>
      </c>
      <c r="F411" s="7" t="s">
        <v>464</v>
      </c>
      <c r="G411" s="6" t="s">
        <v>22</v>
      </c>
      <c r="H411" s="6">
        <v>316</v>
      </c>
      <c r="I411" s="6" t="s">
        <v>23</v>
      </c>
      <c r="J411" s="6" t="s">
        <v>24</v>
      </c>
      <c r="K411" s="8"/>
      <c r="L411" s="7" t="s">
        <v>2250</v>
      </c>
      <c r="M411" s="8"/>
      <c r="N411" s="8"/>
      <c r="O411" s="8"/>
      <c r="P411" s="6">
        <v>14</v>
      </c>
      <c r="Q411" s="5">
        <v>46311</v>
      </c>
      <c r="R411" s="8"/>
      <c r="S411" s="8"/>
      <c r="T411" s="8"/>
      <c r="U411" s="8"/>
      <c r="V411" s="8"/>
      <c r="W411" s="8"/>
      <c r="X411" s="8"/>
      <c r="Y411" s="885"/>
    </row>
    <row r="412" spans="1:25" ht="50.1" customHeight="1" thickBot="1" x14ac:dyDescent="0.3">
      <c r="A412" s="4" t="s">
        <v>2251</v>
      </c>
      <c r="B412" s="6" t="s">
        <v>2252</v>
      </c>
      <c r="C412" s="5">
        <v>46290</v>
      </c>
      <c r="D412" s="6" t="s">
        <v>19</v>
      </c>
      <c r="E412" s="6" t="s">
        <v>20</v>
      </c>
      <c r="F412" s="7" t="s">
        <v>464</v>
      </c>
      <c r="G412" s="6" t="s">
        <v>22</v>
      </c>
      <c r="H412" s="6">
        <v>316</v>
      </c>
      <c r="I412" s="6" t="s">
        <v>23</v>
      </c>
      <c r="J412" s="6" t="s">
        <v>24</v>
      </c>
      <c r="K412" s="8"/>
      <c r="L412" s="7" t="s">
        <v>2253</v>
      </c>
      <c r="M412" s="8"/>
      <c r="N412" s="8"/>
      <c r="O412" s="8"/>
      <c r="P412" s="6">
        <v>14</v>
      </c>
      <c r="Q412" s="5">
        <v>46311</v>
      </c>
      <c r="R412" s="8"/>
      <c r="S412" s="8"/>
      <c r="T412" s="8"/>
      <c r="U412" s="8"/>
      <c r="V412" s="8"/>
      <c r="W412" s="8"/>
      <c r="X412" s="8"/>
      <c r="Y412" s="885"/>
    </row>
    <row r="413" spans="1:25" ht="50.1" customHeight="1" thickBot="1" x14ac:dyDescent="0.3">
      <c r="A413" s="4" t="s">
        <v>2254</v>
      </c>
      <c r="B413" s="6" t="s">
        <v>2255</v>
      </c>
      <c r="C413" s="5">
        <v>46290</v>
      </c>
      <c r="D413" s="6" t="s">
        <v>19</v>
      </c>
      <c r="E413" s="6" t="s">
        <v>39</v>
      </c>
      <c r="F413" s="7" t="s">
        <v>1652</v>
      </c>
      <c r="G413" s="6" t="s">
        <v>34</v>
      </c>
      <c r="H413" s="6">
        <v>114</v>
      </c>
      <c r="I413" s="6" t="s">
        <v>41</v>
      </c>
      <c r="J413" s="6" t="s">
        <v>42</v>
      </c>
      <c r="K413" s="8"/>
      <c r="L413" s="7" t="s">
        <v>2256</v>
      </c>
      <c r="M413" s="8"/>
      <c r="N413" s="8"/>
      <c r="O413" s="8"/>
      <c r="P413" s="6">
        <v>14</v>
      </c>
      <c r="Q413" s="5">
        <v>46311</v>
      </c>
      <c r="R413" s="8"/>
      <c r="S413" s="8"/>
      <c r="T413" s="8"/>
      <c r="U413" s="8"/>
      <c r="V413" s="8"/>
      <c r="W413" s="8"/>
      <c r="X413" s="8"/>
      <c r="Y413" s="885"/>
    </row>
    <row r="414" spans="1:25" ht="50.1" customHeight="1" thickBot="1" x14ac:dyDescent="0.3">
      <c r="A414" s="4" t="s">
        <v>2257</v>
      </c>
      <c r="B414" s="6" t="s">
        <v>2258</v>
      </c>
      <c r="C414" s="5">
        <v>46290</v>
      </c>
      <c r="D414" s="6" t="s">
        <v>19</v>
      </c>
      <c r="E414" s="6" t="s">
        <v>460</v>
      </c>
      <c r="F414" s="7" t="s">
        <v>2259</v>
      </c>
      <c r="G414" s="6" t="s">
        <v>34</v>
      </c>
      <c r="H414" s="6">
        <v>127</v>
      </c>
      <c r="I414" s="6" t="s">
        <v>88</v>
      </c>
      <c r="J414" s="6" t="s">
        <v>71</v>
      </c>
      <c r="K414" s="8"/>
      <c r="L414" s="7" t="s">
        <v>2260</v>
      </c>
      <c r="M414" s="6">
        <v>1253983</v>
      </c>
      <c r="N414" s="8"/>
      <c r="O414" s="6" t="s">
        <v>621</v>
      </c>
      <c r="P414" s="6">
        <v>14</v>
      </c>
      <c r="Q414" s="5">
        <v>46311</v>
      </c>
      <c r="R414" s="8"/>
      <c r="S414" s="8"/>
      <c r="T414" s="8"/>
      <c r="U414" s="8"/>
      <c r="V414" s="8"/>
      <c r="W414" s="8"/>
      <c r="X414" s="8"/>
      <c r="Y414" s="885"/>
    </row>
    <row r="415" spans="1:25" ht="50.1" customHeight="1" thickBot="1" x14ac:dyDescent="0.3">
      <c r="A415" s="4" t="s">
        <v>2261</v>
      </c>
      <c r="B415" s="6" t="s">
        <v>2262</v>
      </c>
      <c r="C415" s="5">
        <v>46293</v>
      </c>
      <c r="D415" s="6" t="s">
        <v>19</v>
      </c>
      <c r="E415" s="6" t="s">
        <v>20</v>
      </c>
      <c r="F415" s="7" t="s">
        <v>464</v>
      </c>
      <c r="G415" s="6" t="s">
        <v>22</v>
      </c>
      <c r="H415" s="6">
        <v>316</v>
      </c>
      <c r="I415" s="6" t="s">
        <v>23</v>
      </c>
      <c r="J415" s="6" t="s">
        <v>24</v>
      </c>
      <c r="K415" s="8"/>
      <c r="L415" s="7" t="s">
        <v>2263</v>
      </c>
      <c r="M415" s="8"/>
      <c r="N415" s="8"/>
      <c r="O415" s="8"/>
      <c r="P415" s="6">
        <v>14</v>
      </c>
      <c r="Q415" s="5">
        <v>46311</v>
      </c>
      <c r="R415" s="8"/>
      <c r="S415" s="8"/>
      <c r="T415" s="8"/>
      <c r="U415" s="8"/>
      <c r="V415" s="8"/>
      <c r="W415" s="8"/>
      <c r="X415" s="8"/>
      <c r="Y415" s="885"/>
    </row>
    <row r="416" spans="1:25" ht="50.1" customHeight="1" thickBot="1" x14ac:dyDescent="0.3">
      <c r="A416" s="4" t="s">
        <v>2264</v>
      </c>
      <c r="B416" s="6" t="s">
        <v>2265</v>
      </c>
      <c r="C416" s="5">
        <v>46293</v>
      </c>
      <c r="D416" s="6" t="s">
        <v>33</v>
      </c>
      <c r="E416" s="6" t="s">
        <v>460</v>
      </c>
      <c r="F416" s="7" t="s">
        <v>2266</v>
      </c>
      <c r="G416" s="6" t="s">
        <v>34</v>
      </c>
      <c r="H416" s="6">
        <v>127</v>
      </c>
      <c r="I416" s="6" t="s">
        <v>88</v>
      </c>
      <c r="J416" s="6" t="s">
        <v>71</v>
      </c>
      <c r="K416" s="8"/>
      <c r="L416" s="7" t="s">
        <v>630</v>
      </c>
      <c r="M416" s="6">
        <v>1206500</v>
      </c>
      <c r="N416" s="8"/>
      <c r="O416" s="8"/>
      <c r="P416" s="6">
        <v>14</v>
      </c>
      <c r="Q416" s="5">
        <v>46314</v>
      </c>
      <c r="R416" s="8"/>
      <c r="S416" s="8"/>
      <c r="T416" s="8"/>
      <c r="U416" s="8"/>
      <c r="V416" s="8"/>
      <c r="W416" s="8"/>
      <c r="X416" s="8"/>
      <c r="Y416" s="885"/>
    </row>
    <row r="417" spans="1:25" ht="50.1" customHeight="1" thickBot="1" x14ac:dyDescent="0.3">
      <c r="A417" s="4" t="s">
        <v>2267</v>
      </c>
      <c r="B417" s="6" t="s">
        <v>2268</v>
      </c>
      <c r="C417" s="5">
        <v>46293</v>
      </c>
      <c r="D417" s="6" t="s">
        <v>33</v>
      </c>
      <c r="E417" s="6" t="s">
        <v>29</v>
      </c>
      <c r="F417" s="7" t="s">
        <v>2269</v>
      </c>
      <c r="G417" s="6" t="s">
        <v>34</v>
      </c>
      <c r="H417" s="6">
        <v>118</v>
      </c>
      <c r="I417" s="6" t="s">
        <v>492</v>
      </c>
      <c r="J417" s="6" t="s">
        <v>511</v>
      </c>
      <c r="K417" s="8"/>
      <c r="L417" s="7" t="s">
        <v>2270</v>
      </c>
      <c r="M417" s="8"/>
      <c r="N417" s="8"/>
      <c r="O417" s="8"/>
      <c r="P417" s="6">
        <v>14</v>
      </c>
      <c r="Q417" s="5">
        <v>46314</v>
      </c>
      <c r="R417" s="8"/>
      <c r="S417" s="8"/>
      <c r="T417" s="8"/>
      <c r="U417" s="8"/>
      <c r="V417" s="8"/>
      <c r="W417" s="8"/>
      <c r="X417" s="8"/>
      <c r="Y417" s="885"/>
    </row>
    <row r="418" spans="1:25" ht="50.1" customHeight="1" thickBot="1" x14ac:dyDescent="0.3">
      <c r="A418" s="4" t="s">
        <v>2271</v>
      </c>
      <c r="B418" s="6" t="s">
        <v>2272</v>
      </c>
      <c r="C418" s="5">
        <v>46293</v>
      </c>
      <c r="D418" s="6" t="s">
        <v>19</v>
      </c>
      <c r="E418" s="6" t="s">
        <v>61</v>
      </c>
      <c r="F418" s="7" t="s">
        <v>1972</v>
      </c>
      <c r="G418" s="6" t="s">
        <v>22</v>
      </c>
      <c r="H418" s="6">
        <v>316</v>
      </c>
      <c r="I418" s="6" t="s">
        <v>23</v>
      </c>
      <c r="J418" s="6" t="s">
        <v>175</v>
      </c>
      <c r="K418" s="8"/>
      <c r="L418" s="7" t="s">
        <v>532</v>
      </c>
      <c r="M418" s="8"/>
      <c r="N418" s="8"/>
      <c r="O418" s="8"/>
      <c r="P418" s="6">
        <v>14</v>
      </c>
      <c r="Q418" s="5">
        <v>46314</v>
      </c>
      <c r="R418" s="8"/>
      <c r="S418" s="8"/>
      <c r="T418" s="8"/>
      <c r="U418" s="8"/>
      <c r="V418" s="8"/>
      <c r="W418" s="8"/>
      <c r="X418" s="8"/>
      <c r="Y418" s="885"/>
    </row>
    <row r="419" spans="1:25" ht="50.1" customHeight="1" thickBot="1" x14ac:dyDescent="0.3">
      <c r="A419" s="4" t="s">
        <v>2273</v>
      </c>
      <c r="B419" s="6" t="s">
        <v>2274</v>
      </c>
      <c r="C419" s="5">
        <v>46293</v>
      </c>
      <c r="D419" s="6" t="s">
        <v>19</v>
      </c>
      <c r="E419" s="6" t="s">
        <v>39</v>
      </c>
      <c r="F419" s="7" t="s">
        <v>2275</v>
      </c>
      <c r="G419" s="6" t="s">
        <v>22</v>
      </c>
      <c r="H419" s="6">
        <v>503</v>
      </c>
      <c r="I419" s="6" t="s">
        <v>31</v>
      </c>
      <c r="J419" s="12" t="s">
        <v>93</v>
      </c>
      <c r="K419" s="8"/>
      <c r="L419" s="7" t="s">
        <v>2276</v>
      </c>
      <c r="M419" s="8"/>
      <c r="N419" s="8"/>
      <c r="O419" s="8"/>
      <c r="P419" s="6">
        <v>14</v>
      </c>
      <c r="Q419" s="5">
        <v>46314</v>
      </c>
      <c r="R419" s="8"/>
      <c r="S419" s="8"/>
      <c r="T419" s="8"/>
      <c r="U419" s="8"/>
      <c r="V419" s="8"/>
      <c r="W419" s="8"/>
      <c r="X419" s="8"/>
      <c r="Y419" s="885"/>
    </row>
    <row r="420" spans="1:25" ht="50.1" customHeight="1" thickBot="1" x14ac:dyDescent="0.3">
      <c r="A420" s="4" t="s">
        <v>2277</v>
      </c>
      <c r="B420" s="6" t="s">
        <v>2278</v>
      </c>
      <c r="C420" s="5">
        <v>46293</v>
      </c>
      <c r="D420" s="6" t="s">
        <v>19</v>
      </c>
      <c r="E420" s="6" t="s">
        <v>460</v>
      </c>
      <c r="F420" s="7" t="s">
        <v>614</v>
      </c>
      <c r="G420" s="6" t="s">
        <v>34</v>
      </c>
      <c r="H420" s="6">
        <v>127</v>
      </c>
      <c r="I420" s="6" t="s">
        <v>88</v>
      </c>
      <c r="J420" s="6" t="s">
        <v>71</v>
      </c>
      <c r="K420" s="8"/>
      <c r="L420" s="7" t="s">
        <v>2279</v>
      </c>
      <c r="M420" s="8"/>
      <c r="N420" s="8"/>
      <c r="O420" s="8"/>
      <c r="P420" s="6">
        <v>14</v>
      </c>
      <c r="Q420" s="5">
        <v>46314</v>
      </c>
      <c r="R420" s="8"/>
      <c r="S420" s="8"/>
      <c r="T420" s="8"/>
      <c r="U420" s="8"/>
      <c r="V420" s="8"/>
      <c r="W420" s="8"/>
      <c r="X420" s="8"/>
      <c r="Y420" s="885"/>
    </row>
    <row r="421" spans="1:25" ht="50.1" customHeight="1" thickBot="1" x14ac:dyDescent="0.3">
      <c r="A421" s="4" t="s">
        <v>2280</v>
      </c>
      <c r="B421" s="6" t="s">
        <v>2281</v>
      </c>
      <c r="C421" s="5">
        <v>46293</v>
      </c>
      <c r="D421" s="6" t="s">
        <v>19</v>
      </c>
      <c r="E421" s="6" t="s">
        <v>39</v>
      </c>
      <c r="F421" s="7" t="s">
        <v>58</v>
      </c>
      <c r="G421" s="6" t="s">
        <v>34</v>
      </c>
      <c r="H421" s="6">
        <v>114</v>
      </c>
      <c r="I421" s="6" t="s">
        <v>41</v>
      </c>
      <c r="J421" s="6" t="s">
        <v>42</v>
      </c>
      <c r="K421" s="8"/>
      <c r="L421" s="7" t="s">
        <v>2282</v>
      </c>
      <c r="M421" s="8"/>
      <c r="N421" s="8"/>
      <c r="O421" s="8"/>
      <c r="P421" s="6">
        <v>14</v>
      </c>
      <c r="Q421" s="5">
        <v>46314</v>
      </c>
      <c r="R421" s="8"/>
      <c r="S421" s="8"/>
      <c r="T421" s="8"/>
      <c r="U421" s="8"/>
      <c r="V421" s="8"/>
      <c r="W421" s="8"/>
      <c r="X421" s="8"/>
      <c r="Y421" s="885"/>
    </row>
    <row r="422" spans="1:25" ht="50.1" customHeight="1" thickBot="1" x14ac:dyDescent="0.3">
      <c r="A422" s="4" t="s">
        <v>2283</v>
      </c>
      <c r="B422" s="6" t="s">
        <v>2284</v>
      </c>
      <c r="C422" s="5">
        <v>46293</v>
      </c>
      <c r="D422" s="6" t="s">
        <v>76</v>
      </c>
      <c r="E422" s="6" t="s">
        <v>20</v>
      </c>
      <c r="F422" s="7" t="s">
        <v>2285</v>
      </c>
      <c r="G422" s="6" t="s">
        <v>22</v>
      </c>
      <c r="H422" s="6">
        <v>304</v>
      </c>
      <c r="I422" s="6" t="s">
        <v>43</v>
      </c>
      <c r="J422" s="6" t="s">
        <v>44</v>
      </c>
      <c r="K422" s="8"/>
      <c r="L422" s="7" t="s">
        <v>788</v>
      </c>
      <c r="M422" s="8"/>
      <c r="N422" s="8"/>
      <c r="O422" s="8"/>
      <c r="P422" s="6">
        <v>14</v>
      </c>
      <c r="Q422" s="5">
        <v>46314</v>
      </c>
      <c r="R422" s="8"/>
      <c r="S422" s="8"/>
      <c r="T422" s="8"/>
      <c r="U422" s="8"/>
      <c r="V422" s="8"/>
      <c r="W422" s="8"/>
      <c r="X422" s="8"/>
      <c r="Y422" s="885"/>
    </row>
    <row r="423" spans="1:25" ht="50.1" customHeight="1" thickBot="1" x14ac:dyDescent="0.3">
      <c r="A423" s="4" t="s">
        <v>2286</v>
      </c>
      <c r="B423" s="6" t="s">
        <v>2287</v>
      </c>
      <c r="C423" s="5">
        <v>46293</v>
      </c>
      <c r="D423" s="6" t="s">
        <v>19</v>
      </c>
      <c r="E423" s="6" t="s">
        <v>39</v>
      </c>
      <c r="F423" s="7" t="s">
        <v>58</v>
      </c>
      <c r="G423" s="6" t="s">
        <v>34</v>
      </c>
      <c r="H423" s="6">
        <v>114</v>
      </c>
      <c r="I423" s="6" t="s">
        <v>41</v>
      </c>
      <c r="J423" s="6" t="s">
        <v>42</v>
      </c>
      <c r="K423" s="8"/>
      <c r="L423" s="7" t="s">
        <v>2282</v>
      </c>
      <c r="M423" s="8"/>
      <c r="N423" s="8"/>
      <c r="O423" s="8"/>
      <c r="P423" s="6">
        <v>14</v>
      </c>
      <c r="Q423" s="5">
        <v>46314</v>
      </c>
      <c r="R423" s="8"/>
      <c r="S423" s="8"/>
      <c r="T423" s="8"/>
      <c r="U423" s="8"/>
      <c r="V423" s="8"/>
      <c r="W423" s="8"/>
      <c r="X423" s="8"/>
      <c r="Y423" s="885"/>
    </row>
    <row r="424" spans="1:25" ht="50.1" customHeight="1" thickBot="1" x14ac:dyDescent="0.3">
      <c r="A424" s="4" t="s">
        <v>2288</v>
      </c>
      <c r="B424" s="6" t="s">
        <v>2289</v>
      </c>
      <c r="C424" s="5">
        <v>46293</v>
      </c>
      <c r="D424" s="6" t="s">
        <v>2290</v>
      </c>
      <c r="E424" s="6" t="s">
        <v>39</v>
      </c>
      <c r="F424" s="7" t="s">
        <v>2291</v>
      </c>
      <c r="G424" s="6" t="s">
        <v>30</v>
      </c>
      <c r="H424" s="6">
        <v>503</v>
      </c>
      <c r="I424" s="6" t="s">
        <v>31</v>
      </c>
      <c r="J424" s="6" t="s">
        <v>93</v>
      </c>
      <c r="K424" s="8"/>
      <c r="L424" s="7" t="s">
        <v>1039</v>
      </c>
      <c r="M424" s="8"/>
      <c r="N424" s="8"/>
      <c r="O424" s="8"/>
      <c r="P424" s="6">
        <v>14</v>
      </c>
      <c r="Q424" s="5">
        <v>46314</v>
      </c>
      <c r="R424" s="8"/>
      <c r="S424" s="8"/>
      <c r="T424" s="8"/>
      <c r="U424" s="8"/>
      <c r="V424" s="8"/>
      <c r="W424" s="8"/>
      <c r="X424" s="8"/>
      <c r="Y424" s="885"/>
    </row>
    <row r="425" spans="1:25" ht="50.1" customHeight="1" thickBot="1" x14ac:dyDescent="0.3">
      <c r="A425" s="4" t="s">
        <v>2292</v>
      </c>
      <c r="B425" s="6" t="s">
        <v>2293</v>
      </c>
      <c r="C425" s="5">
        <v>46293</v>
      </c>
      <c r="D425" s="6" t="s">
        <v>76</v>
      </c>
      <c r="E425" s="6" t="s">
        <v>460</v>
      </c>
      <c r="F425" s="7" t="s">
        <v>2294</v>
      </c>
      <c r="G425" s="6" t="s">
        <v>30</v>
      </c>
      <c r="H425" s="6">
        <v>503</v>
      </c>
      <c r="I425" s="6" t="s">
        <v>31</v>
      </c>
      <c r="J425" s="6" t="s">
        <v>2295</v>
      </c>
      <c r="K425" s="8"/>
      <c r="L425" s="7" t="s">
        <v>366</v>
      </c>
      <c r="M425" s="6">
        <v>1253949</v>
      </c>
      <c r="N425" s="8"/>
      <c r="O425" s="8"/>
      <c r="P425" s="6">
        <v>14</v>
      </c>
      <c r="Q425" s="5">
        <v>46314</v>
      </c>
      <c r="R425" s="8"/>
      <c r="S425" s="8"/>
      <c r="T425" s="8"/>
      <c r="U425" s="8"/>
      <c r="V425" s="8"/>
      <c r="W425" s="8"/>
      <c r="X425" s="8"/>
      <c r="Y425" s="885"/>
    </row>
    <row r="426" spans="1:25" ht="50.1" customHeight="1" thickBot="1" x14ac:dyDescent="0.3">
      <c r="A426" s="4" t="s">
        <v>2296</v>
      </c>
      <c r="B426" s="6" t="s">
        <v>2297</v>
      </c>
      <c r="C426" s="5">
        <v>46293</v>
      </c>
      <c r="D426" s="6" t="s">
        <v>33</v>
      </c>
      <c r="E426" s="6" t="s">
        <v>29</v>
      </c>
      <c r="F426" s="7" t="s">
        <v>2298</v>
      </c>
      <c r="G426" s="6" t="s">
        <v>34</v>
      </c>
      <c r="H426" s="6">
        <v>102</v>
      </c>
      <c r="I426" s="6" t="s">
        <v>70</v>
      </c>
      <c r="J426" s="6" t="s">
        <v>71</v>
      </c>
      <c r="K426" s="8"/>
      <c r="L426" s="7" t="s">
        <v>2299</v>
      </c>
      <c r="M426" s="8"/>
      <c r="N426" s="8"/>
      <c r="O426" s="8"/>
      <c r="P426" s="6">
        <v>14</v>
      </c>
      <c r="Q426" s="5">
        <v>46314</v>
      </c>
      <c r="R426" s="8"/>
      <c r="S426" s="8"/>
      <c r="T426" s="8"/>
      <c r="U426" s="8"/>
      <c r="V426" s="8"/>
      <c r="W426" s="8"/>
      <c r="X426" s="8"/>
      <c r="Y426" s="885"/>
    </row>
    <row r="427" spans="1:25" ht="50.1" customHeight="1" thickBot="1" x14ac:dyDescent="0.3">
      <c r="A427" s="4" t="s">
        <v>2300</v>
      </c>
      <c r="B427" s="6" t="s">
        <v>2301</v>
      </c>
      <c r="C427" s="5">
        <v>46293</v>
      </c>
      <c r="D427" s="6" t="s">
        <v>76</v>
      </c>
      <c r="E427" s="6" t="s">
        <v>39</v>
      </c>
      <c r="F427" s="7" t="s">
        <v>2302</v>
      </c>
      <c r="G427" s="6" t="s">
        <v>34</v>
      </c>
      <c r="H427" s="6">
        <v>114</v>
      </c>
      <c r="I427" s="6" t="s">
        <v>41</v>
      </c>
      <c r="J427" s="6" t="s">
        <v>42</v>
      </c>
      <c r="K427" s="8"/>
      <c r="L427" s="7" t="s">
        <v>406</v>
      </c>
      <c r="M427" s="8"/>
      <c r="N427" s="8"/>
      <c r="O427" s="8"/>
      <c r="P427" s="6">
        <v>14</v>
      </c>
      <c r="Q427" s="5">
        <v>46314</v>
      </c>
      <c r="R427" s="8"/>
      <c r="S427" s="8"/>
      <c r="T427" s="8"/>
      <c r="U427" s="8"/>
      <c r="V427" s="8"/>
      <c r="W427" s="8"/>
      <c r="X427" s="8"/>
      <c r="Y427" s="885"/>
    </row>
    <row r="428" spans="1:25" ht="50.1" customHeight="1" thickBot="1" x14ac:dyDescent="0.3">
      <c r="A428" s="4" t="s">
        <v>2303</v>
      </c>
      <c r="B428" s="6" t="s">
        <v>2304</v>
      </c>
      <c r="C428" s="5">
        <v>46293</v>
      </c>
      <c r="D428" s="6" t="s">
        <v>19</v>
      </c>
      <c r="E428" s="6" t="s">
        <v>29</v>
      </c>
      <c r="F428" s="7" t="s">
        <v>2305</v>
      </c>
      <c r="G428" s="6" t="s">
        <v>34</v>
      </c>
      <c r="H428" s="6">
        <v>108</v>
      </c>
      <c r="I428" s="6" t="s">
        <v>409</v>
      </c>
      <c r="J428" s="6" t="s">
        <v>410</v>
      </c>
      <c r="K428" s="8"/>
      <c r="L428" s="7" t="s">
        <v>619</v>
      </c>
      <c r="M428" s="6">
        <v>1251850</v>
      </c>
      <c r="N428" s="8"/>
      <c r="O428" s="8"/>
      <c r="P428" s="6">
        <v>14</v>
      </c>
      <c r="Q428" s="5">
        <v>46314</v>
      </c>
      <c r="R428" s="8"/>
      <c r="S428" s="8"/>
      <c r="T428" s="8"/>
      <c r="U428" s="8"/>
      <c r="V428" s="8"/>
      <c r="W428" s="8"/>
      <c r="X428" s="8"/>
      <c r="Y428" s="885"/>
    </row>
    <row r="429" spans="1:25" ht="50.1" customHeight="1" thickBot="1" x14ac:dyDescent="0.3">
      <c r="A429" s="4" t="s">
        <v>2306</v>
      </c>
      <c r="B429" s="6" t="s">
        <v>2307</v>
      </c>
      <c r="C429" s="5">
        <v>46293</v>
      </c>
      <c r="D429" s="6" t="s">
        <v>19</v>
      </c>
      <c r="E429" s="6" t="s">
        <v>39</v>
      </c>
      <c r="F429" s="7" t="s">
        <v>58</v>
      </c>
      <c r="G429" s="6" t="s">
        <v>34</v>
      </c>
      <c r="H429" s="6">
        <v>114</v>
      </c>
      <c r="I429" s="6" t="s">
        <v>41</v>
      </c>
      <c r="J429" s="6" t="s">
        <v>42</v>
      </c>
      <c r="K429" s="8"/>
      <c r="L429" s="7" t="s">
        <v>475</v>
      </c>
      <c r="M429" s="8"/>
      <c r="N429" s="8"/>
      <c r="O429" s="8"/>
      <c r="P429" s="6">
        <v>14</v>
      </c>
      <c r="Q429" s="5">
        <v>46314</v>
      </c>
      <c r="R429" s="8"/>
      <c r="S429" s="8"/>
      <c r="T429" s="8"/>
      <c r="U429" s="8"/>
      <c r="V429" s="8"/>
      <c r="W429" s="8"/>
      <c r="X429" s="8"/>
      <c r="Y429" s="885"/>
    </row>
    <row r="430" spans="1:25" ht="50.1" customHeight="1" thickBot="1" x14ac:dyDescent="0.3">
      <c r="A430" s="4" t="s">
        <v>1970</v>
      </c>
      <c r="B430" s="6" t="s">
        <v>2308</v>
      </c>
      <c r="C430" s="5">
        <v>46293</v>
      </c>
      <c r="D430" s="6" t="s">
        <v>19</v>
      </c>
      <c r="E430" s="6" t="s">
        <v>20</v>
      </c>
      <c r="F430" s="7" t="s">
        <v>102</v>
      </c>
      <c r="G430" s="6" t="s">
        <v>22</v>
      </c>
      <c r="H430" s="6">
        <v>316</v>
      </c>
      <c r="I430" s="6" t="s">
        <v>23</v>
      </c>
      <c r="J430" s="6" t="s">
        <v>46</v>
      </c>
      <c r="K430" s="8"/>
      <c r="L430" s="7" t="s">
        <v>2309</v>
      </c>
      <c r="M430" s="8"/>
      <c r="N430" s="8"/>
      <c r="O430" s="8"/>
      <c r="P430" s="6">
        <v>14</v>
      </c>
      <c r="Q430" s="5">
        <v>46314</v>
      </c>
      <c r="R430" s="8"/>
      <c r="S430" s="8"/>
      <c r="T430" s="8"/>
      <c r="U430" s="8"/>
      <c r="V430" s="8"/>
      <c r="W430" s="8"/>
      <c r="X430" s="8"/>
      <c r="Y430" s="885"/>
    </row>
    <row r="431" spans="1:25" ht="50.1" customHeight="1" thickBot="1" x14ac:dyDescent="0.3">
      <c r="A431" s="4" t="s">
        <v>2310</v>
      </c>
      <c r="B431" s="6" t="s">
        <v>2311</v>
      </c>
      <c r="C431" s="5">
        <v>46293</v>
      </c>
      <c r="D431" s="6" t="s">
        <v>19</v>
      </c>
      <c r="E431" s="6" t="s">
        <v>468</v>
      </c>
      <c r="F431" s="7" t="s">
        <v>2312</v>
      </c>
      <c r="G431" s="6" t="s">
        <v>34</v>
      </c>
      <c r="H431" s="6">
        <v>119</v>
      </c>
      <c r="I431" s="6" t="s">
        <v>51</v>
      </c>
      <c r="J431" s="6" t="s">
        <v>52</v>
      </c>
      <c r="K431" s="8"/>
      <c r="L431" s="7" t="s">
        <v>2313</v>
      </c>
      <c r="M431" s="8"/>
      <c r="N431" s="8"/>
      <c r="O431" s="8"/>
      <c r="P431" s="6">
        <v>14</v>
      </c>
      <c r="Q431" s="5">
        <v>46314</v>
      </c>
      <c r="R431" s="8"/>
      <c r="S431" s="8"/>
      <c r="T431" s="8"/>
      <c r="U431" s="8"/>
      <c r="V431" s="8"/>
      <c r="W431" s="8"/>
      <c r="X431" s="8"/>
      <c r="Y431" s="885"/>
    </row>
    <row r="432" spans="1:25" ht="50.1" customHeight="1" thickBot="1" x14ac:dyDescent="0.3">
      <c r="A432" s="4" t="s">
        <v>2314</v>
      </c>
      <c r="B432" s="6" t="s">
        <v>2315</v>
      </c>
      <c r="C432" s="5">
        <v>46293</v>
      </c>
      <c r="D432" s="6" t="s">
        <v>19</v>
      </c>
      <c r="E432" s="6" t="s">
        <v>20</v>
      </c>
      <c r="F432" s="7" t="s">
        <v>464</v>
      </c>
      <c r="G432" s="6" t="s">
        <v>22</v>
      </c>
      <c r="H432" s="6">
        <v>316</v>
      </c>
      <c r="I432" s="6" t="s">
        <v>23</v>
      </c>
      <c r="J432" s="6" t="s">
        <v>288</v>
      </c>
      <c r="K432" s="8"/>
      <c r="L432" s="7" t="s">
        <v>2316</v>
      </c>
      <c r="M432" s="8"/>
      <c r="N432" s="8"/>
      <c r="O432" s="8"/>
      <c r="P432" s="6">
        <v>14</v>
      </c>
      <c r="Q432" s="5">
        <v>46314</v>
      </c>
      <c r="R432" s="8"/>
      <c r="S432" s="8"/>
      <c r="T432" s="8"/>
      <c r="U432" s="8"/>
      <c r="V432" s="8"/>
      <c r="W432" s="8"/>
      <c r="X432" s="8"/>
      <c r="Y432" s="885"/>
    </row>
    <row r="433" spans="1:25" ht="50.1" customHeight="1" thickBot="1" x14ac:dyDescent="0.3">
      <c r="A433" s="4" t="s">
        <v>2317</v>
      </c>
      <c r="B433" s="6" t="s">
        <v>2318</v>
      </c>
      <c r="C433" s="5">
        <v>46293</v>
      </c>
      <c r="D433" s="6" t="s">
        <v>19</v>
      </c>
      <c r="E433" s="6" t="s">
        <v>39</v>
      </c>
      <c r="F433" s="7" t="s">
        <v>553</v>
      </c>
      <c r="G433" s="6" t="s">
        <v>34</v>
      </c>
      <c r="H433" s="6">
        <v>114</v>
      </c>
      <c r="I433" s="6" t="s">
        <v>41</v>
      </c>
      <c r="J433" s="6" t="s">
        <v>42</v>
      </c>
      <c r="K433" s="8"/>
      <c r="L433" s="7" t="s">
        <v>2319</v>
      </c>
      <c r="M433" s="8"/>
      <c r="N433" s="8"/>
      <c r="O433" s="8"/>
      <c r="P433" s="6">
        <v>14</v>
      </c>
      <c r="Q433" s="5">
        <v>46314</v>
      </c>
      <c r="R433" s="8"/>
      <c r="S433" s="8"/>
      <c r="T433" s="8"/>
      <c r="U433" s="8"/>
      <c r="V433" s="8"/>
      <c r="W433" s="8"/>
      <c r="X433" s="8"/>
      <c r="Y433" s="885"/>
    </row>
    <row r="434" spans="1:25" ht="50.1" customHeight="1" thickBot="1" x14ac:dyDescent="0.3">
      <c r="A434" s="4" t="s">
        <v>2320</v>
      </c>
      <c r="B434" s="6" t="s">
        <v>2321</v>
      </c>
      <c r="C434" s="5">
        <v>46293</v>
      </c>
      <c r="D434" s="6" t="s">
        <v>19</v>
      </c>
      <c r="E434" s="6" t="s">
        <v>20</v>
      </c>
      <c r="F434" s="7" t="s">
        <v>467</v>
      </c>
      <c r="G434" s="6" t="s">
        <v>22</v>
      </c>
      <c r="H434" s="6">
        <v>316</v>
      </c>
      <c r="I434" s="6" t="s">
        <v>23</v>
      </c>
      <c r="J434" s="6" t="s">
        <v>46</v>
      </c>
      <c r="K434" s="8"/>
      <c r="L434" s="7" t="s">
        <v>2322</v>
      </c>
      <c r="M434" s="8"/>
      <c r="N434" s="8"/>
      <c r="O434" s="8"/>
      <c r="P434" s="6">
        <v>14</v>
      </c>
      <c r="Q434" s="5">
        <v>46314</v>
      </c>
      <c r="R434" s="8"/>
      <c r="S434" s="8"/>
      <c r="T434" s="8"/>
      <c r="U434" s="8"/>
      <c r="V434" s="8"/>
      <c r="W434" s="8"/>
      <c r="X434" s="8"/>
      <c r="Y434" s="885"/>
    </row>
    <row r="435" spans="1:25" ht="50.1" customHeight="1" thickBot="1" x14ac:dyDescent="0.3">
      <c r="A435" s="4" t="s">
        <v>2323</v>
      </c>
      <c r="B435" s="6" t="s">
        <v>2324</v>
      </c>
      <c r="C435" s="5">
        <v>46293</v>
      </c>
      <c r="D435" s="6" t="s">
        <v>19</v>
      </c>
      <c r="E435" s="6" t="s">
        <v>29</v>
      </c>
      <c r="F435" s="7" t="s">
        <v>2325</v>
      </c>
      <c r="G435" s="6" t="s">
        <v>34</v>
      </c>
      <c r="H435" s="6">
        <v>118</v>
      </c>
      <c r="I435" s="6" t="s">
        <v>492</v>
      </c>
      <c r="J435" s="6" t="s">
        <v>511</v>
      </c>
      <c r="K435" s="8"/>
      <c r="L435" s="7" t="s">
        <v>642</v>
      </c>
      <c r="M435" s="8"/>
      <c r="N435" s="8"/>
      <c r="O435" s="8"/>
      <c r="P435" s="6">
        <v>14</v>
      </c>
      <c r="Q435" s="5">
        <v>46314</v>
      </c>
      <c r="R435" s="8"/>
      <c r="S435" s="8"/>
      <c r="T435" s="8"/>
      <c r="U435" s="8"/>
      <c r="V435" s="8"/>
      <c r="W435" s="8"/>
      <c r="X435" s="8"/>
      <c r="Y435" s="885"/>
    </row>
    <row r="436" spans="1:25" ht="50.1" customHeight="1" thickBot="1" x14ac:dyDescent="0.3">
      <c r="A436" s="4" t="s">
        <v>2326</v>
      </c>
      <c r="B436" s="6" t="s">
        <v>2327</v>
      </c>
      <c r="C436" s="5">
        <v>46293</v>
      </c>
      <c r="D436" s="6" t="s">
        <v>19</v>
      </c>
      <c r="E436" s="6" t="s">
        <v>39</v>
      </c>
      <c r="F436" s="7" t="s">
        <v>2328</v>
      </c>
      <c r="G436" s="6" t="s">
        <v>34</v>
      </c>
      <c r="H436" s="6">
        <v>114</v>
      </c>
      <c r="I436" s="6" t="s">
        <v>41</v>
      </c>
      <c r="J436" s="6" t="s">
        <v>42</v>
      </c>
      <c r="K436" s="8"/>
      <c r="L436" s="7" t="s">
        <v>2329</v>
      </c>
      <c r="M436" s="8"/>
      <c r="N436" s="8"/>
      <c r="O436" s="8"/>
      <c r="P436" s="6">
        <v>14</v>
      </c>
      <c r="Q436" s="5">
        <v>46314</v>
      </c>
      <c r="R436" s="8"/>
      <c r="S436" s="8"/>
      <c r="T436" s="8"/>
      <c r="U436" s="8"/>
      <c r="V436" s="8"/>
      <c r="W436" s="8"/>
      <c r="X436" s="8"/>
      <c r="Y436" s="885"/>
    </row>
    <row r="437" spans="1:25" ht="50.1" customHeight="1" thickBot="1" x14ac:dyDescent="0.3">
      <c r="A437" s="4" t="s">
        <v>2330</v>
      </c>
      <c r="B437" s="6" t="s">
        <v>2331</v>
      </c>
      <c r="C437" s="5">
        <v>46293</v>
      </c>
      <c r="D437" s="6" t="s">
        <v>33</v>
      </c>
      <c r="E437" s="6" t="s">
        <v>460</v>
      </c>
      <c r="F437" s="7" t="s">
        <v>2332</v>
      </c>
      <c r="G437" s="6" t="s">
        <v>34</v>
      </c>
      <c r="H437" s="6">
        <v>102</v>
      </c>
      <c r="I437" s="6" t="s">
        <v>2333</v>
      </c>
      <c r="J437" s="6" t="s">
        <v>2334</v>
      </c>
      <c r="K437" s="8"/>
      <c r="L437" s="7" t="s">
        <v>2335</v>
      </c>
      <c r="M437" s="8"/>
      <c r="N437" s="8"/>
      <c r="O437" s="8"/>
      <c r="P437" s="6">
        <v>14</v>
      </c>
      <c r="Q437" s="5">
        <v>46314</v>
      </c>
      <c r="R437" s="8"/>
      <c r="S437" s="8"/>
      <c r="T437" s="8"/>
      <c r="U437" s="8"/>
      <c r="V437" s="8"/>
      <c r="W437" s="8"/>
      <c r="X437" s="8"/>
      <c r="Y437" s="885"/>
    </row>
    <row r="438" spans="1:25" ht="50.1" customHeight="1" thickBot="1" x14ac:dyDescent="0.3">
      <c r="A438" s="4" t="s">
        <v>2336</v>
      </c>
      <c r="B438" s="6" t="s">
        <v>2337</v>
      </c>
      <c r="C438" s="5">
        <v>46293</v>
      </c>
      <c r="D438" s="6" t="s">
        <v>19</v>
      </c>
      <c r="E438" s="6" t="s">
        <v>460</v>
      </c>
      <c r="F438" s="7" t="s">
        <v>345</v>
      </c>
      <c r="G438" s="6" t="s">
        <v>22</v>
      </c>
      <c r="H438" s="6">
        <v>316</v>
      </c>
      <c r="I438" s="6" t="s">
        <v>23</v>
      </c>
      <c r="J438" s="6" t="s">
        <v>46</v>
      </c>
      <c r="K438" s="8"/>
      <c r="L438" s="7" t="s">
        <v>2338</v>
      </c>
      <c r="M438" s="8"/>
      <c r="N438" s="8"/>
      <c r="O438" s="8"/>
      <c r="P438" s="6">
        <v>14</v>
      </c>
      <c r="Q438" s="5">
        <v>46314</v>
      </c>
      <c r="R438" s="8"/>
      <c r="S438" s="8"/>
      <c r="T438" s="8"/>
      <c r="U438" s="8"/>
      <c r="V438" s="8"/>
      <c r="W438" s="8"/>
      <c r="X438" s="8"/>
      <c r="Y438" s="885"/>
    </row>
    <row r="439" spans="1:25" ht="50.1" customHeight="1" thickBot="1" x14ac:dyDescent="0.3">
      <c r="A439" s="4" t="s">
        <v>2339</v>
      </c>
      <c r="B439" s="880" t="s">
        <v>2340</v>
      </c>
      <c r="C439" s="5">
        <v>46294</v>
      </c>
      <c r="D439" s="6" t="s">
        <v>28</v>
      </c>
      <c r="E439" s="6" t="s">
        <v>63</v>
      </c>
      <c r="F439" s="7" t="s">
        <v>2341</v>
      </c>
      <c r="G439" s="6" t="s">
        <v>30</v>
      </c>
      <c r="H439" s="6">
        <v>316</v>
      </c>
      <c r="I439" s="6" t="s">
        <v>23</v>
      </c>
      <c r="J439" s="6" t="s">
        <v>75</v>
      </c>
      <c r="K439" s="8"/>
      <c r="L439" s="7" t="s">
        <v>2342</v>
      </c>
      <c r="M439" s="8"/>
      <c r="N439" s="8"/>
      <c r="O439" s="8"/>
      <c r="P439" s="6">
        <v>14</v>
      </c>
      <c r="Q439" s="5">
        <v>46314</v>
      </c>
      <c r="R439" s="8"/>
      <c r="S439" s="8"/>
      <c r="T439" s="8"/>
      <c r="U439" s="8"/>
      <c r="V439" s="8"/>
      <c r="W439" s="8"/>
      <c r="X439" s="8"/>
      <c r="Y439" s="885"/>
    </row>
    <row r="440" spans="1:25" ht="50.1" customHeight="1" thickBot="1" x14ac:dyDescent="0.3">
      <c r="A440" s="4" t="s">
        <v>2343</v>
      </c>
      <c r="B440" s="880" t="s">
        <v>2344</v>
      </c>
      <c r="C440" s="5">
        <v>46294</v>
      </c>
      <c r="D440" s="6" t="s">
        <v>19</v>
      </c>
      <c r="E440" s="6" t="s">
        <v>39</v>
      </c>
      <c r="F440" s="7" t="s">
        <v>553</v>
      </c>
      <c r="G440" s="6" t="s">
        <v>34</v>
      </c>
      <c r="H440" s="6">
        <v>114</v>
      </c>
      <c r="I440" s="6" t="s">
        <v>41</v>
      </c>
      <c r="J440" s="6" t="s">
        <v>42</v>
      </c>
      <c r="K440" s="8"/>
      <c r="L440" s="7" t="s">
        <v>2345</v>
      </c>
      <c r="M440" s="8"/>
      <c r="N440" s="8"/>
      <c r="O440" s="8"/>
      <c r="P440" s="6">
        <v>14</v>
      </c>
      <c r="Q440" s="5">
        <v>46315</v>
      </c>
      <c r="R440" s="8"/>
      <c r="S440" s="8"/>
      <c r="T440" s="8"/>
      <c r="U440" s="8"/>
      <c r="V440" s="8"/>
      <c r="W440" s="8"/>
      <c r="X440" s="8"/>
      <c r="Y440" s="885"/>
    </row>
    <row r="441" spans="1:25" ht="50.1" customHeight="1" thickBot="1" x14ac:dyDescent="0.3">
      <c r="A441" s="4" t="s">
        <v>2346</v>
      </c>
      <c r="B441" s="880" t="s">
        <v>2347</v>
      </c>
      <c r="C441" s="5">
        <v>46294</v>
      </c>
      <c r="D441" s="6" t="s">
        <v>28</v>
      </c>
      <c r="E441" s="6" t="s">
        <v>29</v>
      </c>
      <c r="F441" s="7" t="s">
        <v>2348</v>
      </c>
      <c r="G441" s="6" t="s">
        <v>30</v>
      </c>
      <c r="H441" s="6">
        <v>503</v>
      </c>
      <c r="I441" s="6" t="s">
        <v>31</v>
      </c>
      <c r="J441" s="6" t="s">
        <v>32</v>
      </c>
      <c r="K441" s="8"/>
      <c r="L441" s="7" t="s">
        <v>2349</v>
      </c>
      <c r="M441" s="8"/>
      <c r="N441" s="8"/>
      <c r="O441" s="8"/>
      <c r="P441" s="6">
        <v>14</v>
      </c>
      <c r="Q441" s="5">
        <v>46315</v>
      </c>
      <c r="R441" s="8"/>
      <c r="S441" s="8"/>
      <c r="T441" s="8"/>
      <c r="U441" s="8"/>
      <c r="V441" s="8"/>
      <c r="W441" s="8"/>
      <c r="X441" s="8"/>
      <c r="Y441" s="885"/>
    </row>
    <row r="442" spans="1:25" ht="50.1" customHeight="1" thickBot="1" x14ac:dyDescent="0.3">
      <c r="A442" s="4" t="s">
        <v>2350</v>
      </c>
      <c r="B442" s="880" t="s">
        <v>2351</v>
      </c>
      <c r="C442" s="5">
        <v>46294</v>
      </c>
      <c r="D442" s="6" t="s">
        <v>19</v>
      </c>
      <c r="E442" s="6" t="s">
        <v>460</v>
      </c>
      <c r="F442" s="7" t="s">
        <v>464</v>
      </c>
      <c r="G442" s="6" t="s">
        <v>22</v>
      </c>
      <c r="H442" s="6">
        <v>316</v>
      </c>
      <c r="I442" s="6" t="s">
        <v>23</v>
      </c>
      <c r="J442" s="6" t="s">
        <v>2352</v>
      </c>
      <c r="K442" s="8"/>
      <c r="L442" s="7" t="s">
        <v>2353</v>
      </c>
      <c r="M442" s="8"/>
      <c r="N442" s="8"/>
      <c r="O442" s="8"/>
      <c r="P442" s="6">
        <v>14</v>
      </c>
      <c r="Q442" s="5">
        <v>46315</v>
      </c>
      <c r="R442" s="8"/>
      <c r="S442" s="8"/>
      <c r="T442" s="8"/>
      <c r="U442" s="8"/>
      <c r="V442" s="8"/>
      <c r="W442" s="8"/>
      <c r="X442" s="8"/>
      <c r="Y442" s="885"/>
    </row>
    <row r="443" spans="1:25" ht="50.1" customHeight="1" thickBot="1" x14ac:dyDescent="0.3">
      <c r="A443" s="4" t="s">
        <v>2354</v>
      </c>
      <c r="B443" s="880" t="s">
        <v>2355</v>
      </c>
      <c r="C443" s="5">
        <v>46294</v>
      </c>
      <c r="D443" s="6" t="s">
        <v>28</v>
      </c>
      <c r="E443" s="6" t="s">
        <v>84</v>
      </c>
      <c r="F443" s="7" t="s">
        <v>2356</v>
      </c>
      <c r="G443" s="6" t="s">
        <v>30</v>
      </c>
      <c r="H443" s="6">
        <v>503</v>
      </c>
      <c r="I443" s="6" t="s">
        <v>31</v>
      </c>
      <c r="J443" s="6" t="s">
        <v>59</v>
      </c>
      <c r="K443" s="8"/>
      <c r="L443" s="7" t="s">
        <v>2357</v>
      </c>
      <c r="M443" s="8"/>
      <c r="N443" s="8"/>
      <c r="O443" s="8"/>
      <c r="P443" s="6">
        <v>14</v>
      </c>
      <c r="Q443" s="5">
        <v>46315</v>
      </c>
      <c r="R443" s="8"/>
      <c r="S443" s="8"/>
      <c r="T443" s="8"/>
      <c r="U443" s="8"/>
      <c r="V443" s="8"/>
      <c r="W443" s="8"/>
      <c r="X443" s="8"/>
      <c r="Y443" s="885"/>
    </row>
    <row r="444" spans="1:25" ht="50.1" customHeight="1" thickBot="1" x14ac:dyDescent="0.3">
      <c r="A444" s="4" t="s">
        <v>2358</v>
      </c>
      <c r="B444" s="880" t="s">
        <v>2359</v>
      </c>
      <c r="C444" s="5">
        <v>46294</v>
      </c>
      <c r="D444" s="6" t="s">
        <v>33</v>
      </c>
      <c r="E444" s="6" t="s">
        <v>29</v>
      </c>
      <c r="F444" s="7" t="s">
        <v>2360</v>
      </c>
      <c r="G444" s="6" t="s">
        <v>22</v>
      </c>
      <c r="H444" s="6">
        <v>308</v>
      </c>
      <c r="I444" s="6" t="s">
        <v>77</v>
      </c>
      <c r="J444" s="6" t="s">
        <v>282</v>
      </c>
      <c r="K444" s="8"/>
      <c r="L444" s="7" t="s">
        <v>615</v>
      </c>
      <c r="M444" s="8"/>
      <c r="N444" s="8"/>
      <c r="O444" s="8"/>
      <c r="P444" s="6">
        <v>14</v>
      </c>
      <c r="Q444" s="5">
        <v>46315</v>
      </c>
      <c r="R444" s="8"/>
      <c r="S444" s="8"/>
      <c r="T444" s="8"/>
      <c r="U444" s="8"/>
      <c r="V444" s="8"/>
      <c r="W444" s="8"/>
      <c r="X444" s="8"/>
      <c r="Y444" s="885"/>
    </row>
    <row r="445" spans="1:25" ht="50.1" customHeight="1" thickBot="1" x14ac:dyDescent="0.3">
      <c r="A445" s="4" t="s">
        <v>2358</v>
      </c>
      <c r="B445" s="880" t="s">
        <v>2361</v>
      </c>
      <c r="C445" s="5">
        <v>46294</v>
      </c>
      <c r="D445" s="6" t="s">
        <v>33</v>
      </c>
      <c r="E445" s="6" t="s">
        <v>29</v>
      </c>
      <c r="F445" s="7" t="s">
        <v>2362</v>
      </c>
      <c r="G445" s="6" t="s">
        <v>34</v>
      </c>
      <c r="H445" s="6">
        <v>102</v>
      </c>
      <c r="I445" s="6" t="s">
        <v>2333</v>
      </c>
      <c r="J445" s="6" t="s">
        <v>2334</v>
      </c>
      <c r="K445" s="8"/>
      <c r="L445" s="7" t="s">
        <v>2363</v>
      </c>
      <c r="M445" s="8"/>
      <c r="N445" s="8"/>
      <c r="O445" s="8"/>
      <c r="P445" s="6">
        <v>14</v>
      </c>
      <c r="Q445" s="5">
        <v>46315</v>
      </c>
      <c r="R445" s="8"/>
      <c r="S445" s="8"/>
      <c r="T445" s="8"/>
      <c r="U445" s="8"/>
      <c r="V445" s="8"/>
      <c r="W445" s="8"/>
      <c r="X445" s="8"/>
      <c r="Y445" s="885"/>
    </row>
    <row r="446" spans="1:25" ht="50.1" customHeight="1" thickBot="1" x14ac:dyDescent="0.3">
      <c r="A446" s="4" t="s">
        <v>2364</v>
      </c>
      <c r="B446" s="880" t="s">
        <v>2365</v>
      </c>
      <c r="C446" s="5">
        <v>46294</v>
      </c>
      <c r="D446" s="6" t="s">
        <v>19</v>
      </c>
      <c r="E446" s="6" t="s">
        <v>460</v>
      </c>
      <c r="F446" s="7" t="s">
        <v>614</v>
      </c>
      <c r="G446" s="6" t="s">
        <v>34</v>
      </c>
      <c r="H446" s="6">
        <v>127</v>
      </c>
      <c r="I446" s="6" t="s">
        <v>88</v>
      </c>
      <c r="J446" s="6" t="s">
        <v>71</v>
      </c>
      <c r="K446" s="8"/>
      <c r="L446" s="7" t="s">
        <v>2366</v>
      </c>
      <c r="M446" s="8"/>
      <c r="N446" s="8"/>
      <c r="O446" s="8"/>
      <c r="P446" s="6">
        <v>14</v>
      </c>
      <c r="Q446" s="5">
        <v>46315</v>
      </c>
      <c r="R446" s="8"/>
      <c r="S446" s="8"/>
      <c r="T446" s="8"/>
      <c r="U446" s="8"/>
      <c r="V446" s="8"/>
      <c r="W446" s="8"/>
      <c r="X446" s="8"/>
      <c r="Y446" s="885"/>
    </row>
    <row r="447" spans="1:25" ht="50.1" customHeight="1" thickBot="1" x14ac:dyDescent="0.3">
      <c r="A447" s="4" t="s">
        <v>2367</v>
      </c>
      <c r="B447" s="880" t="s">
        <v>2368</v>
      </c>
      <c r="C447" s="5">
        <v>46294</v>
      </c>
      <c r="D447" s="6" t="s">
        <v>19</v>
      </c>
      <c r="E447" s="6" t="s">
        <v>29</v>
      </c>
      <c r="F447" s="7" t="s">
        <v>2369</v>
      </c>
      <c r="G447" s="6" t="s">
        <v>34</v>
      </c>
      <c r="H447" s="6">
        <v>102</v>
      </c>
      <c r="I447" s="6" t="s">
        <v>2333</v>
      </c>
      <c r="J447" s="6" t="s">
        <v>2334</v>
      </c>
      <c r="K447" s="8"/>
      <c r="L447" s="7" t="s">
        <v>2370</v>
      </c>
      <c r="M447" s="8"/>
      <c r="N447" s="8"/>
      <c r="O447" s="8"/>
      <c r="P447" s="6">
        <v>14</v>
      </c>
      <c r="Q447" s="5">
        <v>46315</v>
      </c>
      <c r="R447" s="8"/>
      <c r="S447" s="8"/>
      <c r="T447" s="8"/>
      <c r="U447" s="8"/>
      <c r="V447" s="8"/>
      <c r="W447" s="8"/>
      <c r="X447" s="8"/>
      <c r="Y447" s="885"/>
    </row>
    <row r="448" spans="1:25" ht="50.1" customHeight="1" thickBot="1" x14ac:dyDescent="0.3">
      <c r="A448" s="4" t="s">
        <v>2371</v>
      </c>
      <c r="B448" s="880" t="s">
        <v>2372</v>
      </c>
      <c r="C448" s="5">
        <v>46294</v>
      </c>
      <c r="D448" s="6" t="s">
        <v>33</v>
      </c>
      <c r="E448" s="6" t="s">
        <v>29</v>
      </c>
      <c r="F448" s="7" t="s">
        <v>2373</v>
      </c>
      <c r="G448" s="6" t="s">
        <v>34</v>
      </c>
      <c r="H448" s="6">
        <v>114</v>
      </c>
      <c r="I448" s="6" t="s">
        <v>41</v>
      </c>
      <c r="J448" s="6" t="s">
        <v>42</v>
      </c>
      <c r="K448" s="8"/>
      <c r="L448" s="7" t="s">
        <v>2374</v>
      </c>
      <c r="M448" s="8"/>
      <c r="N448" s="8"/>
      <c r="O448" s="8"/>
      <c r="P448" s="6">
        <v>14</v>
      </c>
      <c r="Q448" s="5">
        <v>46315</v>
      </c>
      <c r="R448" s="8"/>
      <c r="S448" s="8"/>
      <c r="T448" s="8"/>
      <c r="U448" s="8"/>
      <c r="V448" s="8"/>
      <c r="W448" s="8"/>
      <c r="X448" s="8"/>
      <c r="Y448" s="885"/>
    </row>
    <row r="449" spans="1:25" ht="50.1" customHeight="1" thickBot="1" x14ac:dyDescent="0.3">
      <c r="A449" s="4" t="s">
        <v>2375</v>
      </c>
      <c r="B449" s="880" t="s">
        <v>2376</v>
      </c>
      <c r="C449" s="5">
        <v>46294</v>
      </c>
      <c r="D449" s="6" t="s">
        <v>19</v>
      </c>
      <c r="E449" s="6" t="s">
        <v>460</v>
      </c>
      <c r="F449" s="7" t="s">
        <v>495</v>
      </c>
      <c r="G449" s="6" t="s">
        <v>22</v>
      </c>
      <c r="H449" s="6">
        <v>316</v>
      </c>
      <c r="I449" s="6" t="s">
        <v>23</v>
      </c>
      <c r="J449" s="6" t="s">
        <v>414</v>
      </c>
      <c r="K449" s="8"/>
      <c r="L449" s="7" t="s">
        <v>503</v>
      </c>
      <c r="M449" s="8"/>
      <c r="N449" s="8"/>
      <c r="O449" s="8"/>
      <c r="P449" s="6">
        <v>14</v>
      </c>
      <c r="Q449" s="5">
        <v>46315</v>
      </c>
      <c r="R449" s="8"/>
      <c r="S449" s="8"/>
      <c r="T449" s="8"/>
      <c r="U449" s="8"/>
      <c r="V449" s="8"/>
      <c r="W449" s="8"/>
      <c r="X449" s="8"/>
      <c r="Y449" s="885"/>
    </row>
    <row r="450" spans="1:25" ht="50.1" customHeight="1" thickBot="1" x14ac:dyDescent="0.3">
      <c r="A450" s="4" t="s">
        <v>2377</v>
      </c>
      <c r="B450" s="880" t="s">
        <v>2378</v>
      </c>
      <c r="C450" s="5">
        <v>46294</v>
      </c>
      <c r="D450" s="6" t="s">
        <v>19</v>
      </c>
      <c r="E450" s="6" t="s">
        <v>460</v>
      </c>
      <c r="F450" s="7" t="s">
        <v>2379</v>
      </c>
      <c r="G450" s="6" t="s">
        <v>34</v>
      </c>
      <c r="H450" s="6">
        <v>102</v>
      </c>
      <c r="I450" s="6" t="s">
        <v>2333</v>
      </c>
      <c r="J450" s="6" t="s">
        <v>2334</v>
      </c>
      <c r="K450" s="8"/>
      <c r="L450" s="7" t="s">
        <v>2380</v>
      </c>
      <c r="M450" s="8"/>
      <c r="N450" s="8"/>
      <c r="O450" s="8"/>
      <c r="P450" s="6">
        <v>14</v>
      </c>
      <c r="Q450" s="5">
        <v>46315</v>
      </c>
      <c r="R450" s="8"/>
      <c r="S450" s="8"/>
      <c r="T450" s="8"/>
      <c r="U450" s="8"/>
      <c r="V450" s="8"/>
      <c r="W450" s="8"/>
      <c r="X450" s="8"/>
      <c r="Y450" s="885"/>
    </row>
    <row r="451" spans="1:25" ht="50.1" customHeight="1" thickBot="1" x14ac:dyDescent="0.3">
      <c r="A451" s="4" t="s">
        <v>2381</v>
      </c>
      <c r="B451" s="880" t="s">
        <v>2382</v>
      </c>
      <c r="C451" s="5">
        <v>46294</v>
      </c>
      <c r="D451" s="6" t="s">
        <v>33</v>
      </c>
      <c r="E451" s="6" t="s">
        <v>29</v>
      </c>
      <c r="F451" s="7" t="s">
        <v>2383</v>
      </c>
      <c r="G451" s="6" t="s">
        <v>34</v>
      </c>
      <c r="H451" s="6">
        <v>119</v>
      </c>
      <c r="I451" s="6" t="s">
        <v>51</v>
      </c>
      <c r="J451" s="6" t="s">
        <v>52</v>
      </c>
      <c r="K451" s="8"/>
      <c r="L451" s="7" t="s">
        <v>2384</v>
      </c>
      <c r="M451" s="8"/>
      <c r="N451" s="8"/>
      <c r="O451" s="8"/>
      <c r="P451" s="6">
        <v>14</v>
      </c>
      <c r="Q451" s="5">
        <v>46315</v>
      </c>
      <c r="R451" s="8"/>
      <c r="S451" s="8"/>
      <c r="T451" s="8"/>
      <c r="U451" s="8"/>
      <c r="V451" s="8"/>
      <c r="W451" s="8"/>
      <c r="X451" s="8"/>
      <c r="Y451" s="885"/>
    </row>
    <row r="452" spans="1:25" ht="50.1" customHeight="1" thickBot="1" x14ac:dyDescent="0.3">
      <c r="A452" s="4" t="s">
        <v>2385</v>
      </c>
      <c r="B452" s="880" t="s">
        <v>2386</v>
      </c>
      <c r="C452" s="5">
        <v>46294</v>
      </c>
      <c r="D452" s="6" t="s">
        <v>19</v>
      </c>
      <c r="E452" s="6" t="s">
        <v>29</v>
      </c>
      <c r="F452" s="7" t="s">
        <v>516</v>
      </c>
      <c r="G452" s="6" t="s">
        <v>30</v>
      </c>
      <c r="H452" s="6">
        <v>500</v>
      </c>
      <c r="I452" s="6" t="s">
        <v>49</v>
      </c>
      <c r="J452" s="6" t="s">
        <v>53</v>
      </c>
      <c r="K452" s="8"/>
      <c r="L452" s="7" t="s">
        <v>2387</v>
      </c>
      <c r="M452" s="8"/>
      <c r="N452" s="8"/>
      <c r="O452" s="8"/>
      <c r="P452" s="6">
        <v>14</v>
      </c>
      <c r="Q452" s="5">
        <v>46315</v>
      </c>
      <c r="R452" s="8"/>
      <c r="S452" s="8"/>
      <c r="T452" s="8"/>
      <c r="U452" s="8"/>
      <c r="V452" s="8"/>
      <c r="W452" s="8"/>
      <c r="X452" s="8"/>
      <c r="Y452" s="885"/>
    </row>
    <row r="453" spans="1:25" ht="50.1" customHeight="1" thickBot="1" x14ac:dyDescent="0.3">
      <c r="A453" s="4" t="s">
        <v>2388</v>
      </c>
      <c r="B453" s="880" t="s">
        <v>2389</v>
      </c>
      <c r="C453" s="5">
        <v>46294</v>
      </c>
      <c r="D453" s="6" t="s">
        <v>33</v>
      </c>
      <c r="E453" s="6" t="s">
        <v>29</v>
      </c>
      <c r="F453" s="7" t="s">
        <v>2390</v>
      </c>
      <c r="G453" s="6" t="s">
        <v>30</v>
      </c>
      <c r="H453" s="6">
        <v>502</v>
      </c>
      <c r="I453" s="6" t="s">
        <v>37</v>
      </c>
      <c r="J453" s="6" t="s">
        <v>38</v>
      </c>
      <c r="K453" s="8"/>
      <c r="L453" s="7" t="s">
        <v>2391</v>
      </c>
      <c r="M453" s="8"/>
      <c r="N453" s="8"/>
      <c r="O453" s="8"/>
      <c r="P453" s="6">
        <v>14</v>
      </c>
      <c r="Q453" s="5">
        <v>46315</v>
      </c>
      <c r="R453" s="8"/>
      <c r="S453" s="8"/>
      <c r="T453" s="8"/>
      <c r="U453" s="8"/>
      <c r="V453" s="8"/>
      <c r="W453" s="8"/>
      <c r="X453" s="8"/>
      <c r="Y453" s="885"/>
    </row>
    <row r="454" spans="1:25" ht="50.1" customHeight="1" thickBot="1" x14ac:dyDescent="0.3">
      <c r="A454" s="4" t="s">
        <v>2392</v>
      </c>
      <c r="B454" s="880" t="s">
        <v>2393</v>
      </c>
      <c r="C454" s="5">
        <v>46294</v>
      </c>
      <c r="D454" s="6" t="s">
        <v>33</v>
      </c>
      <c r="E454" s="6" t="s">
        <v>460</v>
      </c>
      <c r="F454" s="7" t="s">
        <v>2394</v>
      </c>
      <c r="G454" s="6" t="s">
        <v>30</v>
      </c>
      <c r="H454" s="6">
        <v>502</v>
      </c>
      <c r="I454" s="6" t="s">
        <v>37</v>
      </c>
      <c r="J454" s="6" t="s">
        <v>38</v>
      </c>
      <c r="K454" s="8"/>
      <c r="L454" s="7" t="s">
        <v>2395</v>
      </c>
      <c r="M454" s="8"/>
      <c r="N454" s="8"/>
      <c r="O454" s="8"/>
      <c r="P454" s="6">
        <v>14</v>
      </c>
      <c r="Q454" s="5">
        <v>46315</v>
      </c>
      <c r="R454" s="8"/>
      <c r="S454" s="8"/>
      <c r="T454" s="8"/>
      <c r="U454" s="8"/>
      <c r="V454" s="8"/>
      <c r="W454" s="8"/>
      <c r="X454" s="8"/>
      <c r="Y454" s="885"/>
    </row>
    <row r="455" spans="1:25" ht="50.1" customHeight="1" thickBot="1" x14ac:dyDescent="0.3">
      <c r="A455" s="4" t="s">
        <v>2396</v>
      </c>
      <c r="B455" s="880" t="s">
        <v>2397</v>
      </c>
      <c r="C455" s="5">
        <v>46294</v>
      </c>
      <c r="D455" s="6" t="s">
        <v>33</v>
      </c>
      <c r="E455" s="6" t="s">
        <v>63</v>
      </c>
      <c r="F455" s="7" t="s">
        <v>2398</v>
      </c>
      <c r="G455" s="6" t="s">
        <v>34</v>
      </c>
      <c r="H455" s="6">
        <v>102</v>
      </c>
      <c r="I455" s="6" t="s">
        <v>2333</v>
      </c>
      <c r="J455" s="6" t="s">
        <v>2334</v>
      </c>
      <c r="K455" s="8"/>
      <c r="L455" s="7" t="s">
        <v>627</v>
      </c>
      <c r="M455" s="8"/>
      <c r="N455" s="8"/>
      <c r="O455" s="6" t="s">
        <v>776</v>
      </c>
      <c r="P455" s="6">
        <v>14</v>
      </c>
      <c r="Q455" s="5">
        <v>46315</v>
      </c>
      <c r="R455" s="8"/>
      <c r="S455" s="8"/>
      <c r="T455" s="8"/>
      <c r="U455" s="8"/>
      <c r="V455" s="8"/>
      <c r="W455" s="8"/>
      <c r="X455" s="8"/>
      <c r="Y455" s="885"/>
    </row>
    <row r="456" spans="1:25" ht="50.1" customHeight="1" thickBot="1" x14ac:dyDescent="0.3">
      <c r="A456" s="4" t="s">
        <v>2399</v>
      </c>
      <c r="B456" s="880" t="s">
        <v>2400</v>
      </c>
      <c r="C456" s="5">
        <v>46294</v>
      </c>
      <c r="D456" s="6" t="s">
        <v>103</v>
      </c>
      <c r="E456" s="6" t="s">
        <v>39</v>
      </c>
      <c r="F456" s="7" t="s">
        <v>2401</v>
      </c>
      <c r="G456" s="6" t="s">
        <v>22</v>
      </c>
      <c r="H456" s="6">
        <v>503</v>
      </c>
      <c r="I456" s="6" t="s">
        <v>31</v>
      </c>
      <c r="J456" s="12" t="s">
        <v>93</v>
      </c>
      <c r="K456" s="8"/>
      <c r="L456" s="7" t="s">
        <v>635</v>
      </c>
      <c r="M456" s="8"/>
      <c r="N456" s="8"/>
      <c r="O456" s="8"/>
      <c r="P456" s="6">
        <v>14</v>
      </c>
      <c r="Q456" s="5">
        <v>46315</v>
      </c>
      <c r="R456" s="8"/>
      <c r="S456" s="8"/>
      <c r="T456" s="8"/>
      <c r="U456" s="8"/>
      <c r="V456" s="8"/>
      <c r="W456" s="8"/>
      <c r="X456" s="8"/>
      <c r="Y456" s="885"/>
    </row>
    <row r="457" spans="1:25" ht="50.1" customHeight="1" thickBot="1" x14ac:dyDescent="0.3">
      <c r="A457" s="678"/>
      <c r="B457" s="881" t="s">
        <v>2402</v>
      </c>
      <c r="C457" s="874">
        <v>46294</v>
      </c>
      <c r="D457" s="6" t="s">
        <v>103</v>
      </c>
      <c r="E457" s="6" t="s">
        <v>39</v>
      </c>
      <c r="F457" s="875" t="s">
        <v>2403</v>
      </c>
      <c r="G457" s="12" t="s">
        <v>22</v>
      </c>
      <c r="H457" s="12">
        <v>503</v>
      </c>
      <c r="I457" s="12" t="s">
        <v>31</v>
      </c>
      <c r="J457" s="12" t="s">
        <v>93</v>
      </c>
      <c r="K457" s="863"/>
      <c r="L457" s="875" t="s">
        <v>2404</v>
      </c>
      <c r="M457" s="863"/>
      <c r="N457" s="863"/>
      <c r="O457" s="863"/>
      <c r="P457" s="12">
        <v>14</v>
      </c>
      <c r="Q457" s="874">
        <v>46315</v>
      </c>
      <c r="R457" s="863"/>
      <c r="S457" s="863"/>
      <c r="T457" s="863"/>
      <c r="U457" s="863"/>
      <c r="V457" s="863"/>
      <c r="W457" s="863"/>
      <c r="X457" s="863"/>
      <c r="Y457" s="887"/>
    </row>
    <row r="458" spans="1:25" ht="50.1" customHeight="1" thickBot="1" x14ac:dyDescent="0.3">
      <c r="A458" s="13"/>
      <c r="B458" s="880" t="s">
        <v>2405</v>
      </c>
      <c r="C458" s="5">
        <v>46294</v>
      </c>
      <c r="D458" s="6" t="s">
        <v>103</v>
      </c>
      <c r="E458" s="6" t="s">
        <v>478</v>
      </c>
      <c r="F458" s="7" t="s">
        <v>2406</v>
      </c>
      <c r="G458" s="6" t="s">
        <v>30</v>
      </c>
      <c r="H458" s="6">
        <v>503</v>
      </c>
      <c r="I458" s="6" t="s">
        <v>31</v>
      </c>
      <c r="J458" s="8"/>
      <c r="K458" s="8"/>
      <c r="L458" s="7" t="s">
        <v>2407</v>
      </c>
      <c r="M458" s="8"/>
      <c r="N458" s="8"/>
      <c r="O458" s="8"/>
      <c r="P458" s="6">
        <v>14</v>
      </c>
      <c r="Q458" s="5">
        <v>46315</v>
      </c>
      <c r="R458" s="8"/>
      <c r="S458" s="8"/>
      <c r="T458" s="8"/>
      <c r="U458" s="8"/>
      <c r="V458" s="8"/>
      <c r="W458" s="8"/>
      <c r="X458" s="8"/>
      <c r="Y458" s="885"/>
    </row>
    <row r="459" spans="1:25" ht="50.1" customHeight="1" thickBot="1" x14ac:dyDescent="0.3">
      <c r="A459" s="4" t="s">
        <v>2399</v>
      </c>
      <c r="B459" s="880" t="s">
        <v>2408</v>
      </c>
      <c r="C459" s="5">
        <v>46294</v>
      </c>
      <c r="D459" s="6" t="s">
        <v>103</v>
      </c>
      <c r="E459" s="6" t="s">
        <v>39</v>
      </c>
      <c r="F459" s="7" t="s">
        <v>2409</v>
      </c>
      <c r="G459" s="6" t="s">
        <v>22</v>
      </c>
      <c r="H459" s="6">
        <v>503</v>
      </c>
      <c r="I459" s="6" t="s">
        <v>31</v>
      </c>
      <c r="J459" s="12" t="s">
        <v>93</v>
      </c>
      <c r="K459" s="8"/>
      <c r="L459" s="7" t="s">
        <v>2410</v>
      </c>
      <c r="M459" s="8"/>
      <c r="N459" s="8"/>
      <c r="O459" s="8"/>
      <c r="P459" s="6">
        <v>14</v>
      </c>
      <c r="Q459" s="5">
        <v>46315</v>
      </c>
      <c r="R459" s="8"/>
      <c r="S459" s="8"/>
      <c r="T459" s="8"/>
      <c r="U459" s="8"/>
      <c r="V459" s="8"/>
      <c r="W459" s="8"/>
      <c r="X459" s="8"/>
      <c r="Y459" s="885"/>
    </row>
    <row r="460" spans="1:25" ht="50.1" customHeight="1" thickBot="1" x14ac:dyDescent="0.3">
      <c r="A460" s="4" t="s">
        <v>2411</v>
      </c>
      <c r="B460" s="880" t="s">
        <v>2412</v>
      </c>
      <c r="C460" s="5">
        <v>46294</v>
      </c>
      <c r="D460" s="6" t="s">
        <v>103</v>
      </c>
      <c r="E460" s="6" t="s">
        <v>39</v>
      </c>
      <c r="F460" s="7" t="s">
        <v>2409</v>
      </c>
      <c r="G460" s="6" t="s">
        <v>22</v>
      </c>
      <c r="H460" s="6">
        <v>503</v>
      </c>
      <c r="I460" s="6" t="s">
        <v>31</v>
      </c>
      <c r="J460" s="12" t="s">
        <v>93</v>
      </c>
      <c r="K460" s="8"/>
      <c r="L460" s="7" t="s">
        <v>2413</v>
      </c>
      <c r="M460" s="8"/>
      <c r="N460" s="8"/>
      <c r="O460" s="8"/>
      <c r="P460" s="6">
        <v>14</v>
      </c>
      <c r="Q460" s="5">
        <v>46315</v>
      </c>
      <c r="R460" s="8"/>
      <c r="S460" s="8"/>
      <c r="T460" s="8"/>
      <c r="U460" s="8"/>
      <c r="V460" s="8"/>
      <c r="W460" s="8"/>
      <c r="X460" s="8"/>
      <c r="Y460" s="885"/>
    </row>
    <row r="461" spans="1:25" ht="50.1" customHeight="1" thickBot="1" x14ac:dyDescent="0.3">
      <c r="A461" s="4" t="s">
        <v>2414</v>
      </c>
      <c r="B461" s="880" t="s">
        <v>2415</v>
      </c>
      <c r="C461" s="882">
        <v>46295</v>
      </c>
      <c r="D461" s="6" t="s">
        <v>19</v>
      </c>
      <c r="E461" s="6" t="s">
        <v>460</v>
      </c>
      <c r="F461" s="7" t="s">
        <v>614</v>
      </c>
      <c r="G461" s="6" t="s">
        <v>34</v>
      </c>
      <c r="H461" s="6">
        <v>127</v>
      </c>
      <c r="I461" s="6" t="s">
        <v>88</v>
      </c>
      <c r="J461" s="6" t="s">
        <v>71</v>
      </c>
      <c r="K461" s="8"/>
      <c r="L461" s="7" t="s">
        <v>552</v>
      </c>
      <c r="M461" s="8"/>
      <c r="N461" s="8"/>
      <c r="O461" s="8"/>
      <c r="P461" s="6">
        <v>14</v>
      </c>
      <c r="Q461" s="5">
        <v>46315</v>
      </c>
      <c r="R461" s="8"/>
      <c r="S461" s="8"/>
      <c r="T461" s="8"/>
      <c r="U461" s="8"/>
      <c r="V461" s="8"/>
      <c r="W461" s="8"/>
      <c r="X461" s="8"/>
      <c r="Y461" s="885"/>
    </row>
    <row r="462" spans="1:25" ht="50.1" customHeight="1" thickBot="1" x14ac:dyDescent="0.3">
      <c r="A462" s="4" t="s">
        <v>2416</v>
      </c>
      <c r="B462" s="880" t="s">
        <v>2417</v>
      </c>
      <c r="C462" s="882">
        <v>46295</v>
      </c>
      <c r="D462" s="6" t="s">
        <v>19</v>
      </c>
      <c r="E462" s="6" t="s">
        <v>460</v>
      </c>
      <c r="F462" s="7" t="s">
        <v>464</v>
      </c>
      <c r="G462" s="6" t="s">
        <v>22</v>
      </c>
      <c r="H462" s="6">
        <v>316</v>
      </c>
      <c r="I462" s="6" t="s">
        <v>23</v>
      </c>
      <c r="J462" s="6" t="s">
        <v>2352</v>
      </c>
      <c r="K462" s="8"/>
      <c r="L462" s="7" t="s">
        <v>2418</v>
      </c>
      <c r="M462" s="8"/>
      <c r="N462" s="8"/>
      <c r="O462" s="8"/>
      <c r="P462" s="6">
        <v>14</v>
      </c>
      <c r="Q462" s="5">
        <v>46316</v>
      </c>
      <c r="R462" s="8"/>
      <c r="S462" s="8"/>
      <c r="T462" s="8"/>
      <c r="U462" s="8"/>
      <c r="V462" s="8"/>
      <c r="W462" s="8"/>
      <c r="X462" s="8"/>
      <c r="Y462" s="885"/>
    </row>
    <row r="463" spans="1:25" ht="50.1" customHeight="1" thickBot="1" x14ac:dyDescent="0.3">
      <c r="A463" s="4" t="s">
        <v>2419</v>
      </c>
      <c r="B463" s="880" t="s">
        <v>2420</v>
      </c>
      <c r="C463" s="882">
        <v>46295</v>
      </c>
      <c r="D463" s="6" t="s">
        <v>28</v>
      </c>
      <c r="E463" s="6" t="s">
        <v>39</v>
      </c>
      <c r="F463" s="7" t="s">
        <v>2421</v>
      </c>
      <c r="G463" s="6" t="s">
        <v>30</v>
      </c>
      <c r="H463" s="6">
        <v>503</v>
      </c>
      <c r="I463" s="6" t="s">
        <v>31</v>
      </c>
      <c r="J463" s="6" t="s">
        <v>59</v>
      </c>
      <c r="K463" s="8"/>
      <c r="L463" s="7" t="s">
        <v>2422</v>
      </c>
      <c r="M463" s="8"/>
      <c r="N463" s="8"/>
      <c r="O463" s="8"/>
      <c r="P463" s="6">
        <v>14</v>
      </c>
      <c r="Q463" s="5">
        <v>46316</v>
      </c>
      <c r="R463" s="8"/>
      <c r="S463" s="8"/>
      <c r="T463" s="8"/>
      <c r="U463" s="8"/>
      <c r="V463" s="8"/>
      <c r="W463" s="8"/>
      <c r="X463" s="8"/>
      <c r="Y463" s="885"/>
    </row>
    <row r="464" spans="1:25" ht="50.1" customHeight="1" thickBot="1" x14ac:dyDescent="0.3">
      <c r="A464" s="4" t="s">
        <v>2423</v>
      </c>
      <c r="B464" s="880" t="s">
        <v>2424</v>
      </c>
      <c r="C464" s="882">
        <v>46295</v>
      </c>
      <c r="D464" s="6" t="s">
        <v>28</v>
      </c>
      <c r="E464" s="6" t="s">
        <v>29</v>
      </c>
      <c r="F464" s="7" t="s">
        <v>2425</v>
      </c>
      <c r="G464" s="6" t="s">
        <v>34</v>
      </c>
      <c r="H464" s="6">
        <v>127</v>
      </c>
      <c r="I464" s="6" t="s">
        <v>88</v>
      </c>
      <c r="J464" s="6" t="s">
        <v>71</v>
      </c>
      <c r="K464" s="8"/>
      <c r="L464" s="7" t="s">
        <v>406</v>
      </c>
      <c r="M464" s="8"/>
      <c r="N464" s="8"/>
      <c r="O464" s="8"/>
      <c r="P464" s="6">
        <v>14</v>
      </c>
      <c r="Q464" s="5">
        <v>46316</v>
      </c>
      <c r="R464" s="8"/>
      <c r="S464" s="8"/>
      <c r="T464" s="8"/>
      <c r="U464" s="8"/>
      <c r="V464" s="8"/>
      <c r="W464" s="8"/>
      <c r="X464" s="8"/>
      <c r="Y464" s="885"/>
    </row>
    <row r="465" spans="1:25" ht="50.1" customHeight="1" thickBot="1" x14ac:dyDescent="0.3">
      <c r="A465" s="4" t="s">
        <v>2426</v>
      </c>
      <c r="B465" s="880" t="s">
        <v>2427</v>
      </c>
      <c r="C465" s="882">
        <v>46295</v>
      </c>
      <c r="D465" s="6" t="s">
        <v>33</v>
      </c>
      <c r="E465" s="6" t="s">
        <v>460</v>
      </c>
      <c r="F465" s="7" t="s">
        <v>2428</v>
      </c>
      <c r="G465" s="6" t="s">
        <v>22</v>
      </c>
      <c r="H465" s="6">
        <v>316</v>
      </c>
      <c r="I465" s="6" t="s">
        <v>23</v>
      </c>
      <c r="J465" s="6" t="s">
        <v>46</v>
      </c>
      <c r="K465" s="8"/>
      <c r="L465" s="7" t="s">
        <v>2429</v>
      </c>
      <c r="M465" s="8"/>
      <c r="N465" s="8"/>
      <c r="O465" s="8"/>
      <c r="P465" s="6">
        <v>14</v>
      </c>
      <c r="Q465" s="5">
        <v>46316</v>
      </c>
      <c r="R465" s="8"/>
      <c r="S465" s="8"/>
      <c r="T465" s="8"/>
      <c r="U465" s="8"/>
      <c r="V465" s="8"/>
      <c r="W465" s="8"/>
      <c r="X465" s="8"/>
      <c r="Y465" s="885"/>
    </row>
    <row r="466" spans="1:25" ht="50.1" customHeight="1" thickBot="1" x14ac:dyDescent="0.3">
      <c r="A466" s="4" t="s">
        <v>2430</v>
      </c>
      <c r="B466" s="880" t="s">
        <v>2431</v>
      </c>
      <c r="C466" s="882">
        <v>46295</v>
      </c>
      <c r="D466" s="6" t="s">
        <v>19</v>
      </c>
      <c r="E466" s="6" t="s">
        <v>29</v>
      </c>
      <c r="F466" s="7" t="s">
        <v>516</v>
      </c>
      <c r="G466" s="6" t="s">
        <v>30</v>
      </c>
      <c r="H466" s="6">
        <v>500</v>
      </c>
      <c r="I466" s="6" t="s">
        <v>49</v>
      </c>
      <c r="J466" s="6" t="s">
        <v>53</v>
      </c>
      <c r="K466" s="8"/>
      <c r="L466" s="7" t="s">
        <v>2432</v>
      </c>
      <c r="M466" s="8"/>
      <c r="N466" s="8"/>
      <c r="O466" s="8"/>
      <c r="P466" s="6">
        <v>14</v>
      </c>
      <c r="Q466" s="5">
        <v>46316</v>
      </c>
      <c r="R466" s="8"/>
      <c r="S466" s="8"/>
      <c r="T466" s="8"/>
      <c r="U466" s="8"/>
      <c r="V466" s="8"/>
      <c r="W466" s="8"/>
      <c r="X466" s="8"/>
      <c r="Y466" s="885"/>
    </row>
    <row r="467" spans="1:25" ht="50.1" customHeight="1" thickBot="1" x14ac:dyDescent="0.3">
      <c r="A467" s="4" t="s">
        <v>2433</v>
      </c>
      <c r="B467" s="880" t="s">
        <v>2434</v>
      </c>
      <c r="C467" s="882">
        <v>46295</v>
      </c>
      <c r="D467" s="6" t="s">
        <v>19</v>
      </c>
      <c r="E467" s="6" t="s">
        <v>29</v>
      </c>
      <c r="F467" s="7" t="s">
        <v>1979</v>
      </c>
      <c r="G467" s="6" t="s">
        <v>34</v>
      </c>
      <c r="H467" s="6">
        <v>122</v>
      </c>
      <c r="I467" s="6" t="s">
        <v>50</v>
      </c>
      <c r="J467" s="6" t="s">
        <v>285</v>
      </c>
      <c r="K467" s="8"/>
      <c r="L467" s="7" t="s">
        <v>2435</v>
      </c>
      <c r="M467" s="8"/>
      <c r="N467" s="8"/>
      <c r="O467" s="8"/>
      <c r="P467" s="6">
        <v>14</v>
      </c>
      <c r="Q467" s="5">
        <v>46316</v>
      </c>
      <c r="R467" s="8"/>
      <c r="S467" s="8"/>
      <c r="T467" s="8"/>
      <c r="U467" s="8"/>
      <c r="V467" s="8"/>
      <c r="W467" s="8"/>
      <c r="X467" s="8"/>
      <c r="Y467" s="885"/>
    </row>
    <row r="468" spans="1:25" ht="50.1" customHeight="1" thickBot="1" x14ac:dyDescent="0.3">
      <c r="A468" s="4" t="s">
        <v>2436</v>
      </c>
      <c r="B468" s="880" t="s">
        <v>2437</v>
      </c>
      <c r="C468" s="882">
        <v>46295</v>
      </c>
      <c r="D468" s="6" t="s">
        <v>103</v>
      </c>
      <c r="E468" s="6" t="s">
        <v>39</v>
      </c>
      <c r="F468" s="7" t="s">
        <v>2438</v>
      </c>
      <c r="G468" s="6" t="s">
        <v>30</v>
      </c>
      <c r="H468" s="6">
        <v>503</v>
      </c>
      <c r="I468" s="6" t="s">
        <v>31</v>
      </c>
      <c r="J468" s="6" t="s">
        <v>2334</v>
      </c>
      <c r="K468" s="8"/>
      <c r="L468" s="7" t="s">
        <v>637</v>
      </c>
      <c r="M468" s="8"/>
      <c r="N468" s="8"/>
      <c r="O468" s="8"/>
      <c r="P468" s="6">
        <v>14</v>
      </c>
      <c r="Q468" s="5">
        <v>46316</v>
      </c>
      <c r="R468" s="8"/>
      <c r="S468" s="8"/>
      <c r="T468" s="8"/>
      <c r="U468" s="8"/>
      <c r="V468" s="8"/>
      <c r="W468" s="8"/>
      <c r="X468" s="8"/>
      <c r="Y468" s="885"/>
    </row>
    <row r="469" spans="1:25" ht="50.1" customHeight="1" thickBot="1" x14ac:dyDescent="0.3">
      <c r="A469" s="4" t="s">
        <v>2439</v>
      </c>
      <c r="B469" s="880" t="s">
        <v>2440</v>
      </c>
      <c r="C469" s="882">
        <v>46295</v>
      </c>
      <c r="D469" s="6" t="s">
        <v>19</v>
      </c>
      <c r="E469" s="6" t="s">
        <v>29</v>
      </c>
      <c r="F469" s="7" t="s">
        <v>2441</v>
      </c>
      <c r="G469" s="6" t="s">
        <v>34</v>
      </c>
      <c r="H469" s="6">
        <v>102</v>
      </c>
      <c r="I469" s="6" t="s">
        <v>2333</v>
      </c>
      <c r="J469" s="6" t="s">
        <v>2334</v>
      </c>
      <c r="K469" s="8"/>
      <c r="L469" s="7" t="s">
        <v>639</v>
      </c>
      <c r="M469" s="8"/>
      <c r="N469" s="8"/>
      <c r="O469" s="8"/>
      <c r="P469" s="6">
        <v>14</v>
      </c>
      <c r="Q469" s="5">
        <v>46316</v>
      </c>
      <c r="R469" s="8"/>
      <c r="S469" s="8"/>
      <c r="T469" s="8"/>
      <c r="U469" s="8"/>
      <c r="V469" s="8"/>
      <c r="W469" s="8"/>
      <c r="X469" s="8"/>
      <c r="Y469" s="885"/>
    </row>
    <row r="470" spans="1:25" ht="50.1" customHeight="1" thickBot="1" x14ac:dyDescent="0.3">
      <c r="A470" s="4" t="s">
        <v>2442</v>
      </c>
      <c r="B470" s="880" t="s">
        <v>2443</v>
      </c>
      <c r="C470" s="882">
        <v>46295</v>
      </c>
      <c r="D470" s="6" t="s">
        <v>19</v>
      </c>
      <c r="E470" s="6" t="s">
        <v>460</v>
      </c>
      <c r="F470" s="7" t="s">
        <v>614</v>
      </c>
      <c r="G470" s="6" t="s">
        <v>34</v>
      </c>
      <c r="H470" s="6">
        <v>127</v>
      </c>
      <c r="I470" s="6" t="s">
        <v>88</v>
      </c>
      <c r="J470" s="6" t="s">
        <v>71</v>
      </c>
      <c r="K470" s="8"/>
      <c r="L470" s="7" t="s">
        <v>2444</v>
      </c>
      <c r="M470" s="8"/>
      <c r="N470" s="8"/>
      <c r="O470" s="8"/>
      <c r="P470" s="6">
        <v>14</v>
      </c>
      <c r="Q470" s="5">
        <v>46316</v>
      </c>
      <c r="R470" s="8"/>
      <c r="S470" s="8"/>
      <c r="T470" s="8"/>
      <c r="U470" s="8"/>
      <c r="V470" s="8"/>
      <c r="W470" s="8"/>
      <c r="X470" s="8"/>
      <c r="Y470" s="885"/>
    </row>
    <row r="471" spans="1:25" ht="50.1" customHeight="1" thickBot="1" x14ac:dyDescent="0.3">
      <c r="A471" s="4" t="s">
        <v>2445</v>
      </c>
      <c r="B471" s="880" t="s">
        <v>2446</v>
      </c>
      <c r="C471" s="882">
        <v>46295</v>
      </c>
      <c r="D471" s="6" t="s">
        <v>19</v>
      </c>
      <c r="E471" s="6" t="s">
        <v>29</v>
      </c>
      <c r="F471" s="7" t="s">
        <v>467</v>
      </c>
      <c r="G471" s="6" t="s">
        <v>22</v>
      </c>
      <c r="H471" s="6">
        <v>316</v>
      </c>
      <c r="I471" s="6" t="s">
        <v>23</v>
      </c>
      <c r="J471" s="6" t="s">
        <v>46</v>
      </c>
      <c r="K471" s="8"/>
      <c r="L471" s="7" t="s">
        <v>748</v>
      </c>
      <c r="M471" s="8"/>
      <c r="N471" s="8"/>
      <c r="O471" s="8"/>
      <c r="P471" s="6">
        <v>14</v>
      </c>
      <c r="Q471" s="5">
        <v>46316</v>
      </c>
      <c r="R471" s="8"/>
      <c r="S471" s="8"/>
      <c r="T471" s="8"/>
      <c r="U471" s="8"/>
      <c r="V471" s="8"/>
      <c r="W471" s="8"/>
      <c r="X471" s="8"/>
      <c r="Y471" s="885"/>
    </row>
    <row r="472" spans="1:25" ht="50.1" customHeight="1" thickBot="1" x14ac:dyDescent="0.3">
      <c r="A472" s="4" t="s">
        <v>2426</v>
      </c>
      <c r="B472" s="880" t="s">
        <v>2447</v>
      </c>
      <c r="C472" s="882">
        <v>46295</v>
      </c>
      <c r="D472" s="6" t="s">
        <v>33</v>
      </c>
      <c r="E472" s="6" t="s">
        <v>29</v>
      </c>
      <c r="F472" s="7" t="s">
        <v>2448</v>
      </c>
      <c r="G472" s="6" t="s">
        <v>30</v>
      </c>
      <c r="H472" s="6">
        <v>503</v>
      </c>
      <c r="I472" s="6" t="s">
        <v>31</v>
      </c>
      <c r="J472" s="6" t="s">
        <v>32</v>
      </c>
      <c r="K472" s="8"/>
      <c r="L472" s="7" t="s">
        <v>619</v>
      </c>
      <c r="M472" s="8"/>
      <c r="N472" s="8"/>
      <c r="O472" s="8"/>
      <c r="P472" s="6">
        <v>14</v>
      </c>
      <c r="Q472" s="5">
        <v>46316</v>
      </c>
      <c r="R472" s="8"/>
      <c r="S472" s="8"/>
      <c r="T472" s="8"/>
      <c r="U472" s="8"/>
      <c r="V472" s="8"/>
      <c r="W472" s="8"/>
      <c r="X472" s="8"/>
      <c r="Y472" s="885"/>
    </row>
    <row r="473" spans="1:25" ht="50.1" customHeight="1" thickBot="1" x14ac:dyDescent="0.3">
      <c r="A473" s="4" t="s">
        <v>2449</v>
      </c>
      <c r="B473" s="880" t="s">
        <v>2450</v>
      </c>
      <c r="C473" s="882">
        <v>46295</v>
      </c>
      <c r="D473" s="6" t="s">
        <v>19</v>
      </c>
      <c r="E473" s="6" t="s">
        <v>39</v>
      </c>
      <c r="F473" s="7" t="s">
        <v>553</v>
      </c>
      <c r="G473" s="6" t="s">
        <v>34</v>
      </c>
      <c r="H473" s="6">
        <v>114</v>
      </c>
      <c r="I473" s="6" t="s">
        <v>41</v>
      </c>
      <c r="J473" s="6" t="s">
        <v>42</v>
      </c>
      <c r="K473" s="8"/>
      <c r="L473" s="7" t="s">
        <v>2451</v>
      </c>
      <c r="M473" s="8"/>
      <c r="N473" s="8"/>
      <c r="O473" s="8"/>
      <c r="P473" s="6">
        <v>14</v>
      </c>
      <c r="Q473" s="5">
        <v>46316</v>
      </c>
      <c r="R473" s="8"/>
      <c r="S473" s="8"/>
      <c r="T473" s="8"/>
      <c r="U473" s="8"/>
      <c r="V473" s="8"/>
      <c r="W473" s="8"/>
      <c r="X473" s="8"/>
      <c r="Y473" s="885"/>
    </row>
    <row r="474" spans="1:25" ht="50.1" customHeight="1" thickBot="1" x14ac:dyDescent="0.3">
      <c r="A474" s="4" t="s">
        <v>2452</v>
      </c>
      <c r="B474" s="880" t="s">
        <v>2453</v>
      </c>
      <c r="C474" s="882">
        <v>46295</v>
      </c>
      <c r="D474" s="6" t="s">
        <v>103</v>
      </c>
      <c r="E474" s="6" t="s">
        <v>460</v>
      </c>
      <c r="F474" s="7" t="s">
        <v>2454</v>
      </c>
      <c r="G474" s="6" t="s">
        <v>34</v>
      </c>
      <c r="H474" s="6">
        <v>102</v>
      </c>
      <c r="I474" s="6" t="s">
        <v>2333</v>
      </c>
      <c r="J474" s="6" t="s">
        <v>2334</v>
      </c>
      <c r="K474" s="8"/>
      <c r="L474" s="7" t="s">
        <v>2151</v>
      </c>
      <c r="M474" s="8"/>
      <c r="N474" s="8"/>
      <c r="O474" s="8"/>
      <c r="P474" s="6">
        <v>14</v>
      </c>
      <c r="Q474" s="5">
        <v>46316</v>
      </c>
      <c r="R474" s="8"/>
      <c r="S474" s="8"/>
      <c r="T474" s="8"/>
      <c r="U474" s="8"/>
      <c r="V474" s="8"/>
      <c r="W474" s="8"/>
      <c r="X474" s="8"/>
      <c r="Y474" s="885"/>
    </row>
    <row r="475" spans="1:25" ht="50.1" customHeight="1" thickBot="1" x14ac:dyDescent="0.3">
      <c r="A475" s="4" t="s">
        <v>2455</v>
      </c>
      <c r="B475" s="880" t="s">
        <v>2456</v>
      </c>
      <c r="C475" s="882">
        <v>46295</v>
      </c>
      <c r="D475" s="6" t="s">
        <v>33</v>
      </c>
      <c r="E475" s="6" t="s">
        <v>460</v>
      </c>
      <c r="F475" s="7" t="s">
        <v>2457</v>
      </c>
      <c r="G475" s="6" t="s">
        <v>34</v>
      </c>
      <c r="H475" s="6">
        <v>127</v>
      </c>
      <c r="I475" s="6" t="s">
        <v>88</v>
      </c>
      <c r="J475" s="6" t="s">
        <v>71</v>
      </c>
      <c r="K475" s="8"/>
      <c r="L475" s="7" t="s">
        <v>619</v>
      </c>
      <c r="M475" s="8"/>
      <c r="N475" s="8"/>
      <c r="O475" s="8"/>
      <c r="P475" s="6">
        <v>14</v>
      </c>
      <c r="Q475" s="5">
        <v>46316</v>
      </c>
      <c r="R475" s="8"/>
      <c r="S475" s="8"/>
      <c r="T475" s="8"/>
      <c r="U475" s="8"/>
      <c r="V475" s="8"/>
      <c r="W475" s="8"/>
      <c r="X475" s="8"/>
      <c r="Y475" s="885"/>
    </row>
    <row r="476" spans="1:25" ht="50.1" customHeight="1" thickBot="1" x14ac:dyDescent="0.3">
      <c r="A476" s="4" t="s">
        <v>2458</v>
      </c>
      <c r="B476" s="880" t="s">
        <v>2459</v>
      </c>
      <c r="C476" s="882">
        <v>46295</v>
      </c>
      <c r="D476" s="6" t="s">
        <v>28</v>
      </c>
      <c r="E476" s="6" t="s">
        <v>29</v>
      </c>
      <c r="F476" s="7" t="s">
        <v>2460</v>
      </c>
      <c r="G476" s="6" t="s">
        <v>22</v>
      </c>
      <c r="H476" s="6">
        <v>503</v>
      </c>
      <c r="I476" s="6" t="s">
        <v>31</v>
      </c>
      <c r="J476" s="6" t="s">
        <v>2461</v>
      </c>
      <c r="K476" s="8"/>
      <c r="L476" s="7" t="s">
        <v>618</v>
      </c>
      <c r="M476" s="8"/>
      <c r="N476" s="8"/>
      <c r="O476" s="8"/>
      <c r="P476" s="6">
        <v>14</v>
      </c>
      <c r="Q476" s="5">
        <v>46316</v>
      </c>
      <c r="R476" s="8"/>
      <c r="S476" s="8"/>
      <c r="T476" s="8"/>
      <c r="U476" s="8"/>
      <c r="V476" s="8"/>
      <c r="W476" s="8"/>
      <c r="X476" s="8"/>
      <c r="Y476" s="885"/>
    </row>
    <row r="477" spans="1:25" ht="50.1" customHeight="1" thickBot="1" x14ac:dyDescent="0.3">
      <c r="A477" s="4" t="s">
        <v>2462</v>
      </c>
      <c r="B477" s="880" t="s">
        <v>2463</v>
      </c>
      <c r="C477" s="882">
        <v>46295</v>
      </c>
      <c r="D477" s="6" t="s">
        <v>103</v>
      </c>
      <c r="E477" s="6" t="s">
        <v>39</v>
      </c>
      <c r="F477" s="7" t="s">
        <v>2464</v>
      </c>
      <c r="G477" s="6" t="s">
        <v>22</v>
      </c>
      <c r="H477" s="6">
        <v>503</v>
      </c>
      <c r="I477" s="6" t="s">
        <v>31</v>
      </c>
      <c r="J477" s="12" t="s">
        <v>93</v>
      </c>
      <c r="K477" s="8"/>
      <c r="L477" s="7" t="s">
        <v>2465</v>
      </c>
      <c r="M477" s="8"/>
      <c r="N477" s="8"/>
      <c r="O477" s="8"/>
      <c r="P477" s="6">
        <v>14</v>
      </c>
      <c r="Q477" s="5">
        <v>46316</v>
      </c>
      <c r="R477" s="8"/>
      <c r="S477" s="8"/>
      <c r="T477" s="8"/>
      <c r="U477" s="8"/>
      <c r="V477" s="8"/>
      <c r="W477" s="8"/>
      <c r="X477" s="8"/>
      <c r="Y477" s="885"/>
    </row>
    <row r="478" spans="1:25" ht="50.1" customHeight="1" thickBot="1" x14ac:dyDescent="0.3">
      <c r="A478" s="4" t="s">
        <v>2466</v>
      </c>
      <c r="B478" s="880" t="s">
        <v>2467</v>
      </c>
      <c r="C478" s="882">
        <v>46295</v>
      </c>
      <c r="D478" s="6" t="s">
        <v>33</v>
      </c>
      <c r="E478" s="6" t="s">
        <v>460</v>
      </c>
      <c r="F478" s="7" t="s">
        <v>2468</v>
      </c>
      <c r="G478" s="6" t="s">
        <v>30</v>
      </c>
      <c r="H478" s="6">
        <v>502</v>
      </c>
      <c r="I478" s="6" t="s">
        <v>37</v>
      </c>
      <c r="J478" s="6" t="s">
        <v>289</v>
      </c>
      <c r="K478" s="8"/>
      <c r="L478" s="7" t="s">
        <v>2469</v>
      </c>
      <c r="M478" s="8"/>
      <c r="N478" s="8"/>
      <c r="O478" s="8"/>
      <c r="P478" s="6">
        <v>14</v>
      </c>
      <c r="Q478" s="5">
        <v>46316</v>
      </c>
      <c r="R478" s="8"/>
      <c r="S478" s="8"/>
      <c r="T478" s="8"/>
      <c r="U478" s="8"/>
      <c r="V478" s="8"/>
      <c r="W478" s="8"/>
      <c r="X478" s="8"/>
      <c r="Y478" s="885"/>
    </row>
    <row r="479" spans="1:25" ht="50.1" customHeight="1" x14ac:dyDescent="0.25">
      <c r="A479" s="888" t="s">
        <v>2470</v>
      </c>
      <c r="B479" s="889" t="s">
        <v>2471</v>
      </c>
      <c r="C479" s="890">
        <v>46295</v>
      </c>
      <c r="D479" s="891" t="s">
        <v>103</v>
      </c>
      <c r="E479" s="891" t="s">
        <v>39</v>
      </c>
      <c r="F479" s="892" t="s">
        <v>2472</v>
      </c>
      <c r="G479" s="891" t="s">
        <v>22</v>
      </c>
      <c r="H479" s="891">
        <v>503</v>
      </c>
      <c r="I479" s="891" t="s">
        <v>31</v>
      </c>
      <c r="J479" s="893" t="s">
        <v>93</v>
      </c>
      <c r="K479" s="894"/>
      <c r="L479" s="892" t="s">
        <v>2473</v>
      </c>
      <c r="M479" s="894"/>
      <c r="N479" s="894"/>
      <c r="O479" s="894"/>
      <c r="P479" s="891">
        <v>14</v>
      </c>
      <c r="Q479" s="895">
        <v>46316</v>
      </c>
      <c r="R479" s="894"/>
      <c r="S479" s="894"/>
      <c r="T479" s="894"/>
      <c r="U479" s="894"/>
      <c r="V479" s="894"/>
      <c r="W479" s="894"/>
      <c r="X479" s="894"/>
      <c r="Y479" s="89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D169-9FAF-447A-9C81-2FC43EBFF79B}">
  <dimension ref="A1:C19"/>
  <sheetViews>
    <sheetView workbookViewId="0">
      <selection activeCell="A6" sqref="A6"/>
    </sheetView>
  </sheetViews>
  <sheetFormatPr baseColWidth="10" defaultRowHeight="15" x14ac:dyDescent="0.25"/>
  <cols>
    <col min="1" max="1" width="36.7109375" bestFit="1" customWidth="1"/>
    <col min="2" max="2" width="22.85546875" bestFit="1" customWidth="1"/>
    <col min="3" max="3" width="12.5703125" bestFit="1" customWidth="1"/>
    <col min="4" max="4" width="8.85546875" bestFit="1" customWidth="1"/>
    <col min="5" max="5" width="12.5703125" bestFit="1" customWidth="1"/>
  </cols>
  <sheetData>
    <row r="1" spans="1:3" x14ac:dyDescent="0.25">
      <c r="A1" s="648" t="s">
        <v>3</v>
      </c>
      <c r="B1" t="s">
        <v>678</v>
      </c>
    </row>
    <row r="2" spans="1:3" x14ac:dyDescent="0.25">
      <c r="A2" s="648" t="s">
        <v>6</v>
      </c>
      <c r="B2" t="s">
        <v>31</v>
      </c>
    </row>
    <row r="4" spans="1:3" x14ac:dyDescent="0.25">
      <c r="A4" s="648" t="s">
        <v>650</v>
      </c>
      <c r="B4" s="648" t="s">
        <v>600</v>
      </c>
    </row>
    <row r="5" spans="1:3" x14ac:dyDescent="0.25">
      <c r="A5" s="648" t="s">
        <v>104</v>
      </c>
      <c r="B5" t="s">
        <v>30</v>
      </c>
      <c r="C5" t="s">
        <v>105</v>
      </c>
    </row>
    <row r="6" spans="1:3" x14ac:dyDescent="0.25">
      <c r="A6" s="16" t="s">
        <v>512</v>
      </c>
      <c r="B6">
        <v>1</v>
      </c>
      <c r="C6">
        <v>1</v>
      </c>
    </row>
    <row r="7" spans="1:3" x14ac:dyDescent="0.25">
      <c r="A7" s="16" t="s">
        <v>641</v>
      </c>
      <c r="B7">
        <v>1</v>
      </c>
      <c r="C7">
        <v>1</v>
      </c>
    </row>
    <row r="8" spans="1:3" x14ac:dyDescent="0.25">
      <c r="A8" s="16" t="s">
        <v>60</v>
      </c>
      <c r="B8">
        <v>1</v>
      </c>
      <c r="C8">
        <v>1</v>
      </c>
    </row>
    <row r="9" spans="1:3" x14ac:dyDescent="0.25">
      <c r="A9" s="16" t="s">
        <v>32</v>
      </c>
      <c r="B9">
        <v>15</v>
      </c>
      <c r="C9">
        <v>15</v>
      </c>
    </row>
    <row r="10" spans="1:3" x14ac:dyDescent="0.25">
      <c r="A10" s="16" t="s">
        <v>622</v>
      </c>
      <c r="B10">
        <v>1</v>
      </c>
      <c r="C10">
        <v>1</v>
      </c>
    </row>
    <row r="11" spans="1:3" x14ac:dyDescent="0.25">
      <c r="A11" s="16" t="s">
        <v>469</v>
      </c>
      <c r="B11">
        <v>1</v>
      </c>
      <c r="C11">
        <v>1</v>
      </c>
    </row>
    <row r="12" spans="1:3" x14ac:dyDescent="0.25">
      <c r="A12" s="16" t="s">
        <v>628</v>
      </c>
      <c r="B12">
        <v>1</v>
      </c>
      <c r="C12">
        <v>1</v>
      </c>
    </row>
    <row r="13" spans="1:3" x14ac:dyDescent="0.25">
      <c r="A13" s="16" t="s">
        <v>645</v>
      </c>
      <c r="B13">
        <v>1</v>
      </c>
      <c r="C13">
        <v>1</v>
      </c>
    </row>
    <row r="14" spans="1:3" x14ac:dyDescent="0.25">
      <c r="A14" s="16" t="s">
        <v>85</v>
      </c>
      <c r="B14">
        <v>1</v>
      </c>
      <c r="C14">
        <v>1</v>
      </c>
    </row>
    <row r="15" spans="1:3" x14ac:dyDescent="0.25">
      <c r="A15" s="16" t="s">
        <v>606</v>
      </c>
      <c r="B15">
        <v>1</v>
      </c>
      <c r="C15">
        <v>1</v>
      </c>
    </row>
    <row r="16" spans="1:3" x14ac:dyDescent="0.25">
      <c r="A16" s="16" t="s">
        <v>93</v>
      </c>
      <c r="B16">
        <v>21</v>
      </c>
      <c r="C16">
        <v>21</v>
      </c>
    </row>
    <row r="17" spans="1:3" x14ac:dyDescent="0.25">
      <c r="A17" s="16" t="s">
        <v>68</v>
      </c>
      <c r="B17">
        <v>1</v>
      </c>
      <c r="C17">
        <v>1</v>
      </c>
    </row>
    <row r="18" spans="1:3" x14ac:dyDescent="0.25">
      <c r="A18" s="16" t="s">
        <v>81</v>
      </c>
      <c r="B18">
        <v>4</v>
      </c>
      <c r="C18">
        <v>4</v>
      </c>
    </row>
    <row r="19" spans="1:3" x14ac:dyDescent="0.25">
      <c r="A19" s="16" t="s">
        <v>105</v>
      </c>
      <c r="B19">
        <v>50</v>
      </c>
      <c r="C19">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6D46-147D-468D-8C7D-3A4FEB1C558B}">
  <dimension ref="B2:F161"/>
  <sheetViews>
    <sheetView topLeftCell="A138" zoomScaleNormal="100" workbookViewId="0">
      <selection activeCell="B139" sqref="B139"/>
    </sheetView>
  </sheetViews>
  <sheetFormatPr baseColWidth="10" defaultRowHeight="15" x14ac:dyDescent="0.25"/>
  <cols>
    <col min="2" max="2" width="86.140625" customWidth="1"/>
    <col min="6" max="6" width="12.85546875" bestFit="1" customWidth="1"/>
  </cols>
  <sheetData>
    <row r="2" spans="2:6" ht="15.75" thickBot="1" x14ac:dyDescent="0.3"/>
    <row r="3" spans="2:6" ht="21.75" thickBot="1" x14ac:dyDescent="0.4">
      <c r="B3" s="710" t="s">
        <v>651</v>
      </c>
      <c r="C3" s="711"/>
      <c r="D3" s="711"/>
      <c r="E3" s="711"/>
      <c r="F3" s="712"/>
    </row>
    <row r="4" spans="2:6" ht="16.5" thickBot="1" x14ac:dyDescent="0.3">
      <c r="B4" s="17" t="s">
        <v>104</v>
      </c>
      <c r="C4" s="18" t="s">
        <v>30</v>
      </c>
      <c r="D4" s="17" t="s">
        <v>22</v>
      </c>
      <c r="E4" s="18" t="s">
        <v>34</v>
      </c>
      <c r="F4" s="17" t="s">
        <v>107</v>
      </c>
    </row>
    <row r="5" spans="2:6" x14ac:dyDescent="0.25">
      <c r="B5" s="32" t="s">
        <v>49</v>
      </c>
      <c r="C5" s="33">
        <v>7</v>
      </c>
      <c r="D5" s="34"/>
      <c r="E5" s="33"/>
      <c r="F5" s="34">
        <v>7</v>
      </c>
    </row>
    <row r="6" spans="2:6" x14ac:dyDescent="0.25">
      <c r="B6" s="21" t="s">
        <v>492</v>
      </c>
      <c r="C6" s="24"/>
      <c r="D6" s="25"/>
      <c r="E6" s="24">
        <v>8</v>
      </c>
      <c r="F6" s="25">
        <v>8</v>
      </c>
    </row>
    <row r="7" spans="2:6" x14ac:dyDescent="0.25">
      <c r="B7" s="21" t="s">
        <v>35</v>
      </c>
      <c r="C7" s="24"/>
      <c r="D7" s="25"/>
      <c r="E7" s="24">
        <v>2</v>
      </c>
      <c r="F7" s="25">
        <v>2</v>
      </c>
    </row>
    <row r="8" spans="2:6" x14ac:dyDescent="0.25">
      <c r="B8" s="21" t="s">
        <v>117</v>
      </c>
      <c r="C8" s="24"/>
      <c r="D8" s="25"/>
      <c r="E8" s="24">
        <v>1</v>
      </c>
      <c r="F8" s="25">
        <v>1</v>
      </c>
    </row>
    <row r="9" spans="2:6" x14ac:dyDescent="0.25">
      <c r="B9" s="21" t="s">
        <v>135</v>
      </c>
      <c r="C9" s="24"/>
      <c r="D9" s="25"/>
      <c r="E9" s="24">
        <v>1</v>
      </c>
      <c r="F9" s="25">
        <v>1</v>
      </c>
    </row>
    <row r="10" spans="2:6" x14ac:dyDescent="0.25">
      <c r="B10" s="21" t="s">
        <v>118</v>
      </c>
      <c r="C10" s="24"/>
      <c r="D10" s="25"/>
      <c r="E10" s="24">
        <v>1</v>
      </c>
      <c r="F10" s="25">
        <v>1</v>
      </c>
    </row>
    <row r="11" spans="2:6" x14ac:dyDescent="0.25">
      <c r="B11" s="21" t="s">
        <v>82</v>
      </c>
      <c r="C11" s="24"/>
      <c r="D11" s="25"/>
      <c r="E11" s="24">
        <v>1</v>
      </c>
      <c r="F11" s="25">
        <v>1</v>
      </c>
    </row>
    <row r="12" spans="2:6" x14ac:dyDescent="0.25">
      <c r="B12" s="21" t="s">
        <v>41</v>
      </c>
      <c r="C12" s="24">
        <v>71</v>
      </c>
      <c r="D12" s="25"/>
      <c r="E12" s="24"/>
      <c r="F12" s="25">
        <v>71</v>
      </c>
    </row>
    <row r="13" spans="2:6" x14ac:dyDescent="0.25">
      <c r="B13" s="21" t="s">
        <v>23</v>
      </c>
      <c r="C13" s="24"/>
      <c r="D13" s="25">
        <v>107</v>
      </c>
      <c r="E13" s="24"/>
      <c r="F13" s="25">
        <v>107</v>
      </c>
    </row>
    <row r="14" spans="2:6" x14ac:dyDescent="0.25">
      <c r="B14" s="21" t="s">
        <v>91</v>
      </c>
      <c r="C14" s="24"/>
      <c r="D14" s="25">
        <v>3</v>
      </c>
      <c r="E14" s="24"/>
      <c r="F14" s="25">
        <v>3</v>
      </c>
    </row>
    <row r="15" spans="2:6" x14ac:dyDescent="0.25">
      <c r="B15" s="21" t="s">
        <v>64</v>
      </c>
      <c r="C15" s="24"/>
      <c r="D15" s="25">
        <v>9</v>
      </c>
      <c r="E15" s="24"/>
      <c r="F15" s="25">
        <v>9</v>
      </c>
    </row>
    <row r="16" spans="2:6" x14ac:dyDescent="0.25">
      <c r="B16" s="21" t="s">
        <v>70</v>
      </c>
      <c r="C16" s="24"/>
      <c r="D16" s="25"/>
      <c r="E16" s="24">
        <v>7</v>
      </c>
      <c r="F16" s="25">
        <v>7</v>
      </c>
    </row>
    <row r="17" spans="2:6" x14ac:dyDescent="0.25">
      <c r="B17" s="21" t="s">
        <v>88</v>
      </c>
      <c r="C17" s="24"/>
      <c r="D17" s="25"/>
      <c r="E17" s="24">
        <v>27</v>
      </c>
      <c r="F17" s="25">
        <v>27</v>
      </c>
    </row>
    <row r="18" spans="2:6" x14ac:dyDescent="0.25">
      <c r="B18" s="21" t="s">
        <v>612</v>
      </c>
      <c r="C18" s="24"/>
      <c r="D18" s="25"/>
      <c r="E18" s="24">
        <v>1</v>
      </c>
      <c r="F18" s="25">
        <v>1</v>
      </c>
    </row>
    <row r="19" spans="2:6" x14ac:dyDescent="0.25">
      <c r="B19" s="21" t="s">
        <v>79</v>
      </c>
      <c r="C19" s="24"/>
      <c r="D19" s="25">
        <v>1</v>
      </c>
      <c r="E19" s="24"/>
      <c r="F19" s="25">
        <v>1</v>
      </c>
    </row>
    <row r="20" spans="2:6" x14ac:dyDescent="0.25">
      <c r="B20" s="21" t="s">
        <v>114</v>
      </c>
      <c r="C20" s="24"/>
      <c r="D20" s="25">
        <v>1</v>
      </c>
      <c r="E20" s="24"/>
      <c r="F20" s="25">
        <v>1</v>
      </c>
    </row>
    <row r="21" spans="2:6" x14ac:dyDescent="0.25">
      <c r="B21" s="21" t="s">
        <v>94</v>
      </c>
      <c r="C21" s="24">
        <v>6</v>
      </c>
      <c r="D21" s="25"/>
      <c r="E21" s="24"/>
      <c r="F21" s="25">
        <v>6</v>
      </c>
    </row>
    <row r="22" spans="2:6" x14ac:dyDescent="0.25">
      <c r="B22" s="21" t="s">
        <v>31</v>
      </c>
      <c r="C22" s="24">
        <v>80</v>
      </c>
      <c r="D22" s="25"/>
      <c r="E22" s="24"/>
      <c r="F22" s="25">
        <v>80</v>
      </c>
    </row>
    <row r="23" spans="2:6" x14ac:dyDescent="0.25">
      <c r="B23" s="21" t="s">
        <v>50</v>
      </c>
      <c r="C23" s="24"/>
      <c r="D23" s="25"/>
      <c r="E23" s="24">
        <v>3</v>
      </c>
      <c r="F23" s="25">
        <v>3</v>
      </c>
    </row>
    <row r="24" spans="2:6" x14ac:dyDescent="0.25">
      <c r="B24" s="21" t="s">
        <v>51</v>
      </c>
      <c r="C24" s="24"/>
      <c r="D24" s="25"/>
      <c r="E24" s="24">
        <v>3</v>
      </c>
      <c r="F24" s="25">
        <v>3</v>
      </c>
    </row>
    <row r="25" spans="2:6" x14ac:dyDescent="0.25">
      <c r="B25" s="21" t="s">
        <v>77</v>
      </c>
      <c r="C25" s="24"/>
      <c r="D25" s="25">
        <v>5</v>
      </c>
      <c r="E25" s="24"/>
      <c r="F25" s="25">
        <v>5</v>
      </c>
    </row>
    <row r="26" spans="2:6" x14ac:dyDescent="0.25">
      <c r="B26" s="21" t="s">
        <v>43</v>
      </c>
      <c r="C26" s="24"/>
      <c r="D26" s="25">
        <v>16</v>
      </c>
      <c r="E26" s="24"/>
      <c r="F26" s="25">
        <v>16</v>
      </c>
    </row>
    <row r="27" spans="2:6" ht="15.75" thickBot="1" x14ac:dyDescent="0.3">
      <c r="B27" s="21" t="s">
        <v>37</v>
      </c>
      <c r="C27" s="24">
        <v>16</v>
      </c>
      <c r="D27" s="25"/>
      <c r="E27" s="24"/>
      <c r="F27" s="25">
        <v>16</v>
      </c>
    </row>
    <row r="28" spans="2:6" ht="15.75" thickBot="1" x14ac:dyDescent="0.3">
      <c r="B28" s="29" t="s">
        <v>105</v>
      </c>
      <c r="C28" s="30">
        <f>SUM(C5:C27)</f>
        <v>180</v>
      </c>
      <c r="D28" s="31">
        <f>SUM(D5:D27)</f>
        <v>142</v>
      </c>
      <c r="E28" s="30">
        <f>SUM(E5:E27)</f>
        <v>55</v>
      </c>
      <c r="F28" s="31">
        <f>SUM(C28:E28)</f>
        <v>377</v>
      </c>
    </row>
    <row r="31" spans="2:6" ht="15.75" thickBot="1" x14ac:dyDescent="0.3"/>
    <row r="32" spans="2:6" ht="21.75" thickBot="1" x14ac:dyDescent="0.4">
      <c r="B32" s="713" t="s">
        <v>652</v>
      </c>
      <c r="C32" s="714"/>
      <c r="D32" s="714"/>
      <c r="E32" s="714"/>
      <c r="F32" s="715"/>
    </row>
    <row r="33" spans="2:6" ht="16.5" thickBot="1" x14ac:dyDescent="0.3">
      <c r="B33" s="17" t="s">
        <v>104</v>
      </c>
      <c r="C33" s="18" t="s">
        <v>30</v>
      </c>
      <c r="D33" s="17" t="s">
        <v>22</v>
      </c>
      <c r="E33" s="18" t="s">
        <v>34</v>
      </c>
      <c r="F33" s="17" t="s">
        <v>107</v>
      </c>
    </row>
    <row r="34" spans="2:6" x14ac:dyDescent="0.25">
      <c r="B34" s="32" t="s">
        <v>49</v>
      </c>
      <c r="C34" s="33">
        <v>6</v>
      </c>
      <c r="D34" s="34"/>
      <c r="E34" s="33"/>
      <c r="F34" s="34">
        <v>6</v>
      </c>
    </row>
    <row r="35" spans="2:6" x14ac:dyDescent="0.25">
      <c r="B35" s="21" t="s">
        <v>492</v>
      </c>
      <c r="C35" s="24"/>
      <c r="D35" s="25"/>
      <c r="E35" s="24">
        <v>8</v>
      </c>
      <c r="F35" s="25">
        <v>8</v>
      </c>
    </row>
    <row r="36" spans="2:6" x14ac:dyDescent="0.25">
      <c r="B36" s="21" t="s">
        <v>35</v>
      </c>
      <c r="C36" s="24"/>
      <c r="D36" s="25"/>
      <c r="E36" s="24">
        <v>2</v>
      </c>
      <c r="F36" s="25">
        <v>2</v>
      </c>
    </row>
    <row r="37" spans="2:6" x14ac:dyDescent="0.25">
      <c r="B37" s="21" t="s">
        <v>117</v>
      </c>
      <c r="C37" s="24"/>
      <c r="D37" s="25"/>
      <c r="E37" s="24">
        <v>1</v>
      </c>
      <c r="F37" s="25">
        <v>1</v>
      </c>
    </row>
    <row r="38" spans="2:6" x14ac:dyDescent="0.25">
      <c r="B38" s="21" t="s">
        <v>118</v>
      </c>
      <c r="C38" s="24"/>
      <c r="D38" s="25"/>
      <c r="E38" s="24">
        <v>1</v>
      </c>
      <c r="F38" s="25">
        <v>1</v>
      </c>
    </row>
    <row r="39" spans="2:6" x14ac:dyDescent="0.25">
      <c r="B39" s="21" t="s">
        <v>82</v>
      </c>
      <c r="C39" s="24"/>
      <c r="D39" s="25"/>
      <c r="E39" s="24">
        <v>1</v>
      </c>
      <c r="F39" s="25">
        <v>1</v>
      </c>
    </row>
    <row r="40" spans="2:6" x14ac:dyDescent="0.25">
      <c r="B40" s="21" t="s">
        <v>23</v>
      </c>
      <c r="C40" s="24"/>
      <c r="D40" s="25">
        <v>67</v>
      </c>
      <c r="E40" s="24"/>
      <c r="F40" s="25">
        <v>67</v>
      </c>
    </row>
    <row r="41" spans="2:6" x14ac:dyDescent="0.25">
      <c r="B41" s="21" t="s">
        <v>70</v>
      </c>
      <c r="C41" s="24"/>
      <c r="D41" s="25"/>
      <c r="E41" s="24">
        <v>7</v>
      </c>
      <c r="F41" s="25">
        <v>7</v>
      </c>
    </row>
    <row r="42" spans="2:6" x14ac:dyDescent="0.25">
      <c r="B42" s="21" t="s">
        <v>88</v>
      </c>
      <c r="C42" s="24"/>
      <c r="D42" s="25"/>
      <c r="E42" s="24">
        <v>25</v>
      </c>
      <c r="F42" s="25">
        <v>25</v>
      </c>
    </row>
    <row r="43" spans="2:6" x14ac:dyDescent="0.25">
      <c r="B43" s="21" t="s">
        <v>612</v>
      </c>
      <c r="C43" s="24"/>
      <c r="D43" s="25"/>
      <c r="E43" s="24">
        <v>1</v>
      </c>
      <c r="F43" s="25">
        <v>1</v>
      </c>
    </row>
    <row r="44" spans="2:6" x14ac:dyDescent="0.25">
      <c r="B44" s="21" t="s">
        <v>79</v>
      </c>
      <c r="C44" s="24"/>
      <c r="D44" s="25">
        <v>1</v>
      </c>
      <c r="E44" s="24"/>
      <c r="F44" s="25">
        <v>1</v>
      </c>
    </row>
    <row r="45" spans="2:6" x14ac:dyDescent="0.25">
      <c r="B45" s="21" t="s">
        <v>94</v>
      </c>
      <c r="C45" s="24">
        <v>6</v>
      </c>
      <c r="D45" s="25"/>
      <c r="E45" s="24"/>
      <c r="F45" s="25">
        <v>6</v>
      </c>
    </row>
    <row r="46" spans="2:6" x14ac:dyDescent="0.25">
      <c r="B46" s="21" t="s">
        <v>31</v>
      </c>
      <c r="C46" s="24">
        <v>29</v>
      </c>
      <c r="D46" s="25"/>
      <c r="E46" s="24"/>
      <c r="F46" s="25">
        <v>29</v>
      </c>
    </row>
    <row r="47" spans="2:6" x14ac:dyDescent="0.25">
      <c r="B47" s="21" t="s">
        <v>50</v>
      </c>
      <c r="C47" s="24"/>
      <c r="D47" s="25"/>
      <c r="E47" s="24">
        <v>3</v>
      </c>
      <c r="F47" s="25">
        <v>3</v>
      </c>
    </row>
    <row r="48" spans="2:6" x14ac:dyDescent="0.25">
      <c r="B48" s="21" t="s">
        <v>51</v>
      </c>
      <c r="C48" s="24"/>
      <c r="D48" s="25"/>
      <c r="E48" s="24">
        <v>1</v>
      </c>
      <c r="F48" s="25">
        <v>1</v>
      </c>
    </row>
    <row r="49" spans="2:6" x14ac:dyDescent="0.25">
      <c r="B49" s="21" t="s">
        <v>77</v>
      </c>
      <c r="C49" s="24"/>
      <c r="D49" s="25">
        <v>4</v>
      </c>
      <c r="E49" s="24"/>
      <c r="F49" s="25">
        <v>4</v>
      </c>
    </row>
    <row r="50" spans="2:6" x14ac:dyDescent="0.25">
      <c r="B50" s="21" t="s">
        <v>43</v>
      </c>
      <c r="C50" s="24"/>
      <c r="D50" s="25">
        <v>16</v>
      </c>
      <c r="E50" s="24"/>
      <c r="F50" s="25">
        <v>16</v>
      </c>
    </row>
    <row r="51" spans="2:6" ht="15.75" thickBot="1" x14ac:dyDescent="0.3">
      <c r="B51" s="21" t="s">
        <v>37</v>
      </c>
      <c r="C51" s="24">
        <v>14</v>
      </c>
      <c r="D51" s="25"/>
      <c r="E51" s="24"/>
      <c r="F51" s="25">
        <v>14</v>
      </c>
    </row>
    <row r="52" spans="2:6" ht="15.75" thickBot="1" x14ac:dyDescent="0.3">
      <c r="B52" s="29" t="s">
        <v>105</v>
      </c>
      <c r="C52" s="30">
        <f>SUM(C34:C51)</f>
        <v>55</v>
      </c>
      <c r="D52" s="31">
        <f>SUM(D34:D51)</f>
        <v>88</v>
      </c>
      <c r="E52" s="30">
        <f>SUM(E34:E51)</f>
        <v>50</v>
      </c>
      <c r="F52" s="31">
        <f>SUM(C52:E52)</f>
        <v>193</v>
      </c>
    </row>
    <row r="54" spans="2:6" ht="15.75" thickBot="1" x14ac:dyDescent="0.3"/>
    <row r="55" spans="2:6" ht="21.75" thickBot="1" x14ac:dyDescent="0.4">
      <c r="B55" s="713" t="s">
        <v>653</v>
      </c>
      <c r="C55" s="714"/>
      <c r="D55" s="714"/>
      <c r="E55" s="714"/>
      <c r="F55" s="715"/>
    </row>
    <row r="56" spans="2:6" ht="16.5" thickBot="1" x14ac:dyDescent="0.3">
      <c r="B56" s="17" t="s">
        <v>104</v>
      </c>
      <c r="C56" s="18" t="s">
        <v>30</v>
      </c>
      <c r="D56" s="17" t="s">
        <v>22</v>
      </c>
      <c r="E56" s="18" t="s">
        <v>34</v>
      </c>
      <c r="F56" s="36" t="s">
        <v>106</v>
      </c>
    </row>
    <row r="57" spans="2:6" x14ac:dyDescent="0.25">
      <c r="B57" s="32" t="s">
        <v>49</v>
      </c>
      <c r="C57" s="33">
        <v>7</v>
      </c>
      <c r="D57" s="34"/>
      <c r="E57" s="33"/>
      <c r="F57" s="34">
        <v>7</v>
      </c>
    </row>
    <row r="58" spans="2:6" x14ac:dyDescent="0.25">
      <c r="B58" s="21" t="s">
        <v>492</v>
      </c>
      <c r="C58" s="24"/>
      <c r="D58" s="25"/>
      <c r="E58" s="24">
        <v>7</v>
      </c>
      <c r="F58" s="25">
        <v>7</v>
      </c>
    </row>
    <row r="59" spans="2:6" x14ac:dyDescent="0.25">
      <c r="B59" s="21" t="s">
        <v>35</v>
      </c>
      <c r="C59" s="24"/>
      <c r="D59" s="25"/>
      <c r="E59" s="24">
        <v>1</v>
      </c>
      <c r="F59" s="25">
        <v>1</v>
      </c>
    </row>
    <row r="60" spans="2:6" x14ac:dyDescent="0.25">
      <c r="B60" s="21" t="s">
        <v>117</v>
      </c>
      <c r="C60" s="24"/>
      <c r="D60" s="25"/>
      <c r="E60" s="24">
        <v>1</v>
      </c>
      <c r="F60" s="25">
        <v>1</v>
      </c>
    </row>
    <row r="61" spans="2:6" x14ac:dyDescent="0.25">
      <c r="B61" s="21" t="s">
        <v>82</v>
      </c>
      <c r="C61" s="24"/>
      <c r="D61" s="25"/>
      <c r="E61" s="24">
        <v>1</v>
      </c>
      <c r="F61" s="25">
        <v>1</v>
      </c>
    </row>
    <row r="62" spans="2:6" x14ac:dyDescent="0.25">
      <c r="B62" s="21" t="s">
        <v>23</v>
      </c>
      <c r="C62" s="24"/>
      <c r="D62" s="25">
        <v>51</v>
      </c>
      <c r="E62" s="24"/>
      <c r="F62" s="25">
        <v>52</v>
      </c>
    </row>
    <row r="63" spans="2:6" x14ac:dyDescent="0.25">
      <c r="B63" s="21" t="s">
        <v>70</v>
      </c>
      <c r="C63" s="24"/>
      <c r="D63" s="25"/>
      <c r="E63" s="24">
        <v>7</v>
      </c>
      <c r="F63" s="25">
        <v>7</v>
      </c>
    </row>
    <row r="64" spans="2:6" x14ac:dyDescent="0.25">
      <c r="B64" s="21" t="s">
        <v>88</v>
      </c>
      <c r="C64" s="24"/>
      <c r="D64" s="25"/>
      <c r="E64" s="24">
        <v>26</v>
      </c>
      <c r="F64" s="25">
        <v>26</v>
      </c>
    </row>
    <row r="65" spans="2:6" x14ac:dyDescent="0.25">
      <c r="B65" s="21" t="s">
        <v>94</v>
      </c>
      <c r="C65" s="24">
        <v>6</v>
      </c>
      <c r="D65" s="25"/>
      <c r="E65" s="24"/>
      <c r="F65" s="25">
        <v>6</v>
      </c>
    </row>
    <row r="66" spans="2:6" x14ac:dyDescent="0.25">
      <c r="B66" s="21" t="s">
        <v>31</v>
      </c>
      <c r="C66" s="24">
        <v>30</v>
      </c>
      <c r="D66" s="25"/>
      <c r="E66" s="24"/>
      <c r="F66" s="25">
        <v>30</v>
      </c>
    </row>
    <row r="67" spans="2:6" x14ac:dyDescent="0.25">
      <c r="B67" s="21" t="s">
        <v>50</v>
      </c>
      <c r="C67" s="24"/>
      <c r="D67" s="25"/>
      <c r="E67" s="24">
        <v>3</v>
      </c>
      <c r="F67" s="25">
        <v>3</v>
      </c>
    </row>
    <row r="68" spans="2:6" x14ac:dyDescent="0.25">
      <c r="B68" s="21" t="s">
        <v>51</v>
      </c>
      <c r="C68" s="24"/>
      <c r="D68" s="25"/>
      <c r="E68" s="24">
        <v>1</v>
      </c>
      <c r="F68" s="25">
        <v>1</v>
      </c>
    </row>
    <row r="69" spans="2:6" x14ac:dyDescent="0.25">
      <c r="B69" s="21" t="s">
        <v>77</v>
      </c>
      <c r="C69" s="24"/>
      <c r="D69" s="25">
        <v>4</v>
      </c>
      <c r="E69" s="24"/>
      <c r="F69" s="25">
        <v>4</v>
      </c>
    </row>
    <row r="70" spans="2:6" ht="15.75" thickBot="1" x14ac:dyDescent="0.3">
      <c r="B70" s="21" t="s">
        <v>37</v>
      </c>
      <c r="C70" s="24">
        <v>13</v>
      </c>
      <c r="D70" s="25"/>
      <c r="E70" s="24"/>
      <c r="F70" s="25">
        <v>13</v>
      </c>
    </row>
    <row r="71" spans="2:6" ht="15.75" thickBot="1" x14ac:dyDescent="0.3">
      <c r="B71" s="29" t="s">
        <v>105</v>
      </c>
      <c r="C71" s="30">
        <f>SUM(C57:C70)</f>
        <v>56</v>
      </c>
      <c r="D71" s="31">
        <f>SUM(D57:D70)</f>
        <v>55</v>
      </c>
      <c r="E71" s="30">
        <f>SUM(E57:E70)</f>
        <v>47</v>
      </c>
      <c r="F71" s="31">
        <f>SUM(C71:E71)</f>
        <v>158</v>
      </c>
    </row>
    <row r="73" spans="2:6" ht="15.75" thickBot="1" x14ac:dyDescent="0.3"/>
    <row r="74" spans="2:6" ht="21.75" thickBot="1" x14ac:dyDescent="0.4">
      <c r="B74" s="713" t="s">
        <v>654</v>
      </c>
      <c r="C74" s="714"/>
      <c r="D74" s="714"/>
      <c r="E74" s="714"/>
      <c r="F74" s="715"/>
    </row>
    <row r="75" spans="2:6" ht="16.5" thickBot="1" x14ac:dyDescent="0.3">
      <c r="B75" s="17" t="s">
        <v>104</v>
      </c>
      <c r="C75" s="18" t="s">
        <v>30</v>
      </c>
      <c r="D75" s="17" t="s">
        <v>22</v>
      </c>
      <c r="E75" s="18" t="s">
        <v>34</v>
      </c>
      <c r="F75" s="36" t="s">
        <v>106</v>
      </c>
    </row>
    <row r="76" spans="2:6" x14ac:dyDescent="0.25">
      <c r="B76" s="32" t="s">
        <v>49</v>
      </c>
      <c r="C76" s="33">
        <v>6</v>
      </c>
      <c r="D76" s="34"/>
      <c r="E76" s="33"/>
      <c r="F76" s="34">
        <v>6</v>
      </c>
    </row>
    <row r="77" spans="2:6" x14ac:dyDescent="0.25">
      <c r="B77" s="32" t="s">
        <v>492</v>
      </c>
      <c r="C77" s="33"/>
      <c r="D77" s="34"/>
      <c r="E77" s="33">
        <v>7</v>
      </c>
      <c r="F77" s="34">
        <v>7</v>
      </c>
    </row>
    <row r="78" spans="2:6" x14ac:dyDescent="0.25">
      <c r="B78" s="32" t="s">
        <v>135</v>
      </c>
      <c r="C78" s="33"/>
      <c r="D78" s="34"/>
      <c r="E78" s="33">
        <v>1</v>
      </c>
      <c r="F78" s="34">
        <v>1</v>
      </c>
    </row>
    <row r="79" spans="2:6" x14ac:dyDescent="0.25">
      <c r="B79" s="32" t="s">
        <v>41</v>
      </c>
      <c r="C79" s="33">
        <v>71</v>
      </c>
      <c r="D79" s="34"/>
      <c r="E79" s="33"/>
      <c r="F79" s="34">
        <v>70</v>
      </c>
    </row>
    <row r="80" spans="2:6" x14ac:dyDescent="0.25">
      <c r="B80" s="32" t="s">
        <v>91</v>
      </c>
      <c r="C80" s="33"/>
      <c r="D80" s="34">
        <v>3</v>
      </c>
      <c r="E80" s="33"/>
      <c r="F80" s="34">
        <v>3</v>
      </c>
    </row>
    <row r="81" spans="2:6" x14ac:dyDescent="0.25">
      <c r="B81" s="32" t="s">
        <v>64</v>
      </c>
      <c r="C81" s="33"/>
      <c r="D81" s="34">
        <v>9</v>
      </c>
      <c r="E81" s="33"/>
      <c r="F81" s="34">
        <v>9</v>
      </c>
    </row>
    <row r="82" spans="2:6" x14ac:dyDescent="0.25">
      <c r="B82" s="32" t="s">
        <v>114</v>
      </c>
      <c r="C82" s="33"/>
      <c r="D82" s="34">
        <v>1</v>
      </c>
      <c r="E82" s="33"/>
      <c r="F82" s="34">
        <v>1</v>
      </c>
    </row>
    <row r="83" spans="2:6" x14ac:dyDescent="0.25">
      <c r="B83" s="32" t="s">
        <v>31</v>
      </c>
      <c r="C83" s="33">
        <v>50</v>
      </c>
      <c r="D83" s="34"/>
      <c r="E83" s="33"/>
      <c r="F83" s="34">
        <v>50</v>
      </c>
    </row>
    <row r="84" spans="2:6" x14ac:dyDescent="0.25">
      <c r="B84" s="32" t="s">
        <v>50</v>
      </c>
      <c r="C84" s="33"/>
      <c r="D84" s="34"/>
      <c r="E84" s="33">
        <v>3</v>
      </c>
      <c r="F84" s="34">
        <v>3</v>
      </c>
    </row>
    <row r="85" spans="2:6" x14ac:dyDescent="0.25">
      <c r="B85" s="32" t="s">
        <v>51</v>
      </c>
      <c r="C85" s="33"/>
      <c r="D85" s="34"/>
      <c r="E85" s="33">
        <v>1</v>
      </c>
      <c r="F85" s="34">
        <v>1</v>
      </c>
    </row>
    <row r="86" spans="2:6" x14ac:dyDescent="0.25">
      <c r="B86" s="32" t="s">
        <v>77</v>
      </c>
      <c r="C86" s="33"/>
      <c r="D86" s="34">
        <v>4</v>
      </c>
      <c r="E86" s="33"/>
      <c r="F86" s="34">
        <v>4</v>
      </c>
    </row>
    <row r="87" spans="2:6" ht="15.75" thickBot="1" x14ac:dyDescent="0.3">
      <c r="B87" s="32" t="s">
        <v>37</v>
      </c>
      <c r="C87" s="33">
        <v>14</v>
      </c>
      <c r="D87" s="34"/>
      <c r="E87" s="33"/>
      <c r="F87" s="34">
        <v>14</v>
      </c>
    </row>
    <row r="88" spans="2:6" ht="15.75" thickBot="1" x14ac:dyDescent="0.3">
      <c r="B88" s="29" t="s">
        <v>105</v>
      </c>
      <c r="C88" s="30">
        <f>SUM(C76:C87)</f>
        <v>141</v>
      </c>
      <c r="D88" s="31">
        <f>SUM(D76:D87)</f>
        <v>17</v>
      </c>
      <c r="E88" s="30">
        <f>SUM(E76:E87)</f>
        <v>12</v>
      </c>
      <c r="F88" s="31">
        <f>SUM(C88:E88)</f>
        <v>170</v>
      </c>
    </row>
    <row r="90" spans="2:6" ht="15.75" thickBot="1" x14ac:dyDescent="0.3"/>
    <row r="91" spans="2:6" ht="21.75" thickBot="1" x14ac:dyDescent="0.4">
      <c r="B91" s="713" t="s">
        <v>655</v>
      </c>
      <c r="C91" s="714"/>
      <c r="D91" s="714"/>
      <c r="E91" s="714"/>
      <c r="F91" s="715"/>
    </row>
    <row r="92" spans="2:6" ht="16.5" thickBot="1" x14ac:dyDescent="0.3">
      <c r="B92" s="17" t="s">
        <v>104</v>
      </c>
      <c r="C92" s="18" t="s">
        <v>30</v>
      </c>
      <c r="D92" s="17" t="s">
        <v>22</v>
      </c>
      <c r="E92" s="18" t="s">
        <v>34</v>
      </c>
      <c r="F92" s="36" t="s">
        <v>106</v>
      </c>
    </row>
    <row r="93" spans="2:6" x14ac:dyDescent="0.25">
      <c r="B93" s="21" t="s">
        <v>23</v>
      </c>
      <c r="C93" s="34"/>
      <c r="D93" s="34">
        <v>17</v>
      </c>
      <c r="E93" s="34"/>
      <c r="F93" s="34">
        <v>17</v>
      </c>
    </row>
    <row r="94" spans="2:6" x14ac:dyDescent="0.25">
      <c r="B94" s="58" t="s">
        <v>31</v>
      </c>
      <c r="C94" s="34">
        <v>1</v>
      </c>
      <c r="D94" s="34"/>
      <c r="E94" s="34"/>
      <c r="F94" s="34">
        <v>1</v>
      </c>
    </row>
    <row r="95" spans="2:6" ht="15.75" thickBot="1" x14ac:dyDescent="0.3">
      <c r="B95" s="58" t="s">
        <v>51</v>
      </c>
      <c r="C95" s="34"/>
      <c r="D95" s="34"/>
      <c r="E95" s="34">
        <v>1</v>
      </c>
      <c r="F95" s="34">
        <v>1</v>
      </c>
    </row>
    <row r="96" spans="2:6" ht="15.75" thickBot="1" x14ac:dyDescent="0.3">
      <c r="B96" s="29" t="s">
        <v>105</v>
      </c>
      <c r="C96" s="30">
        <f>SUM(C93:C95)</f>
        <v>1</v>
      </c>
      <c r="D96" s="31">
        <f>SUM(D93:D95)</f>
        <v>17</v>
      </c>
      <c r="E96" s="30">
        <f>SUM(E93:E95)</f>
        <v>1</v>
      </c>
      <c r="F96" s="31">
        <f>SUM(C96:E96)</f>
        <v>19</v>
      </c>
    </row>
    <row r="98" spans="2:5" ht="15.75" thickBot="1" x14ac:dyDescent="0.3"/>
    <row r="99" spans="2:5" ht="21.75" thickBot="1" x14ac:dyDescent="0.4">
      <c r="B99" s="710" t="s">
        <v>656</v>
      </c>
      <c r="C99" s="711"/>
      <c r="D99" s="711"/>
      <c r="E99" s="712"/>
    </row>
    <row r="100" spans="2:5" ht="16.5" thickBot="1" x14ac:dyDescent="0.3">
      <c r="B100" s="595" t="s">
        <v>104</v>
      </c>
      <c r="C100" s="596" t="s">
        <v>30</v>
      </c>
      <c r="D100" s="596" t="s">
        <v>22</v>
      </c>
      <c r="E100" s="597" t="s">
        <v>106</v>
      </c>
    </row>
    <row r="101" spans="2:5" ht="15.75" customHeight="1" x14ac:dyDescent="0.25">
      <c r="B101" s="58" t="s">
        <v>31</v>
      </c>
      <c r="C101" s="34">
        <v>4</v>
      </c>
      <c r="D101" s="34"/>
      <c r="E101" s="34">
        <v>4</v>
      </c>
    </row>
    <row r="102" spans="2:5" ht="15.75" customHeight="1" x14ac:dyDescent="0.25">
      <c r="B102" s="58" t="s">
        <v>77</v>
      </c>
      <c r="C102" s="34"/>
      <c r="D102" s="34">
        <v>1</v>
      </c>
      <c r="E102" s="34">
        <v>1</v>
      </c>
    </row>
    <row r="103" spans="2:5" ht="15.75" customHeight="1" thickBot="1" x14ac:dyDescent="0.3">
      <c r="B103" s="58" t="s">
        <v>37</v>
      </c>
      <c r="C103" s="34">
        <v>2</v>
      </c>
      <c r="D103" s="34"/>
      <c r="E103" s="34">
        <v>2</v>
      </c>
    </row>
    <row r="104" spans="2:5" ht="15.75" thickBot="1" x14ac:dyDescent="0.3">
      <c r="B104" s="148" t="s">
        <v>105</v>
      </c>
      <c r="C104" s="31">
        <f>SUM(C101:C103)</f>
        <v>6</v>
      </c>
      <c r="D104" s="31">
        <f>SUM(D101:D103)</f>
        <v>1</v>
      </c>
      <c r="E104" s="31">
        <f>SUM(C104:D104)</f>
        <v>7</v>
      </c>
    </row>
    <row r="106" spans="2:5" ht="15.75" thickBot="1" x14ac:dyDescent="0.3"/>
    <row r="107" spans="2:5" ht="21.75" thickBot="1" x14ac:dyDescent="0.4">
      <c r="B107" s="713" t="s">
        <v>657</v>
      </c>
      <c r="C107" s="714"/>
      <c r="D107" s="715"/>
    </row>
    <row r="108" spans="2:5" ht="15.75" thickBot="1" x14ac:dyDescent="0.3">
      <c r="B108" s="38" t="s">
        <v>104</v>
      </c>
      <c r="C108" s="39" t="s">
        <v>30</v>
      </c>
      <c r="D108" s="36" t="s">
        <v>106</v>
      </c>
    </row>
    <row r="109" spans="2:5" ht="15.75" thickBot="1" x14ac:dyDescent="0.3">
      <c r="B109" s="40" t="s">
        <v>31</v>
      </c>
      <c r="C109" s="19">
        <v>7</v>
      </c>
      <c r="D109" s="41">
        <f>SUM(C109)</f>
        <v>7</v>
      </c>
    </row>
    <row r="110" spans="2:5" ht="15.75" thickBot="1" x14ac:dyDescent="0.3">
      <c r="B110" s="29" t="s">
        <v>105</v>
      </c>
      <c r="C110" s="30">
        <f>SUM(C109)</f>
        <v>7</v>
      </c>
      <c r="D110" s="31">
        <f>SUM(C110)</f>
        <v>7</v>
      </c>
    </row>
    <row r="114" spans="2:3" ht="15.75" thickBot="1" x14ac:dyDescent="0.3"/>
    <row r="115" spans="2:3" ht="21.75" thickBot="1" x14ac:dyDescent="0.4">
      <c r="B115" s="713" t="s">
        <v>108</v>
      </c>
      <c r="C115" s="715"/>
    </row>
    <row r="116" spans="2:3" ht="16.5" thickBot="1" x14ac:dyDescent="0.3">
      <c r="B116" s="17" t="s">
        <v>104</v>
      </c>
      <c r="C116" s="17" t="s">
        <v>106</v>
      </c>
    </row>
    <row r="117" spans="2:3" x14ac:dyDescent="0.25">
      <c r="B117" s="21" t="s">
        <v>78</v>
      </c>
      <c r="C117" s="25">
        <v>2</v>
      </c>
    </row>
    <row r="118" spans="2:3" x14ac:dyDescent="0.25">
      <c r="B118" s="21" t="s">
        <v>288</v>
      </c>
      <c r="C118" s="25">
        <v>21</v>
      </c>
    </row>
    <row r="119" spans="2:3" x14ac:dyDescent="0.25">
      <c r="B119" s="21" t="s">
        <v>496</v>
      </c>
      <c r="C119" s="25">
        <v>2</v>
      </c>
    </row>
    <row r="120" spans="2:3" x14ac:dyDescent="0.25">
      <c r="B120" s="21" t="s">
        <v>44</v>
      </c>
      <c r="C120" s="25">
        <v>1</v>
      </c>
    </row>
    <row r="121" spans="2:3" x14ac:dyDescent="0.25">
      <c r="B121" s="21" t="s">
        <v>57</v>
      </c>
      <c r="C121" s="25">
        <v>13</v>
      </c>
    </row>
    <row r="122" spans="2:3" x14ac:dyDescent="0.25">
      <c r="B122" s="21" t="s">
        <v>46</v>
      </c>
      <c r="C122" s="25">
        <v>15</v>
      </c>
    </row>
    <row r="123" spans="2:3" x14ac:dyDescent="0.25">
      <c r="B123" s="21" t="s">
        <v>167</v>
      </c>
      <c r="C123" s="25">
        <v>3</v>
      </c>
    </row>
    <row r="124" spans="2:3" x14ac:dyDescent="0.25">
      <c r="B124" s="21" t="s">
        <v>414</v>
      </c>
      <c r="C124" s="25">
        <v>1</v>
      </c>
    </row>
    <row r="125" spans="2:3" x14ac:dyDescent="0.25">
      <c r="B125" s="21" t="s">
        <v>56</v>
      </c>
      <c r="C125" s="25">
        <v>3</v>
      </c>
    </row>
    <row r="126" spans="2:3" x14ac:dyDescent="0.25">
      <c r="B126" s="21" t="s">
        <v>585</v>
      </c>
      <c r="C126" s="25">
        <v>1</v>
      </c>
    </row>
    <row r="127" spans="2:3" ht="15.75" thickBot="1" x14ac:dyDescent="0.3">
      <c r="B127" s="21" t="s">
        <v>173</v>
      </c>
      <c r="C127" s="25">
        <v>5</v>
      </c>
    </row>
    <row r="128" spans="2:3" ht="15.75" thickBot="1" x14ac:dyDescent="0.3">
      <c r="B128" s="29" t="s">
        <v>105</v>
      </c>
      <c r="C128" s="31">
        <f>SUM(C117:C127)</f>
        <v>67</v>
      </c>
    </row>
    <row r="131" spans="2:3" ht="21" x14ac:dyDescent="0.35">
      <c r="B131" s="713" t="s">
        <v>109</v>
      </c>
      <c r="C131" s="715"/>
    </row>
    <row r="132" spans="2:3" ht="15.75" x14ac:dyDescent="0.25">
      <c r="B132" s="17" t="s">
        <v>104</v>
      </c>
      <c r="C132" s="17" t="s">
        <v>106</v>
      </c>
    </row>
    <row r="133" spans="2:3" x14ac:dyDescent="0.25">
      <c r="B133" s="21" t="s">
        <v>78</v>
      </c>
      <c r="C133" s="25">
        <v>2</v>
      </c>
    </row>
    <row r="134" spans="2:3" x14ac:dyDescent="0.25">
      <c r="B134" s="21" t="s">
        <v>496</v>
      </c>
      <c r="C134" s="25">
        <v>2</v>
      </c>
    </row>
    <row r="135" spans="2:3" x14ac:dyDescent="0.25">
      <c r="B135" s="21" t="s">
        <v>175</v>
      </c>
      <c r="C135" s="25">
        <v>14</v>
      </c>
    </row>
    <row r="136" spans="2:3" x14ac:dyDescent="0.25">
      <c r="B136" s="21" t="s">
        <v>57</v>
      </c>
      <c r="C136" s="25">
        <v>12</v>
      </c>
    </row>
    <row r="137" spans="2:3" x14ac:dyDescent="0.25">
      <c r="B137" s="21" t="s">
        <v>167</v>
      </c>
      <c r="C137" s="25">
        <v>3</v>
      </c>
    </row>
    <row r="138" spans="2:3" x14ac:dyDescent="0.25">
      <c r="B138" s="21" t="s">
        <v>414</v>
      </c>
      <c r="C138" s="25">
        <v>1</v>
      </c>
    </row>
    <row r="139" spans="2:3" x14ac:dyDescent="0.25">
      <c r="B139" s="21" t="s">
        <v>62</v>
      </c>
      <c r="C139" s="25">
        <v>4</v>
      </c>
    </row>
    <row r="140" spans="2:3" x14ac:dyDescent="0.25">
      <c r="B140" s="21" t="s">
        <v>56</v>
      </c>
      <c r="C140" s="25">
        <v>3</v>
      </c>
    </row>
    <row r="141" spans="2:3" x14ac:dyDescent="0.25">
      <c r="B141" s="21" t="s">
        <v>585</v>
      </c>
      <c r="C141" s="25">
        <v>1</v>
      </c>
    </row>
    <row r="142" spans="2:3" ht="15.75" thickBot="1" x14ac:dyDescent="0.3">
      <c r="B142" s="21" t="s">
        <v>173</v>
      </c>
      <c r="C142" s="25">
        <v>9</v>
      </c>
    </row>
    <row r="143" spans="2:3" ht="15.75" thickBot="1" x14ac:dyDescent="0.3">
      <c r="B143" s="29" t="s">
        <v>105</v>
      </c>
      <c r="C143" s="31">
        <f>SUM(C133:C142)</f>
        <v>51</v>
      </c>
    </row>
    <row r="146" spans="2:3" ht="21" x14ac:dyDescent="0.35">
      <c r="B146" s="713" t="s">
        <v>110</v>
      </c>
      <c r="C146" s="715"/>
    </row>
    <row r="147" spans="2:3" ht="15.75" x14ac:dyDescent="0.25">
      <c r="B147" s="20" t="s">
        <v>104</v>
      </c>
      <c r="C147" s="20" t="s">
        <v>106</v>
      </c>
    </row>
    <row r="148" spans="2:3" x14ac:dyDescent="0.25">
      <c r="B148" s="21" t="s">
        <v>283</v>
      </c>
      <c r="C148" s="51">
        <v>5</v>
      </c>
    </row>
    <row r="149" spans="2:3" x14ac:dyDescent="0.25">
      <c r="B149" s="21" t="s">
        <v>72</v>
      </c>
      <c r="C149" s="51">
        <v>3</v>
      </c>
    </row>
    <row r="150" spans="2:3" x14ac:dyDescent="0.25">
      <c r="B150" s="21" t="s">
        <v>87</v>
      </c>
      <c r="C150" s="51">
        <v>2</v>
      </c>
    </row>
    <row r="151" spans="2:3" x14ac:dyDescent="0.25">
      <c r="B151" s="21" t="s">
        <v>388</v>
      </c>
      <c r="C151" s="51">
        <v>2</v>
      </c>
    </row>
    <row r="152" spans="2:3" ht="15.75" thickBot="1" x14ac:dyDescent="0.3">
      <c r="B152" s="23" t="s">
        <v>105</v>
      </c>
      <c r="C152" s="73">
        <f>SUM(C148:C151)</f>
        <v>12</v>
      </c>
    </row>
    <row r="155" spans="2:3" ht="21.75" thickBot="1" x14ac:dyDescent="0.4">
      <c r="B155" s="713" t="s">
        <v>111</v>
      </c>
      <c r="C155" s="715"/>
    </row>
    <row r="156" spans="2:3" ht="16.5" thickBot="1" x14ac:dyDescent="0.3">
      <c r="B156" s="17" t="s">
        <v>104</v>
      </c>
      <c r="C156" s="17" t="s">
        <v>106</v>
      </c>
    </row>
    <row r="157" spans="2:3" ht="14.25" customHeight="1" x14ac:dyDescent="0.25">
      <c r="B157" s="32" t="s">
        <v>74</v>
      </c>
      <c r="C157" s="50">
        <v>1</v>
      </c>
    </row>
    <row r="158" spans="2:3" ht="14.25" customHeight="1" x14ac:dyDescent="0.25">
      <c r="B158" s="32" t="s">
        <v>75</v>
      </c>
      <c r="C158" s="50">
        <v>14</v>
      </c>
    </row>
    <row r="159" spans="2:3" ht="14.25" customHeight="1" x14ac:dyDescent="0.25">
      <c r="B159" s="32" t="s">
        <v>183</v>
      </c>
      <c r="C159" s="50">
        <v>1</v>
      </c>
    </row>
    <row r="160" spans="2:3" ht="14.25" customHeight="1" thickBot="1" x14ac:dyDescent="0.3">
      <c r="B160" s="32" t="s">
        <v>646</v>
      </c>
      <c r="C160" s="50">
        <v>1</v>
      </c>
    </row>
    <row r="161" spans="2:3" ht="15.75" thickBot="1" x14ac:dyDescent="0.3">
      <c r="B161" s="29" t="s">
        <v>105</v>
      </c>
      <c r="C161" s="92">
        <f>SUM(C157:C160)</f>
        <v>17</v>
      </c>
    </row>
  </sheetData>
  <mergeCells count="11">
    <mergeCell ref="B107:D107"/>
    <mergeCell ref="B155:C155"/>
    <mergeCell ref="B115:C115"/>
    <mergeCell ref="B131:C131"/>
    <mergeCell ref="B146:C146"/>
    <mergeCell ref="B99:E99"/>
    <mergeCell ref="B3:F3"/>
    <mergeCell ref="B32:F32"/>
    <mergeCell ref="B55:F55"/>
    <mergeCell ref="B74:F74"/>
    <mergeCell ref="B91:F91"/>
  </mergeCells>
  <pageMargins left="0.7" right="0.7" top="0.75" bottom="0.75" header="0.3" footer="0.3"/>
  <pageSetup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2EFDE-3127-4C53-8FEF-F56FC29CB3AD}">
  <dimension ref="A4:R74"/>
  <sheetViews>
    <sheetView topLeftCell="E56" workbookViewId="0">
      <selection activeCell="H84" sqref="H84"/>
    </sheetView>
  </sheetViews>
  <sheetFormatPr baseColWidth="10" defaultRowHeight="15" x14ac:dyDescent="0.25"/>
  <cols>
    <col min="5" max="5" width="87" customWidth="1"/>
    <col min="6" max="6" width="9.140625" bestFit="1" customWidth="1"/>
    <col min="7" max="7" width="8.42578125" bestFit="1" customWidth="1"/>
    <col min="8" max="8" width="9.42578125" bestFit="1" customWidth="1"/>
    <col min="9" max="9" width="8.7109375" bestFit="1" customWidth="1"/>
    <col min="10" max="10" width="10" bestFit="1" customWidth="1"/>
    <col min="11" max="11" width="8.28515625" bestFit="1" customWidth="1"/>
    <col min="12" max="12" width="7.42578125" bestFit="1" customWidth="1"/>
    <col min="13" max="13" width="9.42578125" bestFit="1" customWidth="1"/>
    <col min="14" max="14" width="8.7109375" bestFit="1" customWidth="1"/>
    <col min="15" max="15" width="8.7109375" customWidth="1"/>
    <col min="16" max="16" width="9" bestFit="1" customWidth="1"/>
    <col min="17" max="17" width="8.7109375" customWidth="1"/>
    <col min="18" max="18" width="6.7109375" bestFit="1" customWidth="1"/>
  </cols>
  <sheetData>
    <row r="4" spans="5:18" ht="15.75" thickBot="1" x14ac:dyDescent="0.3"/>
    <row r="5" spans="5:18" ht="21" thickBot="1" x14ac:dyDescent="0.35">
      <c r="E5" s="716" t="s">
        <v>417</v>
      </c>
      <c r="F5" s="717"/>
      <c r="G5" s="717"/>
      <c r="H5" s="718"/>
      <c r="I5" s="718"/>
      <c r="J5" s="718"/>
      <c r="K5" s="718"/>
      <c r="L5" s="718"/>
      <c r="M5" s="718"/>
      <c r="N5" s="718"/>
      <c r="O5" s="718"/>
      <c r="P5" s="718"/>
      <c r="Q5" s="718"/>
      <c r="R5" s="719"/>
    </row>
    <row r="6" spans="5:18" ht="16.5" thickBot="1" x14ac:dyDescent="0.3">
      <c r="E6" s="380" t="s">
        <v>104</v>
      </c>
      <c r="F6" s="381">
        <v>46023</v>
      </c>
      <c r="G6" s="381">
        <v>46054</v>
      </c>
      <c r="H6" s="381">
        <v>46082</v>
      </c>
      <c r="I6" s="381">
        <v>46113</v>
      </c>
      <c r="J6" s="381">
        <v>46143</v>
      </c>
      <c r="K6" s="381">
        <v>46174</v>
      </c>
      <c r="L6" s="381">
        <v>46204</v>
      </c>
      <c r="M6" s="381">
        <v>46235</v>
      </c>
      <c r="N6" s="381">
        <v>46266</v>
      </c>
      <c r="O6" s="381">
        <v>46296</v>
      </c>
      <c r="P6" s="381">
        <v>46327</v>
      </c>
      <c r="Q6" s="381">
        <v>46357</v>
      </c>
      <c r="R6" s="380" t="s">
        <v>106</v>
      </c>
    </row>
    <row r="7" spans="5:18" ht="16.5" x14ac:dyDescent="0.3">
      <c r="E7" s="382" t="s">
        <v>96</v>
      </c>
      <c r="F7" s="207">
        <v>1</v>
      </c>
      <c r="G7" s="207">
        <v>1</v>
      </c>
      <c r="H7" s="383">
        <v>2</v>
      </c>
      <c r="I7" s="383">
        <v>3</v>
      </c>
      <c r="J7" s="383">
        <v>2</v>
      </c>
      <c r="K7" s="383">
        <v>2</v>
      </c>
      <c r="L7" s="383">
        <v>2</v>
      </c>
      <c r="M7" s="383">
        <v>0</v>
      </c>
      <c r="N7" s="383"/>
      <c r="O7" s="383"/>
      <c r="P7" s="383"/>
      <c r="Q7" s="383"/>
      <c r="R7" s="318">
        <f t="shared" ref="R7:R12" si="0">SUM(F7:Q7)</f>
        <v>13</v>
      </c>
    </row>
    <row r="8" spans="5:18" ht="15.75" customHeight="1" x14ac:dyDescent="0.3">
      <c r="E8" s="384" t="s">
        <v>112</v>
      </c>
      <c r="F8" s="159">
        <v>19</v>
      </c>
      <c r="G8" s="159">
        <v>31</v>
      </c>
      <c r="H8" s="385">
        <v>19</v>
      </c>
      <c r="I8" s="385">
        <v>24</v>
      </c>
      <c r="J8" s="385">
        <v>14</v>
      </c>
      <c r="K8" s="385">
        <v>13</v>
      </c>
      <c r="L8" s="385">
        <v>27</v>
      </c>
      <c r="M8" s="385">
        <v>6</v>
      </c>
      <c r="N8" s="385"/>
      <c r="O8" s="385"/>
      <c r="P8" s="385"/>
      <c r="Q8" s="385"/>
      <c r="R8" s="161">
        <f t="shared" si="0"/>
        <v>153</v>
      </c>
    </row>
    <row r="9" spans="5:18" ht="16.5" x14ac:dyDescent="0.3">
      <c r="E9" s="384" t="s">
        <v>55</v>
      </c>
      <c r="F9" s="159">
        <v>0</v>
      </c>
      <c r="G9" s="159">
        <v>1</v>
      </c>
      <c r="H9" s="385">
        <v>2</v>
      </c>
      <c r="I9" s="385">
        <v>1</v>
      </c>
      <c r="J9" s="385">
        <v>4</v>
      </c>
      <c r="K9" s="385">
        <v>3</v>
      </c>
      <c r="L9" s="385">
        <v>1</v>
      </c>
      <c r="M9" s="385">
        <v>0</v>
      </c>
      <c r="N9" s="385"/>
      <c r="O9" s="385"/>
      <c r="P9" s="385"/>
      <c r="Q9" s="385"/>
      <c r="R9" s="161">
        <f t="shared" si="0"/>
        <v>12</v>
      </c>
    </row>
    <row r="10" spans="5:18" ht="16.5" x14ac:dyDescent="0.3">
      <c r="E10" s="384" t="s">
        <v>94</v>
      </c>
      <c r="F10" s="159">
        <v>1</v>
      </c>
      <c r="G10" s="159">
        <v>5</v>
      </c>
      <c r="H10" s="385">
        <v>1</v>
      </c>
      <c r="I10" s="385">
        <v>2</v>
      </c>
      <c r="J10" s="385">
        <v>4</v>
      </c>
      <c r="K10" s="385">
        <v>5</v>
      </c>
      <c r="L10" s="385">
        <v>2</v>
      </c>
      <c r="M10" s="385">
        <v>6</v>
      </c>
      <c r="N10" s="385"/>
      <c r="O10" s="385"/>
      <c r="P10" s="385"/>
      <c r="Q10" s="385"/>
      <c r="R10" s="161">
        <f t="shared" si="0"/>
        <v>26</v>
      </c>
    </row>
    <row r="11" spans="5:18" ht="16.5" x14ac:dyDescent="0.3">
      <c r="E11" s="384" t="s">
        <v>31</v>
      </c>
      <c r="F11" s="159">
        <v>31</v>
      </c>
      <c r="G11" s="159">
        <v>21</v>
      </c>
      <c r="H11" s="385">
        <v>24</v>
      </c>
      <c r="I11" s="385">
        <v>20</v>
      </c>
      <c r="J11" s="385">
        <v>21</v>
      </c>
      <c r="K11" s="385">
        <v>34</v>
      </c>
      <c r="L11" s="385">
        <v>35</v>
      </c>
      <c r="M11" s="385">
        <v>29</v>
      </c>
      <c r="N11" s="385"/>
      <c r="O11" s="385"/>
      <c r="P11" s="385"/>
      <c r="Q11" s="385"/>
      <c r="R11" s="161">
        <f t="shared" si="0"/>
        <v>215</v>
      </c>
    </row>
    <row r="12" spans="5:18" ht="17.25" thickBot="1" x14ac:dyDescent="0.35">
      <c r="E12" s="386" t="s">
        <v>37</v>
      </c>
      <c r="F12" s="164">
        <v>31</v>
      </c>
      <c r="G12" s="164">
        <v>22</v>
      </c>
      <c r="H12" s="387">
        <v>19</v>
      </c>
      <c r="I12" s="387">
        <v>62</v>
      </c>
      <c r="J12" s="387">
        <v>27</v>
      </c>
      <c r="K12" s="387">
        <v>21</v>
      </c>
      <c r="L12" s="387">
        <v>21</v>
      </c>
      <c r="M12" s="387">
        <v>14</v>
      </c>
      <c r="N12" s="387"/>
      <c r="O12" s="387"/>
      <c r="P12" s="387"/>
      <c r="Q12" s="387"/>
      <c r="R12" s="161">
        <f t="shared" si="0"/>
        <v>217</v>
      </c>
    </row>
    <row r="13" spans="5:18" ht="17.25" thickBot="1" x14ac:dyDescent="0.35">
      <c r="E13" s="388" t="s">
        <v>107</v>
      </c>
      <c r="F13" s="389">
        <f t="shared" ref="F13:M13" si="1">SUM(F7:F12)</f>
        <v>83</v>
      </c>
      <c r="G13" s="598">
        <f t="shared" si="1"/>
        <v>81</v>
      </c>
      <c r="H13" s="600">
        <f t="shared" si="1"/>
        <v>67</v>
      </c>
      <c r="I13" s="411">
        <f t="shared" si="1"/>
        <v>112</v>
      </c>
      <c r="J13" s="411">
        <f t="shared" si="1"/>
        <v>72</v>
      </c>
      <c r="K13" s="411">
        <f t="shared" si="1"/>
        <v>78</v>
      </c>
      <c r="L13" s="411">
        <f t="shared" si="1"/>
        <v>88</v>
      </c>
      <c r="M13" s="411">
        <f t="shared" si="1"/>
        <v>55</v>
      </c>
      <c r="N13" s="390"/>
      <c r="O13" s="390"/>
      <c r="P13" s="390"/>
      <c r="Q13" s="390"/>
      <c r="R13" s="390">
        <f>SUM(F13:Q13)</f>
        <v>636</v>
      </c>
    </row>
    <row r="14" spans="5:18" ht="16.5" x14ac:dyDescent="0.3">
      <c r="E14" s="391"/>
      <c r="F14" s="391"/>
      <c r="G14" s="391"/>
      <c r="H14" s="391"/>
      <c r="I14" s="391"/>
      <c r="J14" s="391"/>
      <c r="K14" s="391"/>
      <c r="L14" s="391"/>
      <c r="M14" s="391"/>
      <c r="N14" s="391"/>
      <c r="O14" s="391"/>
      <c r="P14" s="391"/>
      <c r="Q14" s="391"/>
      <c r="R14" s="391"/>
    </row>
    <row r="15" spans="5:18" ht="16.5" x14ac:dyDescent="0.3">
      <c r="E15" s="391"/>
      <c r="F15" s="391"/>
      <c r="G15" s="391"/>
      <c r="H15" s="391"/>
      <c r="I15" s="391"/>
      <c r="J15" s="391"/>
      <c r="K15" s="391"/>
      <c r="L15" s="391"/>
      <c r="M15" s="391"/>
      <c r="N15" s="391"/>
      <c r="O15" s="391"/>
      <c r="P15" s="391"/>
      <c r="Q15" s="391"/>
      <c r="R15" s="391"/>
    </row>
    <row r="16" spans="5:18" ht="16.5" x14ac:dyDescent="0.3">
      <c r="E16" s="391"/>
      <c r="F16" s="391"/>
      <c r="G16" s="391"/>
      <c r="H16" s="391"/>
      <c r="I16" s="391"/>
      <c r="J16" s="391"/>
      <c r="K16" s="391"/>
      <c r="L16" s="391"/>
      <c r="M16" s="391"/>
      <c r="N16" s="391"/>
      <c r="O16" s="391"/>
      <c r="P16" s="391"/>
      <c r="Q16" s="391"/>
      <c r="R16" s="391"/>
    </row>
    <row r="17" spans="5:18" ht="16.5" x14ac:dyDescent="0.3">
      <c r="E17" s="391"/>
      <c r="F17" s="391"/>
      <c r="G17" s="391"/>
      <c r="H17" s="391"/>
      <c r="I17" s="391"/>
      <c r="J17" s="391"/>
      <c r="K17" s="391"/>
      <c r="L17" s="391"/>
      <c r="M17" s="391"/>
      <c r="N17" s="391"/>
      <c r="O17" s="391"/>
      <c r="P17" s="391"/>
      <c r="Q17" s="391"/>
      <c r="R17" s="391"/>
    </row>
    <row r="18" spans="5:18" ht="16.5" x14ac:dyDescent="0.3">
      <c r="E18" s="391"/>
      <c r="F18" s="391"/>
      <c r="G18" s="391"/>
      <c r="H18" s="391"/>
      <c r="I18" s="391"/>
      <c r="J18" s="391"/>
      <c r="K18" s="391"/>
      <c r="L18" s="391"/>
      <c r="M18" s="391"/>
      <c r="N18" s="391"/>
      <c r="O18" s="391"/>
      <c r="P18" s="391"/>
      <c r="Q18" s="391"/>
      <c r="R18" s="391"/>
    </row>
    <row r="19" spans="5:18" ht="16.5" x14ac:dyDescent="0.3">
      <c r="E19" s="391"/>
      <c r="F19" s="391"/>
      <c r="G19" s="391"/>
      <c r="H19" s="391"/>
      <c r="I19" s="391"/>
      <c r="J19" s="391"/>
      <c r="K19" s="391"/>
      <c r="L19" s="391"/>
      <c r="M19" s="391"/>
      <c r="N19" s="391"/>
      <c r="O19" s="391"/>
      <c r="P19" s="391"/>
      <c r="Q19" s="391"/>
      <c r="R19" s="391"/>
    </row>
    <row r="20" spans="5:18" ht="16.5" x14ac:dyDescent="0.3">
      <c r="E20" s="391"/>
      <c r="F20" s="391"/>
      <c r="G20" s="391"/>
      <c r="H20" s="391"/>
      <c r="I20" s="391"/>
      <c r="J20" s="391"/>
      <c r="K20" s="391"/>
      <c r="L20" s="391"/>
      <c r="M20" s="391"/>
      <c r="N20" s="391"/>
      <c r="O20" s="391"/>
      <c r="P20" s="391"/>
      <c r="Q20" s="391"/>
      <c r="R20" s="391"/>
    </row>
    <row r="21" spans="5:18" ht="16.5" x14ac:dyDescent="0.3">
      <c r="E21" s="391"/>
      <c r="F21" s="391"/>
      <c r="G21" s="391"/>
      <c r="H21" s="391"/>
      <c r="I21" s="391"/>
      <c r="J21" s="391"/>
      <c r="K21" s="391"/>
      <c r="L21" s="391"/>
      <c r="M21" s="391"/>
      <c r="N21" s="391"/>
      <c r="O21" s="391"/>
      <c r="P21" s="391"/>
      <c r="Q21" s="391"/>
      <c r="R21" s="391"/>
    </row>
    <row r="22" spans="5:18" ht="17.25" thickBot="1" x14ac:dyDescent="0.35">
      <c r="E22" s="391"/>
      <c r="F22" s="391"/>
      <c r="G22" s="391"/>
      <c r="H22" s="391"/>
      <c r="I22" s="391"/>
      <c r="J22" s="391"/>
      <c r="K22" s="391"/>
      <c r="L22" s="391"/>
      <c r="M22" s="391"/>
      <c r="N22" s="391"/>
      <c r="O22" s="391"/>
      <c r="P22" s="391"/>
      <c r="Q22" s="391"/>
      <c r="R22" s="391"/>
    </row>
    <row r="23" spans="5:18" ht="21" thickBot="1" x14ac:dyDescent="0.35">
      <c r="E23" s="720" t="s">
        <v>418</v>
      </c>
      <c r="F23" s="721"/>
      <c r="G23" s="721"/>
      <c r="H23" s="721"/>
      <c r="I23" s="721"/>
      <c r="J23" s="721"/>
      <c r="K23" s="721"/>
      <c r="L23" s="721"/>
      <c r="M23" s="721"/>
      <c r="N23" s="721"/>
      <c r="O23" s="721"/>
      <c r="P23" s="721"/>
      <c r="Q23" s="721"/>
      <c r="R23" s="722"/>
    </row>
    <row r="24" spans="5:18" ht="16.5" thickBot="1" x14ac:dyDescent="0.3">
      <c r="E24" s="380" t="s">
        <v>104</v>
      </c>
      <c r="F24" s="381">
        <v>46023</v>
      </c>
      <c r="G24" s="381">
        <v>46054</v>
      </c>
      <c r="H24" s="381">
        <v>46082</v>
      </c>
      <c r="I24" s="381">
        <v>46113</v>
      </c>
      <c r="J24" s="381">
        <v>46143</v>
      </c>
      <c r="K24" s="381">
        <v>46174</v>
      </c>
      <c r="L24" s="381">
        <v>46204</v>
      </c>
      <c r="M24" s="381">
        <v>46235</v>
      </c>
      <c r="N24" s="381">
        <v>46266</v>
      </c>
      <c r="O24" s="381">
        <v>46296</v>
      </c>
      <c r="P24" s="381">
        <v>46327</v>
      </c>
      <c r="Q24" s="381">
        <v>46357</v>
      </c>
      <c r="R24" s="380" t="s">
        <v>106</v>
      </c>
    </row>
    <row r="25" spans="5:18" ht="16.5" x14ac:dyDescent="0.3">
      <c r="E25" s="392" t="s">
        <v>23</v>
      </c>
      <c r="F25" s="205">
        <v>58</v>
      </c>
      <c r="G25" s="207">
        <v>60</v>
      </c>
      <c r="H25" s="207">
        <v>73</v>
      </c>
      <c r="I25" s="207">
        <v>81</v>
      </c>
      <c r="J25" s="207">
        <v>84</v>
      </c>
      <c r="K25" s="207">
        <v>53</v>
      </c>
      <c r="L25" s="207">
        <v>108</v>
      </c>
      <c r="M25" s="207">
        <v>67</v>
      </c>
      <c r="N25" s="207"/>
      <c r="O25" s="207"/>
      <c r="P25" s="207"/>
      <c r="Q25" s="207"/>
      <c r="R25" s="318">
        <f>SUM(F26:Q26)</f>
        <v>0</v>
      </c>
    </row>
    <row r="26" spans="5:18" ht="16.5" x14ac:dyDescent="0.3">
      <c r="E26" s="393" t="s">
        <v>378</v>
      </c>
      <c r="F26" s="160">
        <v>0</v>
      </c>
      <c r="G26" s="159">
        <v>0</v>
      </c>
      <c r="H26" s="159">
        <v>0</v>
      </c>
      <c r="I26" s="159">
        <v>0</v>
      </c>
      <c r="J26" s="159">
        <v>0</v>
      </c>
      <c r="K26" s="159">
        <v>0</v>
      </c>
      <c r="L26" s="159">
        <v>0</v>
      </c>
      <c r="M26" s="159">
        <v>0</v>
      </c>
      <c r="N26" s="159"/>
      <c r="O26" s="159"/>
      <c r="P26" s="159"/>
      <c r="Q26" s="159"/>
      <c r="R26" s="161">
        <f t="shared" ref="R26:R32" si="2">SUM(F26:Q26)</f>
        <v>0</v>
      </c>
    </row>
    <row r="27" spans="5:18" ht="16.5" x14ac:dyDescent="0.3">
      <c r="E27" s="393" t="s">
        <v>79</v>
      </c>
      <c r="F27" s="160">
        <v>0</v>
      </c>
      <c r="G27" s="159">
        <v>0</v>
      </c>
      <c r="H27" s="159">
        <v>1</v>
      </c>
      <c r="I27" s="159">
        <v>0</v>
      </c>
      <c r="J27" s="159">
        <v>1</v>
      </c>
      <c r="K27" s="159">
        <v>2</v>
      </c>
      <c r="L27" s="159">
        <v>1</v>
      </c>
      <c r="M27" s="159">
        <v>1</v>
      </c>
      <c r="N27" s="159"/>
      <c r="O27" s="159"/>
      <c r="P27" s="159"/>
      <c r="Q27" s="159"/>
      <c r="R27" s="161">
        <f t="shared" si="2"/>
        <v>6</v>
      </c>
    </row>
    <row r="28" spans="5:18" ht="16.5" x14ac:dyDescent="0.3">
      <c r="E28" s="393" t="s">
        <v>114</v>
      </c>
      <c r="F28" s="160">
        <v>0</v>
      </c>
      <c r="G28" s="159">
        <v>0</v>
      </c>
      <c r="H28" s="159">
        <v>0</v>
      </c>
      <c r="I28" s="159">
        <v>0</v>
      </c>
      <c r="J28" s="159">
        <v>0</v>
      </c>
      <c r="K28" s="159">
        <v>0</v>
      </c>
      <c r="L28" s="159">
        <v>1</v>
      </c>
      <c r="M28" s="159">
        <v>0</v>
      </c>
      <c r="N28" s="159"/>
      <c r="O28" s="159"/>
      <c r="P28" s="159"/>
      <c r="Q28" s="159"/>
      <c r="R28" s="161">
        <f t="shared" si="2"/>
        <v>1</v>
      </c>
    </row>
    <row r="29" spans="5:18" ht="16.5" x14ac:dyDescent="0.3">
      <c r="E29" s="393" t="s">
        <v>98</v>
      </c>
      <c r="F29" s="160">
        <v>1</v>
      </c>
      <c r="G29" s="159">
        <v>0</v>
      </c>
      <c r="H29" s="159">
        <v>1</v>
      </c>
      <c r="I29" s="159">
        <v>2</v>
      </c>
      <c r="J29" s="159">
        <v>1</v>
      </c>
      <c r="K29" s="159">
        <v>0</v>
      </c>
      <c r="L29" s="159">
        <v>2</v>
      </c>
      <c r="M29" s="159">
        <v>0</v>
      </c>
      <c r="N29" s="159"/>
      <c r="O29" s="159"/>
      <c r="P29" s="159"/>
      <c r="Q29" s="159"/>
      <c r="R29" s="161">
        <f t="shared" si="2"/>
        <v>7</v>
      </c>
    </row>
    <row r="30" spans="5:18" ht="16.5" x14ac:dyDescent="0.3">
      <c r="E30" s="393" t="s">
        <v>77</v>
      </c>
      <c r="F30" s="160">
        <v>1</v>
      </c>
      <c r="G30" s="159">
        <v>1</v>
      </c>
      <c r="H30" s="159">
        <v>3</v>
      </c>
      <c r="I30" s="159">
        <v>2</v>
      </c>
      <c r="J30" s="159">
        <v>3</v>
      </c>
      <c r="K30" s="159">
        <v>0</v>
      </c>
      <c r="L30" s="159">
        <v>1</v>
      </c>
      <c r="M30" s="159">
        <v>4</v>
      </c>
      <c r="N30" s="159"/>
      <c r="O30" s="159"/>
      <c r="P30" s="159"/>
      <c r="Q30" s="159"/>
      <c r="R30" s="161">
        <f t="shared" si="2"/>
        <v>15</v>
      </c>
    </row>
    <row r="31" spans="5:18" ht="17.25" thickBot="1" x14ac:dyDescent="0.35">
      <c r="E31" s="394" t="s">
        <v>43</v>
      </c>
      <c r="F31" s="163">
        <v>7</v>
      </c>
      <c r="G31" s="164">
        <v>11</v>
      </c>
      <c r="H31" s="164">
        <v>8</v>
      </c>
      <c r="I31" s="164">
        <v>8</v>
      </c>
      <c r="J31" s="164">
        <v>6</v>
      </c>
      <c r="K31" s="164">
        <v>2</v>
      </c>
      <c r="L31" s="164">
        <v>27</v>
      </c>
      <c r="M31" s="164">
        <v>16</v>
      </c>
      <c r="N31" s="164"/>
      <c r="O31" s="164"/>
      <c r="P31" s="164"/>
      <c r="Q31" s="164"/>
      <c r="R31" s="319">
        <f t="shared" si="2"/>
        <v>85</v>
      </c>
    </row>
    <row r="32" spans="5:18" ht="17.25" thickBot="1" x14ac:dyDescent="0.35">
      <c r="E32" s="388" t="s">
        <v>107</v>
      </c>
      <c r="F32" s="389">
        <f t="shared" ref="F32:M32" si="3">SUM(F25:F31)</f>
        <v>67</v>
      </c>
      <c r="G32" s="389">
        <f t="shared" si="3"/>
        <v>72</v>
      </c>
      <c r="H32" s="389">
        <f t="shared" si="3"/>
        <v>86</v>
      </c>
      <c r="I32" s="389">
        <f t="shared" si="3"/>
        <v>93</v>
      </c>
      <c r="J32" s="389">
        <f t="shared" si="3"/>
        <v>95</v>
      </c>
      <c r="K32" s="389">
        <f t="shared" si="3"/>
        <v>57</v>
      </c>
      <c r="L32" s="389">
        <f t="shared" si="3"/>
        <v>140</v>
      </c>
      <c r="M32" s="389">
        <f t="shared" si="3"/>
        <v>88</v>
      </c>
      <c r="N32" s="389"/>
      <c r="O32" s="389"/>
      <c r="P32" s="389"/>
      <c r="Q32" s="389"/>
      <c r="R32" s="389">
        <f t="shared" si="2"/>
        <v>698</v>
      </c>
    </row>
    <row r="33" spans="5:18" ht="16.5" x14ac:dyDescent="0.3">
      <c r="E33" s="391"/>
      <c r="F33" s="391"/>
      <c r="G33" s="391"/>
      <c r="H33" s="391"/>
      <c r="I33" s="391"/>
      <c r="J33" s="391"/>
      <c r="K33" s="391"/>
      <c r="L33" s="391"/>
      <c r="M33" s="391"/>
      <c r="N33" s="391"/>
      <c r="O33" s="391"/>
      <c r="P33" s="391"/>
      <c r="Q33" s="391"/>
      <c r="R33" s="391"/>
    </row>
    <row r="34" spans="5:18" ht="16.5" x14ac:dyDescent="0.3">
      <c r="E34" s="391"/>
      <c r="F34" s="391"/>
      <c r="G34" s="391"/>
      <c r="H34" s="391"/>
      <c r="I34" s="391"/>
      <c r="J34" s="391"/>
      <c r="K34" s="391"/>
      <c r="L34" s="391"/>
      <c r="M34" s="391"/>
      <c r="N34" s="391"/>
      <c r="O34" s="391"/>
      <c r="P34" s="391"/>
      <c r="Q34" s="391"/>
      <c r="R34" s="391"/>
    </row>
    <row r="35" spans="5:18" ht="16.5" x14ac:dyDescent="0.3">
      <c r="E35" s="391"/>
      <c r="F35" s="391"/>
      <c r="G35" s="391"/>
      <c r="H35" s="391"/>
      <c r="I35" s="391"/>
      <c r="J35" s="391"/>
      <c r="K35" s="391"/>
      <c r="L35" s="391"/>
      <c r="M35" s="391"/>
      <c r="N35" s="391"/>
      <c r="O35" s="391"/>
      <c r="P35" s="391"/>
      <c r="Q35" s="391"/>
      <c r="R35" s="391"/>
    </row>
    <row r="36" spans="5:18" ht="16.5" x14ac:dyDescent="0.3">
      <c r="E36" s="391"/>
      <c r="F36" s="391"/>
      <c r="G36" s="391"/>
      <c r="H36" s="391"/>
      <c r="I36" s="391"/>
      <c r="J36" s="391"/>
      <c r="K36" s="391"/>
      <c r="L36" s="391"/>
      <c r="M36" s="391"/>
      <c r="N36" s="391"/>
      <c r="O36" s="391"/>
      <c r="P36" s="391"/>
      <c r="Q36" s="391"/>
      <c r="R36" s="391"/>
    </row>
    <row r="37" spans="5:18" ht="16.5" x14ac:dyDescent="0.3">
      <c r="E37" s="391"/>
      <c r="F37" s="391"/>
      <c r="G37" s="391"/>
      <c r="H37" s="391"/>
      <c r="I37" s="391"/>
      <c r="J37" s="391"/>
      <c r="K37" s="391"/>
      <c r="L37" s="391"/>
      <c r="M37" s="391"/>
      <c r="N37" s="391"/>
      <c r="O37" s="391"/>
      <c r="P37" s="391"/>
      <c r="Q37" s="391"/>
      <c r="R37" s="391"/>
    </row>
    <row r="38" spans="5:18" ht="16.5" x14ac:dyDescent="0.3">
      <c r="E38" s="391"/>
      <c r="F38" s="391"/>
      <c r="G38" s="391"/>
      <c r="H38" s="391"/>
      <c r="I38" s="391"/>
      <c r="J38" s="391"/>
      <c r="K38" s="391"/>
      <c r="L38" s="391"/>
      <c r="M38" s="391"/>
      <c r="N38" s="391"/>
      <c r="O38" s="391"/>
      <c r="P38" s="391"/>
      <c r="Q38" s="391"/>
      <c r="R38" s="391"/>
    </row>
    <row r="39" spans="5:18" ht="16.5" x14ac:dyDescent="0.3">
      <c r="E39" s="391"/>
      <c r="F39" s="391"/>
      <c r="G39" s="391"/>
      <c r="H39" s="391"/>
      <c r="I39" s="391"/>
      <c r="J39" s="391"/>
      <c r="K39" s="391"/>
      <c r="L39" s="391"/>
      <c r="M39" s="391"/>
      <c r="N39" s="391"/>
      <c r="O39" s="391"/>
      <c r="P39" s="391"/>
      <c r="Q39" s="391"/>
      <c r="R39" s="391"/>
    </row>
    <row r="40" spans="5:18" ht="16.5" x14ac:dyDescent="0.3">
      <c r="E40" s="391"/>
      <c r="F40" s="391"/>
      <c r="G40" s="391"/>
      <c r="H40" s="391"/>
      <c r="I40" s="391"/>
      <c r="J40" s="391"/>
      <c r="K40" s="391"/>
      <c r="L40" s="391"/>
      <c r="M40" s="391"/>
      <c r="N40" s="391"/>
      <c r="O40" s="391"/>
      <c r="P40" s="391"/>
      <c r="Q40" s="391"/>
      <c r="R40" s="391"/>
    </row>
    <row r="41" spans="5:18" ht="17.25" thickBot="1" x14ac:dyDescent="0.35">
      <c r="E41" s="391"/>
      <c r="F41" s="391"/>
      <c r="G41" s="391"/>
      <c r="H41" s="391"/>
      <c r="I41" s="391"/>
      <c r="J41" s="391"/>
      <c r="K41" s="391"/>
      <c r="L41" s="391"/>
      <c r="M41" s="391"/>
      <c r="N41" s="391"/>
      <c r="O41" s="391"/>
      <c r="P41" s="391"/>
      <c r="Q41" s="391"/>
      <c r="R41" s="391"/>
    </row>
    <row r="42" spans="5:18" ht="21" thickBot="1" x14ac:dyDescent="0.35">
      <c r="E42" s="720" t="s">
        <v>419</v>
      </c>
      <c r="F42" s="721"/>
      <c r="G42" s="721"/>
      <c r="H42" s="721"/>
      <c r="I42" s="721"/>
      <c r="J42" s="721"/>
      <c r="K42" s="721"/>
      <c r="L42" s="721"/>
      <c r="M42" s="721"/>
      <c r="N42" s="721"/>
      <c r="O42" s="721"/>
      <c r="P42" s="721"/>
      <c r="Q42" s="721"/>
      <c r="R42" s="723"/>
    </row>
    <row r="43" spans="5:18" ht="16.5" thickBot="1" x14ac:dyDescent="0.3">
      <c r="E43" s="395" t="s">
        <v>104</v>
      </c>
      <c r="F43" s="396">
        <v>46023</v>
      </c>
      <c r="G43" s="396">
        <v>46054</v>
      </c>
      <c r="H43" s="396">
        <v>46082</v>
      </c>
      <c r="I43" s="396">
        <v>46113</v>
      </c>
      <c r="J43" s="396">
        <v>46143</v>
      </c>
      <c r="K43" s="396">
        <v>46174</v>
      </c>
      <c r="L43" s="396">
        <v>46204</v>
      </c>
      <c r="M43" s="396">
        <v>46235</v>
      </c>
      <c r="N43" s="396">
        <v>46266</v>
      </c>
      <c r="O43" s="396">
        <v>46296</v>
      </c>
      <c r="P43" s="396">
        <v>46327</v>
      </c>
      <c r="Q43" s="396">
        <v>46357</v>
      </c>
      <c r="R43" s="395" t="s">
        <v>106</v>
      </c>
    </row>
    <row r="44" spans="5:18" ht="16.5" x14ac:dyDescent="0.3">
      <c r="E44" s="397" t="s">
        <v>393</v>
      </c>
      <c r="F44" s="398">
        <v>0</v>
      </c>
      <c r="G44" s="399">
        <v>0</v>
      </c>
      <c r="H44" s="133">
        <v>4</v>
      </c>
      <c r="I44" s="399">
        <v>10</v>
      </c>
      <c r="J44" s="398">
        <v>6</v>
      </c>
      <c r="K44" s="399">
        <v>4</v>
      </c>
      <c r="L44" s="398">
        <v>9</v>
      </c>
      <c r="M44" s="399">
        <v>8</v>
      </c>
      <c r="N44" s="399"/>
      <c r="O44" s="399"/>
      <c r="P44" s="399"/>
      <c r="Q44" s="399"/>
      <c r="R44" s="399">
        <f>SUM(F44:Q44)</f>
        <v>41</v>
      </c>
    </row>
    <row r="45" spans="5:18" ht="16.5" x14ac:dyDescent="0.3">
      <c r="E45" s="397" t="s">
        <v>115</v>
      </c>
      <c r="F45" s="398">
        <v>0</v>
      </c>
      <c r="G45" s="399">
        <v>0</v>
      </c>
      <c r="H45" s="133">
        <v>0</v>
      </c>
      <c r="I45" s="399">
        <v>0</v>
      </c>
      <c r="J45" s="398">
        <v>0</v>
      </c>
      <c r="K45" s="399">
        <v>1</v>
      </c>
      <c r="L45" s="398">
        <v>1</v>
      </c>
      <c r="M45" s="399">
        <v>0</v>
      </c>
      <c r="N45" s="399"/>
      <c r="O45" s="399"/>
      <c r="P45" s="399"/>
      <c r="Q45" s="399"/>
      <c r="R45" s="399">
        <f>SUM(F45:Q45)</f>
        <v>2</v>
      </c>
    </row>
    <row r="46" spans="5:18" ht="14.25" customHeight="1" x14ac:dyDescent="0.3">
      <c r="E46" s="400" t="s">
        <v>35</v>
      </c>
      <c r="F46" s="399">
        <v>3</v>
      </c>
      <c r="G46" s="133">
        <v>0</v>
      </c>
      <c r="H46" s="133">
        <v>0</v>
      </c>
      <c r="I46" s="398">
        <v>2</v>
      </c>
      <c r="J46" s="399">
        <v>0</v>
      </c>
      <c r="K46" s="399">
        <v>1</v>
      </c>
      <c r="L46" s="399">
        <v>0</v>
      </c>
      <c r="M46" s="399">
        <v>2</v>
      </c>
      <c r="N46" s="399"/>
      <c r="O46" s="399"/>
      <c r="P46" s="399"/>
      <c r="Q46" s="399"/>
      <c r="R46" s="399">
        <f t="shared" ref="R46:R60" si="4">SUM(F46:Q46)</f>
        <v>8</v>
      </c>
    </row>
    <row r="47" spans="5:18" ht="16.5" x14ac:dyDescent="0.3">
      <c r="E47" s="400" t="s">
        <v>116</v>
      </c>
      <c r="F47" s="399">
        <v>0</v>
      </c>
      <c r="G47" s="133">
        <v>0</v>
      </c>
      <c r="H47" s="133">
        <v>0</v>
      </c>
      <c r="I47" s="398">
        <v>0</v>
      </c>
      <c r="J47" s="399">
        <v>0</v>
      </c>
      <c r="K47" s="399">
        <v>0</v>
      </c>
      <c r="L47" s="399">
        <v>0</v>
      </c>
      <c r="M47" s="399">
        <v>0</v>
      </c>
      <c r="N47" s="399"/>
      <c r="O47" s="399"/>
      <c r="P47" s="399"/>
      <c r="Q47" s="399"/>
      <c r="R47" s="399">
        <f t="shared" si="4"/>
        <v>0</v>
      </c>
    </row>
    <row r="48" spans="5:18" ht="16.5" x14ac:dyDescent="0.3">
      <c r="E48" s="400" t="s">
        <v>117</v>
      </c>
      <c r="F48" s="399">
        <v>0</v>
      </c>
      <c r="G48" s="133">
        <v>0</v>
      </c>
      <c r="H48" s="133">
        <v>1</v>
      </c>
      <c r="I48" s="398">
        <v>0</v>
      </c>
      <c r="J48" s="399">
        <v>0</v>
      </c>
      <c r="K48" s="399">
        <v>0</v>
      </c>
      <c r="L48" s="399">
        <v>2</v>
      </c>
      <c r="M48" s="399">
        <v>1</v>
      </c>
      <c r="N48" s="399"/>
      <c r="O48" s="399"/>
      <c r="P48" s="399"/>
      <c r="Q48" s="399"/>
      <c r="R48" s="399">
        <f>SUM(F48:Q48)</f>
        <v>4</v>
      </c>
    </row>
    <row r="49" spans="1:18" ht="16.5" x14ac:dyDescent="0.3">
      <c r="E49" s="393" t="s">
        <v>126</v>
      </c>
      <c r="F49" s="399">
        <v>0</v>
      </c>
      <c r="G49" s="133">
        <v>0</v>
      </c>
      <c r="H49" s="399">
        <v>0</v>
      </c>
      <c r="I49" s="398">
        <v>0</v>
      </c>
      <c r="J49" s="399">
        <v>0</v>
      </c>
      <c r="K49" s="399">
        <v>0</v>
      </c>
      <c r="L49" s="399">
        <v>0</v>
      </c>
      <c r="M49" s="399">
        <v>0</v>
      </c>
      <c r="N49" s="399"/>
      <c r="O49" s="399"/>
      <c r="P49" s="399"/>
      <c r="Q49" s="399"/>
      <c r="R49" s="399">
        <f t="shared" si="4"/>
        <v>0</v>
      </c>
    </row>
    <row r="50" spans="1:18" ht="16.5" x14ac:dyDescent="0.3">
      <c r="E50" s="393" t="s">
        <v>118</v>
      </c>
      <c r="F50" s="136">
        <v>0</v>
      </c>
      <c r="G50" s="127">
        <v>2</v>
      </c>
      <c r="H50" s="136">
        <v>3</v>
      </c>
      <c r="I50" s="401">
        <v>1</v>
      </c>
      <c r="J50" s="136">
        <v>2</v>
      </c>
      <c r="K50" s="136">
        <v>3</v>
      </c>
      <c r="L50" s="399">
        <v>5</v>
      </c>
      <c r="M50" s="399">
        <v>1</v>
      </c>
      <c r="N50" s="399"/>
      <c r="O50" s="399"/>
      <c r="P50" s="399"/>
      <c r="Q50" s="399"/>
      <c r="R50" s="399">
        <f t="shared" si="4"/>
        <v>17</v>
      </c>
    </row>
    <row r="51" spans="1:18" ht="16.5" x14ac:dyDescent="0.3">
      <c r="E51" s="400" t="s">
        <v>69</v>
      </c>
      <c r="F51" s="136">
        <v>0</v>
      </c>
      <c r="G51" s="136">
        <v>0</v>
      </c>
      <c r="H51" s="136">
        <v>1</v>
      </c>
      <c r="I51" s="136">
        <v>0</v>
      </c>
      <c r="J51" s="136">
        <v>0</v>
      </c>
      <c r="K51" s="136">
        <v>0</v>
      </c>
      <c r="L51" s="399">
        <v>0</v>
      </c>
      <c r="M51" s="399">
        <v>0</v>
      </c>
      <c r="N51" s="399"/>
      <c r="O51" s="399"/>
      <c r="P51" s="399"/>
      <c r="Q51" s="399"/>
      <c r="R51" s="399">
        <f t="shared" si="4"/>
        <v>1</v>
      </c>
    </row>
    <row r="52" spans="1:18" ht="16.5" x14ac:dyDescent="0.3">
      <c r="A52" s="21"/>
      <c r="E52" s="393" t="s">
        <v>82</v>
      </c>
      <c r="F52" s="136">
        <v>4</v>
      </c>
      <c r="G52" s="127">
        <v>0</v>
      </c>
      <c r="H52" s="136">
        <v>4</v>
      </c>
      <c r="I52" s="401">
        <v>4</v>
      </c>
      <c r="J52" s="136">
        <v>4</v>
      </c>
      <c r="K52" s="136">
        <v>4</v>
      </c>
      <c r="L52" s="399">
        <v>1</v>
      </c>
      <c r="M52" s="399">
        <v>1</v>
      </c>
      <c r="N52" s="399"/>
      <c r="O52" s="399"/>
      <c r="P52" s="399"/>
      <c r="Q52" s="399"/>
      <c r="R52" s="399">
        <f t="shared" si="4"/>
        <v>22</v>
      </c>
    </row>
    <row r="53" spans="1:18" ht="16.5" x14ac:dyDescent="0.3">
      <c r="A53" s="16"/>
      <c r="E53" s="393" t="s">
        <v>424</v>
      </c>
      <c r="F53" s="136">
        <v>1</v>
      </c>
      <c r="G53" s="127">
        <v>0</v>
      </c>
      <c r="H53" s="136">
        <v>1</v>
      </c>
      <c r="I53" s="401">
        <v>0</v>
      </c>
      <c r="J53" s="136">
        <v>0</v>
      </c>
      <c r="K53" s="136">
        <v>0</v>
      </c>
      <c r="L53" s="399">
        <v>0</v>
      </c>
      <c r="M53" s="399">
        <v>0</v>
      </c>
      <c r="N53" s="399"/>
      <c r="O53" s="399"/>
      <c r="P53" s="399"/>
      <c r="Q53" s="399"/>
      <c r="R53" s="399">
        <f t="shared" si="4"/>
        <v>2</v>
      </c>
    </row>
    <row r="54" spans="1:18" ht="16.5" x14ac:dyDescent="0.3">
      <c r="A54" s="16"/>
      <c r="E54" s="400" t="s">
        <v>120</v>
      </c>
      <c r="F54" s="136">
        <v>0</v>
      </c>
      <c r="G54" s="136">
        <v>0</v>
      </c>
      <c r="H54" s="136">
        <v>21</v>
      </c>
      <c r="I54" s="136">
        <v>25</v>
      </c>
      <c r="J54" s="136">
        <v>0</v>
      </c>
      <c r="K54" s="136">
        <v>0</v>
      </c>
      <c r="L54" s="399">
        <v>0</v>
      </c>
      <c r="M54" s="399">
        <v>0</v>
      </c>
      <c r="N54" s="399"/>
      <c r="O54" s="399"/>
      <c r="P54" s="399"/>
      <c r="Q54" s="399"/>
      <c r="R54" s="399">
        <f t="shared" si="4"/>
        <v>46</v>
      </c>
    </row>
    <row r="55" spans="1:18" ht="14.25" customHeight="1" x14ac:dyDescent="0.3">
      <c r="E55" s="393" t="s">
        <v>70</v>
      </c>
      <c r="F55" s="136">
        <v>1</v>
      </c>
      <c r="G55" s="127">
        <v>3</v>
      </c>
      <c r="H55" s="136">
        <v>6</v>
      </c>
      <c r="I55" s="401">
        <v>21</v>
      </c>
      <c r="J55" s="136">
        <v>6</v>
      </c>
      <c r="K55" s="136">
        <v>9</v>
      </c>
      <c r="L55" s="399">
        <v>8</v>
      </c>
      <c r="M55" s="399">
        <v>7</v>
      </c>
      <c r="N55" s="399"/>
      <c r="O55" s="399"/>
      <c r="P55" s="399"/>
      <c r="Q55" s="399"/>
      <c r="R55" s="399">
        <f t="shared" si="4"/>
        <v>61</v>
      </c>
    </row>
    <row r="56" spans="1:18" ht="16.5" x14ac:dyDescent="0.3">
      <c r="E56" s="393" t="s">
        <v>121</v>
      </c>
      <c r="F56" s="136">
        <v>15</v>
      </c>
      <c r="G56" s="127">
        <v>14</v>
      </c>
      <c r="H56" s="136">
        <v>0</v>
      </c>
      <c r="I56" s="401">
        <v>0</v>
      </c>
      <c r="J56" s="136">
        <v>30</v>
      </c>
      <c r="K56" s="136">
        <v>15</v>
      </c>
      <c r="L56" s="399">
        <v>41</v>
      </c>
      <c r="M56" s="399">
        <v>25</v>
      </c>
      <c r="N56" s="399"/>
      <c r="O56" s="399"/>
      <c r="P56" s="399"/>
      <c r="Q56" s="399"/>
      <c r="R56" s="399">
        <f t="shared" si="4"/>
        <v>140</v>
      </c>
    </row>
    <row r="57" spans="1:18" ht="16.5" x14ac:dyDescent="0.3">
      <c r="E57" s="393" t="s">
        <v>612</v>
      </c>
      <c r="F57" s="136">
        <v>0</v>
      </c>
      <c r="G57" s="127">
        <v>0</v>
      </c>
      <c r="H57" s="136">
        <v>0</v>
      </c>
      <c r="I57" s="401">
        <v>0</v>
      </c>
      <c r="J57" s="136">
        <v>0</v>
      </c>
      <c r="K57" s="136">
        <v>0</v>
      </c>
      <c r="L57" s="399">
        <v>0</v>
      </c>
      <c r="M57" s="399">
        <v>1</v>
      </c>
      <c r="N57" s="399"/>
      <c r="O57" s="399"/>
      <c r="P57" s="399"/>
      <c r="Q57" s="399"/>
      <c r="R57" s="399">
        <f t="shared" si="4"/>
        <v>1</v>
      </c>
    </row>
    <row r="58" spans="1:18" ht="16.5" x14ac:dyDescent="0.3">
      <c r="E58" s="393" t="s">
        <v>122</v>
      </c>
      <c r="F58" s="136">
        <v>0</v>
      </c>
      <c r="G58" s="127">
        <v>0</v>
      </c>
      <c r="H58" s="136">
        <v>0</v>
      </c>
      <c r="I58" s="401">
        <v>0</v>
      </c>
      <c r="J58" s="136">
        <v>0</v>
      </c>
      <c r="K58" s="136">
        <v>0</v>
      </c>
      <c r="L58" s="399">
        <v>0</v>
      </c>
      <c r="M58" s="399">
        <v>0</v>
      </c>
      <c r="N58" s="399"/>
      <c r="O58" s="399"/>
      <c r="P58" s="399"/>
      <c r="Q58" s="399"/>
      <c r="R58" s="399">
        <f t="shared" si="4"/>
        <v>0</v>
      </c>
    </row>
    <row r="59" spans="1:18" ht="16.5" x14ac:dyDescent="0.3">
      <c r="E59" s="393" t="s">
        <v>50</v>
      </c>
      <c r="F59" s="136">
        <v>4</v>
      </c>
      <c r="G59" s="127">
        <v>3</v>
      </c>
      <c r="H59" s="136">
        <v>8</v>
      </c>
      <c r="I59" s="401">
        <v>3</v>
      </c>
      <c r="J59" s="136">
        <v>4</v>
      </c>
      <c r="K59" s="136">
        <v>7</v>
      </c>
      <c r="L59" s="399">
        <v>10</v>
      </c>
      <c r="M59" s="399">
        <v>3</v>
      </c>
      <c r="N59" s="399"/>
      <c r="O59" s="399"/>
      <c r="P59" s="399"/>
      <c r="Q59" s="399"/>
      <c r="R59" s="399">
        <f t="shared" si="4"/>
        <v>42</v>
      </c>
    </row>
    <row r="60" spans="1:18" ht="17.25" thickBot="1" x14ac:dyDescent="0.35">
      <c r="E60" s="402" t="s">
        <v>51</v>
      </c>
      <c r="F60" s="403">
        <v>0</v>
      </c>
      <c r="G60" s="134">
        <v>0</v>
      </c>
      <c r="H60" s="404">
        <v>0</v>
      </c>
      <c r="I60" s="188">
        <v>0</v>
      </c>
      <c r="J60" s="404">
        <v>0</v>
      </c>
      <c r="K60" s="404">
        <v>1</v>
      </c>
      <c r="L60" s="140">
        <v>0</v>
      </c>
      <c r="M60" s="140">
        <v>1</v>
      </c>
      <c r="N60" s="140"/>
      <c r="O60" s="140"/>
      <c r="P60" s="140"/>
      <c r="Q60" s="140"/>
      <c r="R60" s="399">
        <f t="shared" si="4"/>
        <v>2</v>
      </c>
    </row>
    <row r="61" spans="1:18" ht="17.25" thickBot="1" x14ac:dyDescent="0.35">
      <c r="E61" s="405" t="s">
        <v>107</v>
      </c>
      <c r="F61" s="390">
        <f t="shared" ref="F61:G61" si="5">SUM(F46:F60)</f>
        <v>28</v>
      </c>
      <c r="G61" s="390">
        <f t="shared" si="5"/>
        <v>22</v>
      </c>
      <c r="H61" s="390">
        <f t="shared" ref="H61:N61" si="6">SUM(H44:H60)</f>
        <v>49</v>
      </c>
      <c r="I61" s="390">
        <f t="shared" si="6"/>
        <v>66</v>
      </c>
      <c r="J61" s="390">
        <f t="shared" si="6"/>
        <v>52</v>
      </c>
      <c r="K61" s="390">
        <f t="shared" si="6"/>
        <v>45</v>
      </c>
      <c r="L61" s="390">
        <f t="shared" si="6"/>
        <v>77</v>
      </c>
      <c r="M61" s="390">
        <f t="shared" si="6"/>
        <v>50</v>
      </c>
      <c r="N61" s="390">
        <f t="shared" si="6"/>
        <v>0</v>
      </c>
      <c r="O61" s="390">
        <v>0</v>
      </c>
      <c r="P61" s="390"/>
      <c r="Q61" s="390"/>
      <c r="R61" s="390">
        <f>SUM(F61:Q61)</f>
        <v>389</v>
      </c>
    </row>
    <row r="64" spans="1:18" x14ac:dyDescent="0.25">
      <c r="R64">
        <f>R13+R32+R61</f>
        <v>1723</v>
      </c>
    </row>
    <row r="65" spans="5:15" x14ac:dyDescent="0.25">
      <c r="F65">
        <f>F13+F32+F61</f>
        <v>178</v>
      </c>
      <c r="G65">
        <f t="shared" ref="G65:O65" si="7">G13+G32+G61</f>
        <v>175</v>
      </c>
      <c r="H65">
        <f t="shared" si="7"/>
        <v>202</v>
      </c>
      <c r="I65">
        <f t="shared" si="7"/>
        <v>271</v>
      </c>
      <c r="J65">
        <f t="shared" si="7"/>
        <v>219</v>
      </c>
      <c r="K65">
        <f t="shared" si="7"/>
        <v>180</v>
      </c>
      <c r="L65">
        <f t="shared" si="7"/>
        <v>305</v>
      </c>
      <c r="M65">
        <f t="shared" si="7"/>
        <v>193</v>
      </c>
      <c r="N65">
        <f t="shared" si="7"/>
        <v>0</v>
      </c>
      <c r="O65">
        <f t="shared" si="7"/>
        <v>0</v>
      </c>
    </row>
    <row r="71" spans="5:15" x14ac:dyDescent="0.25">
      <c r="E71" t="s">
        <v>150</v>
      </c>
      <c r="F71">
        <f>R13</f>
        <v>636</v>
      </c>
      <c r="G71" s="91">
        <f>F71/F74</f>
        <v>0.36912362159024958</v>
      </c>
    </row>
    <row r="72" spans="5:15" x14ac:dyDescent="0.25">
      <c r="E72" t="s">
        <v>300</v>
      </c>
      <c r="F72">
        <f>R32</f>
        <v>698</v>
      </c>
      <c r="G72" s="91">
        <f>F72/F74</f>
        <v>0.40510737086477072</v>
      </c>
    </row>
    <row r="73" spans="5:15" x14ac:dyDescent="0.25">
      <c r="E73" t="s">
        <v>149</v>
      </c>
      <c r="F73">
        <f>R61</f>
        <v>389</v>
      </c>
      <c r="G73" s="91">
        <f>F73/F74</f>
        <v>0.22576900754497969</v>
      </c>
    </row>
    <row r="74" spans="5:15" x14ac:dyDescent="0.25">
      <c r="F74">
        <f>SUM(F71:F73)</f>
        <v>1723</v>
      </c>
    </row>
  </sheetData>
  <mergeCells count="3">
    <mergeCell ref="E5:R5"/>
    <mergeCell ref="E23:R23"/>
    <mergeCell ref="E42:R4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1097-3FA5-4883-8C27-60EE689674EC}">
  <dimension ref="D4:Q72"/>
  <sheetViews>
    <sheetView topLeftCell="D50" zoomScale="90" zoomScaleNormal="90" workbookViewId="0">
      <selection activeCell="D58" sqref="D58"/>
    </sheetView>
  </sheetViews>
  <sheetFormatPr baseColWidth="10" defaultRowHeight="15" x14ac:dyDescent="0.25"/>
  <cols>
    <col min="4" max="4" width="103.28515625" customWidth="1"/>
    <col min="5" max="5" width="9.28515625" bestFit="1" customWidth="1"/>
    <col min="6" max="6" width="8.85546875" bestFit="1" customWidth="1"/>
    <col min="7" max="7" width="9.85546875" bestFit="1" customWidth="1"/>
    <col min="8" max="8" width="9.140625" bestFit="1" customWidth="1"/>
    <col min="9" max="9" width="10.140625" bestFit="1" customWidth="1"/>
    <col min="10" max="10" width="9.140625" bestFit="1" customWidth="1"/>
    <col min="11" max="11" width="8.42578125" bestFit="1" customWidth="1"/>
    <col min="12" max="12" width="9.28515625" bestFit="1" customWidth="1"/>
    <col min="13" max="13" width="9" bestFit="1" customWidth="1"/>
    <col min="14" max="14" width="8.28515625" bestFit="1" customWidth="1"/>
    <col min="15" max="15" width="9" bestFit="1" customWidth="1"/>
    <col min="16" max="16" width="8.42578125" bestFit="1" customWidth="1"/>
    <col min="17" max="17" width="6.7109375" bestFit="1" customWidth="1"/>
  </cols>
  <sheetData>
    <row r="4" spans="4:17" ht="15.75" thickBot="1" x14ac:dyDescent="0.3"/>
    <row r="5" spans="4:17" ht="21" thickBot="1" x14ac:dyDescent="0.35">
      <c r="D5" s="716" t="s">
        <v>123</v>
      </c>
      <c r="E5" s="717"/>
      <c r="F5" s="717"/>
      <c r="G5" s="718"/>
      <c r="H5" s="718"/>
      <c r="I5" s="718"/>
      <c r="J5" s="718"/>
      <c r="K5" s="718"/>
      <c r="L5" s="718"/>
      <c r="M5" s="718"/>
      <c r="N5" s="718"/>
      <c r="O5" s="718"/>
      <c r="P5" s="718"/>
      <c r="Q5" s="719"/>
    </row>
    <row r="6" spans="4:17" ht="16.5" thickBot="1" x14ac:dyDescent="0.3">
      <c r="D6" s="380" t="s">
        <v>104</v>
      </c>
      <c r="E6" s="381">
        <v>46023</v>
      </c>
      <c r="F6" s="381">
        <v>46054</v>
      </c>
      <c r="G6" s="381">
        <v>46082</v>
      </c>
      <c r="H6" s="381">
        <v>46113</v>
      </c>
      <c r="I6" s="381">
        <v>46143</v>
      </c>
      <c r="J6" s="381">
        <v>46174</v>
      </c>
      <c r="K6" s="381">
        <v>46204</v>
      </c>
      <c r="L6" s="381">
        <v>46235</v>
      </c>
      <c r="M6" s="381">
        <v>46266</v>
      </c>
      <c r="N6" s="381">
        <v>46296</v>
      </c>
      <c r="O6" s="381">
        <v>46327</v>
      </c>
      <c r="P6" s="381">
        <v>46357</v>
      </c>
      <c r="Q6" s="380" t="s">
        <v>106</v>
      </c>
    </row>
    <row r="7" spans="4:17" ht="16.5" x14ac:dyDescent="0.3">
      <c r="D7" s="382" t="s">
        <v>96</v>
      </c>
      <c r="E7" s="207">
        <v>1</v>
      </c>
      <c r="F7" s="207">
        <v>1</v>
      </c>
      <c r="G7" s="383">
        <v>2</v>
      </c>
      <c r="H7" s="383">
        <v>3</v>
      </c>
      <c r="I7" s="383">
        <v>2</v>
      </c>
      <c r="J7" s="383">
        <v>2</v>
      </c>
      <c r="K7" s="383">
        <v>2</v>
      </c>
      <c r="L7" s="383">
        <v>0</v>
      </c>
      <c r="M7" s="383"/>
      <c r="N7" s="383"/>
      <c r="O7" s="383"/>
      <c r="P7" s="383"/>
      <c r="Q7" s="318">
        <f t="shared" ref="Q7:Q12" si="0">SUM(E7:P7)</f>
        <v>13</v>
      </c>
    </row>
    <row r="8" spans="4:17" ht="16.5" x14ac:dyDescent="0.3">
      <c r="D8" s="384" t="s">
        <v>112</v>
      </c>
      <c r="E8" s="159">
        <v>21</v>
      </c>
      <c r="F8" s="159">
        <v>34</v>
      </c>
      <c r="G8" s="385">
        <v>21</v>
      </c>
      <c r="H8" s="385">
        <v>26</v>
      </c>
      <c r="I8" s="385">
        <v>14</v>
      </c>
      <c r="J8" s="385">
        <v>14</v>
      </c>
      <c r="K8" s="385">
        <v>28</v>
      </c>
      <c r="L8" s="385">
        <v>7</v>
      </c>
      <c r="M8" s="385"/>
      <c r="N8" s="385"/>
      <c r="O8" s="385"/>
      <c r="P8" s="385"/>
      <c r="Q8" s="161">
        <f t="shared" si="0"/>
        <v>165</v>
      </c>
    </row>
    <row r="9" spans="4:17" ht="16.5" x14ac:dyDescent="0.3">
      <c r="D9" s="384" t="s">
        <v>94</v>
      </c>
      <c r="E9" s="159">
        <v>1</v>
      </c>
      <c r="F9" s="159">
        <v>5</v>
      </c>
      <c r="G9" s="385">
        <v>1</v>
      </c>
      <c r="H9" s="385">
        <v>1</v>
      </c>
      <c r="I9" s="385">
        <v>3</v>
      </c>
      <c r="J9" s="385">
        <v>5</v>
      </c>
      <c r="K9" s="385">
        <v>2</v>
      </c>
      <c r="L9" s="385">
        <v>6</v>
      </c>
      <c r="M9" s="385"/>
      <c r="N9" s="385"/>
      <c r="O9" s="385"/>
      <c r="P9" s="385"/>
      <c r="Q9" s="161">
        <f t="shared" si="0"/>
        <v>24</v>
      </c>
    </row>
    <row r="10" spans="4:17" ht="16.5" x14ac:dyDescent="0.3">
      <c r="D10" s="384" t="s">
        <v>31</v>
      </c>
      <c r="E10" s="159">
        <v>28</v>
      </c>
      <c r="F10" s="159">
        <v>18</v>
      </c>
      <c r="G10" s="385">
        <v>25</v>
      </c>
      <c r="H10" s="385">
        <v>21</v>
      </c>
      <c r="I10" s="385">
        <v>18</v>
      </c>
      <c r="J10" s="385">
        <v>35</v>
      </c>
      <c r="K10" s="385">
        <v>34</v>
      </c>
      <c r="L10" s="385">
        <v>30</v>
      </c>
      <c r="M10" s="385"/>
      <c r="N10" s="385"/>
      <c r="O10" s="385"/>
      <c r="P10" s="385"/>
      <c r="Q10" s="161">
        <f t="shared" si="0"/>
        <v>209</v>
      </c>
    </row>
    <row r="11" spans="4:17" ht="17.25" thickBot="1" x14ac:dyDescent="0.35">
      <c r="D11" s="386" t="s">
        <v>37</v>
      </c>
      <c r="E11" s="178">
        <v>33</v>
      </c>
      <c r="F11" s="178">
        <v>15</v>
      </c>
      <c r="G11" s="387">
        <v>18</v>
      </c>
      <c r="H11" s="387">
        <v>58</v>
      </c>
      <c r="I11" s="387">
        <v>26</v>
      </c>
      <c r="J11" s="387">
        <v>21</v>
      </c>
      <c r="K11" s="387">
        <v>19</v>
      </c>
      <c r="L11" s="387">
        <v>13</v>
      </c>
      <c r="M11" s="387"/>
      <c r="N11" s="387"/>
      <c r="O11" s="387"/>
      <c r="P11" s="387"/>
      <c r="Q11" s="320">
        <f t="shared" si="0"/>
        <v>203</v>
      </c>
    </row>
    <row r="12" spans="4:17" ht="17.25" thickBot="1" x14ac:dyDescent="0.35">
      <c r="D12" s="388" t="s">
        <v>107</v>
      </c>
      <c r="E12" s="390">
        <f t="shared" ref="E12:P12" si="1">SUM(E7:E11)</f>
        <v>84</v>
      </c>
      <c r="F12" s="390">
        <f t="shared" si="1"/>
        <v>73</v>
      </c>
      <c r="G12" s="390">
        <f t="shared" si="1"/>
        <v>67</v>
      </c>
      <c r="H12" s="390">
        <f t="shared" si="1"/>
        <v>109</v>
      </c>
      <c r="I12" s="390">
        <f t="shared" si="1"/>
        <v>63</v>
      </c>
      <c r="J12" s="390">
        <f t="shared" si="1"/>
        <v>77</v>
      </c>
      <c r="K12" s="390">
        <f t="shared" si="1"/>
        <v>85</v>
      </c>
      <c r="L12" s="390">
        <f t="shared" si="1"/>
        <v>56</v>
      </c>
      <c r="M12" s="390">
        <f t="shared" si="1"/>
        <v>0</v>
      </c>
      <c r="N12" s="390">
        <f t="shared" si="1"/>
        <v>0</v>
      </c>
      <c r="O12" s="390">
        <f t="shared" si="1"/>
        <v>0</v>
      </c>
      <c r="P12" s="390">
        <f t="shared" si="1"/>
        <v>0</v>
      </c>
      <c r="Q12" s="390">
        <f t="shared" si="0"/>
        <v>614</v>
      </c>
    </row>
    <row r="13" spans="4:17" ht="16.5" x14ac:dyDescent="0.3">
      <c r="D13" s="391"/>
      <c r="E13" s="391"/>
      <c r="F13" s="391"/>
      <c r="G13" s="391"/>
      <c r="H13" s="391"/>
      <c r="I13" s="391"/>
      <c r="J13" s="391"/>
      <c r="K13" s="391"/>
      <c r="L13" s="391"/>
      <c r="M13" s="391"/>
      <c r="N13" s="391"/>
      <c r="O13" s="391"/>
      <c r="P13" s="391"/>
      <c r="Q13" s="391"/>
    </row>
    <row r="14" spans="4:17" ht="16.5" x14ac:dyDescent="0.3">
      <c r="D14" s="391"/>
      <c r="E14" s="391"/>
      <c r="F14" s="391"/>
      <c r="G14" s="391"/>
      <c r="H14" s="391"/>
      <c r="I14" s="391"/>
      <c r="J14" s="391"/>
      <c r="K14" s="391"/>
      <c r="L14" s="391"/>
      <c r="M14" s="391"/>
      <c r="N14" s="391"/>
      <c r="O14" s="391"/>
      <c r="P14" s="391"/>
      <c r="Q14" s="391"/>
    </row>
    <row r="15" spans="4:17" ht="16.5" x14ac:dyDescent="0.3">
      <c r="D15" s="391"/>
      <c r="E15" s="391"/>
      <c r="F15" s="391"/>
      <c r="G15" s="391"/>
      <c r="H15" s="391"/>
      <c r="I15" s="391"/>
      <c r="J15" s="391"/>
      <c r="K15" s="391"/>
      <c r="L15" s="391"/>
      <c r="M15" s="391"/>
      <c r="N15" s="391"/>
      <c r="O15" s="391"/>
      <c r="P15" s="391"/>
      <c r="Q15" s="391"/>
    </row>
    <row r="16" spans="4:17" ht="16.5" x14ac:dyDescent="0.3">
      <c r="D16" s="391"/>
      <c r="E16" s="391"/>
      <c r="F16" s="391"/>
      <c r="G16" s="391"/>
      <c r="H16" s="391"/>
      <c r="I16" s="391"/>
      <c r="J16" s="391"/>
      <c r="K16" s="391"/>
      <c r="L16" s="391"/>
      <c r="M16" s="391"/>
      <c r="N16" s="391"/>
      <c r="O16" s="391"/>
      <c r="P16" s="391"/>
      <c r="Q16" s="391"/>
    </row>
    <row r="17" spans="4:17" ht="16.5" x14ac:dyDescent="0.3">
      <c r="D17" s="391"/>
      <c r="E17" s="391"/>
      <c r="F17" s="391"/>
      <c r="G17" s="391"/>
      <c r="H17" s="391"/>
      <c r="I17" s="391"/>
      <c r="J17" s="391"/>
      <c r="K17" s="391"/>
      <c r="L17" s="391"/>
      <c r="M17" s="391"/>
      <c r="N17" s="391"/>
      <c r="O17" s="391"/>
      <c r="P17" s="391"/>
      <c r="Q17" s="391"/>
    </row>
    <row r="18" spans="4:17" ht="16.5" x14ac:dyDescent="0.3">
      <c r="D18" s="391"/>
      <c r="E18" s="391"/>
      <c r="F18" s="391"/>
      <c r="G18" s="391"/>
      <c r="H18" s="391"/>
      <c r="I18" s="391"/>
      <c r="J18" s="391"/>
      <c r="K18" s="391"/>
      <c r="L18" s="391"/>
      <c r="M18" s="391"/>
      <c r="N18" s="391"/>
      <c r="O18" s="391"/>
      <c r="P18" s="391"/>
      <c r="Q18" s="391"/>
    </row>
    <row r="19" spans="4:17" ht="16.5" x14ac:dyDescent="0.3">
      <c r="D19" s="391"/>
      <c r="E19" s="391"/>
      <c r="F19" s="391"/>
      <c r="G19" s="391"/>
      <c r="H19" s="391"/>
      <c r="I19" s="391"/>
      <c r="J19" s="391"/>
      <c r="K19" s="391"/>
      <c r="L19" s="391"/>
      <c r="M19" s="391"/>
      <c r="N19" s="391"/>
      <c r="O19" s="391"/>
      <c r="P19" s="391"/>
      <c r="Q19" s="391"/>
    </row>
    <row r="20" spans="4:17" ht="16.5" x14ac:dyDescent="0.3">
      <c r="D20" s="391"/>
      <c r="E20" s="391"/>
      <c r="F20" s="391"/>
      <c r="G20" s="391"/>
      <c r="H20" s="391"/>
      <c r="I20" s="391"/>
      <c r="J20" s="391"/>
      <c r="K20" s="391"/>
      <c r="L20" s="391"/>
      <c r="M20" s="391"/>
      <c r="N20" s="391"/>
      <c r="O20" s="391"/>
      <c r="P20" s="391"/>
      <c r="Q20" s="391"/>
    </row>
    <row r="21" spans="4:17" ht="16.5" x14ac:dyDescent="0.3">
      <c r="D21" s="391"/>
      <c r="E21" s="391"/>
      <c r="F21" s="391"/>
      <c r="G21" s="391"/>
      <c r="H21" s="391"/>
      <c r="I21" s="391"/>
      <c r="J21" s="391"/>
      <c r="K21" s="391"/>
      <c r="L21" s="391"/>
      <c r="M21" s="391"/>
      <c r="N21" s="391"/>
      <c r="O21" s="391"/>
      <c r="P21" s="391"/>
      <c r="Q21" s="391"/>
    </row>
    <row r="22" spans="4:17" ht="16.5" x14ac:dyDescent="0.3">
      <c r="D22" s="391"/>
      <c r="E22" s="391"/>
      <c r="F22" s="391"/>
      <c r="G22" s="391"/>
      <c r="H22" s="391"/>
      <c r="I22" s="391"/>
      <c r="J22" s="391"/>
      <c r="K22" s="391"/>
      <c r="L22" s="391"/>
      <c r="M22" s="391"/>
      <c r="N22" s="391"/>
      <c r="O22" s="391"/>
      <c r="P22" s="391"/>
      <c r="Q22" s="391"/>
    </row>
    <row r="23" spans="4:17" ht="17.25" thickBot="1" x14ac:dyDescent="0.35">
      <c r="D23" s="391"/>
      <c r="E23" s="391"/>
      <c r="F23" s="391"/>
      <c r="G23" s="391"/>
      <c r="H23" s="391"/>
      <c r="I23" s="391"/>
      <c r="J23" s="391"/>
      <c r="K23" s="391"/>
      <c r="L23" s="391"/>
      <c r="M23" s="391"/>
      <c r="N23" s="391"/>
      <c r="O23" s="391"/>
      <c r="P23" s="391"/>
      <c r="Q23" s="391"/>
    </row>
    <row r="24" spans="4:17" ht="21" thickBot="1" x14ac:dyDescent="0.35">
      <c r="D24" s="716" t="s">
        <v>124</v>
      </c>
      <c r="E24" s="717"/>
      <c r="F24" s="717"/>
      <c r="G24" s="718"/>
      <c r="H24" s="718"/>
      <c r="I24" s="718"/>
      <c r="J24" s="718"/>
      <c r="K24" s="718"/>
      <c r="L24" s="718"/>
      <c r="M24" s="718"/>
      <c r="N24" s="718"/>
      <c r="O24" s="718"/>
      <c r="P24" s="718"/>
      <c r="Q24" s="719"/>
    </row>
    <row r="25" spans="4:17" ht="16.5" thickBot="1" x14ac:dyDescent="0.3">
      <c r="D25" s="380" t="s">
        <v>104</v>
      </c>
      <c r="E25" s="381">
        <v>46023</v>
      </c>
      <c r="F25" s="381">
        <v>46054</v>
      </c>
      <c r="G25" s="381">
        <v>46082</v>
      </c>
      <c r="H25" s="381">
        <v>46113</v>
      </c>
      <c r="I25" s="381">
        <v>46143</v>
      </c>
      <c r="J25" s="381">
        <v>46174</v>
      </c>
      <c r="K25" s="381">
        <v>46204</v>
      </c>
      <c r="L25" s="381">
        <v>46235</v>
      </c>
      <c r="M25" s="381">
        <v>46266</v>
      </c>
      <c r="N25" s="381">
        <v>46296</v>
      </c>
      <c r="O25" s="381">
        <v>46327</v>
      </c>
      <c r="P25" s="381">
        <v>46357</v>
      </c>
      <c r="Q25" s="380" t="s">
        <v>106</v>
      </c>
    </row>
    <row r="26" spans="4:17" ht="16.5" x14ac:dyDescent="0.3">
      <c r="D26" s="393" t="s">
        <v>23</v>
      </c>
      <c r="E26" s="205">
        <v>33</v>
      </c>
      <c r="F26" s="207">
        <v>47</v>
      </c>
      <c r="G26" s="383">
        <v>43</v>
      </c>
      <c r="H26" s="383">
        <v>72</v>
      </c>
      <c r="I26" s="383">
        <v>43</v>
      </c>
      <c r="J26" s="383">
        <v>36</v>
      </c>
      <c r="K26" s="383">
        <v>75</v>
      </c>
      <c r="L26" s="383">
        <v>51</v>
      </c>
      <c r="M26" s="383"/>
      <c r="N26" s="383"/>
      <c r="O26" s="383"/>
      <c r="P26" s="383"/>
      <c r="Q26" s="318">
        <f>SUM(E26:P26)</f>
        <v>400</v>
      </c>
    </row>
    <row r="27" spans="4:17" ht="16.5" x14ac:dyDescent="0.3">
      <c r="D27" s="400" t="s">
        <v>113</v>
      </c>
      <c r="E27" s="191">
        <v>0</v>
      </c>
      <c r="F27" s="177">
        <v>0</v>
      </c>
      <c r="G27" s="407">
        <v>0</v>
      </c>
      <c r="H27" s="407">
        <v>0</v>
      </c>
      <c r="I27" s="407">
        <v>0</v>
      </c>
      <c r="J27" s="407">
        <v>0</v>
      </c>
      <c r="K27" s="407">
        <v>0</v>
      </c>
      <c r="L27" s="407">
        <v>0</v>
      </c>
      <c r="M27" s="407"/>
      <c r="N27" s="407"/>
      <c r="O27" s="407"/>
      <c r="P27" s="407"/>
      <c r="Q27" s="408">
        <f>SUM(E27:P27)</f>
        <v>0</v>
      </c>
    </row>
    <row r="28" spans="4:17" ht="16.5" x14ac:dyDescent="0.3">
      <c r="D28" s="393" t="s">
        <v>79</v>
      </c>
      <c r="E28" s="160">
        <v>0</v>
      </c>
      <c r="F28" s="159">
        <v>0</v>
      </c>
      <c r="G28" s="159">
        <v>0</v>
      </c>
      <c r="H28" s="159">
        <v>0</v>
      </c>
      <c r="I28" s="159">
        <v>1</v>
      </c>
      <c r="J28" s="407">
        <v>0</v>
      </c>
      <c r="K28" s="407">
        <v>2</v>
      </c>
      <c r="L28" s="407">
        <v>0</v>
      </c>
      <c r="M28" s="407"/>
      <c r="N28" s="407"/>
      <c r="O28" s="407"/>
      <c r="P28" s="407"/>
      <c r="Q28" s="408"/>
    </row>
    <row r="29" spans="4:17" ht="16.5" x14ac:dyDescent="0.3">
      <c r="D29" s="393" t="s">
        <v>114</v>
      </c>
      <c r="E29" s="160">
        <v>0</v>
      </c>
      <c r="F29" s="159">
        <v>0</v>
      </c>
      <c r="G29" s="385">
        <v>0</v>
      </c>
      <c r="H29" s="385">
        <v>0</v>
      </c>
      <c r="I29" s="385">
        <v>0</v>
      </c>
      <c r="J29" s="385">
        <v>0</v>
      </c>
      <c r="K29" s="385">
        <v>1</v>
      </c>
      <c r="L29" s="407">
        <v>0</v>
      </c>
      <c r="M29" s="407"/>
      <c r="N29" s="407"/>
      <c r="O29" s="407"/>
      <c r="P29" s="407"/>
      <c r="Q29" s="408">
        <f>SUM(E29:P29)</f>
        <v>1</v>
      </c>
    </row>
    <row r="30" spans="4:17" ht="17.25" thickBot="1" x14ac:dyDescent="0.35">
      <c r="D30" s="393" t="s">
        <v>77</v>
      </c>
      <c r="E30" s="209">
        <v>1</v>
      </c>
      <c r="F30" s="178">
        <v>2</v>
      </c>
      <c r="G30" s="387">
        <v>3</v>
      </c>
      <c r="H30" s="387">
        <v>2</v>
      </c>
      <c r="I30" s="387">
        <v>3</v>
      </c>
      <c r="J30" s="387">
        <v>0</v>
      </c>
      <c r="K30" s="387">
        <v>0</v>
      </c>
      <c r="L30" s="280">
        <v>4</v>
      </c>
      <c r="M30" s="280"/>
      <c r="N30" s="280"/>
      <c r="O30" s="280"/>
      <c r="P30" s="280"/>
      <c r="Q30" s="409">
        <f>SUM(E30:P30)</f>
        <v>15</v>
      </c>
    </row>
    <row r="31" spans="4:17" ht="17.25" thickBot="1" x14ac:dyDescent="0.35">
      <c r="D31" s="388" t="s">
        <v>107</v>
      </c>
      <c r="E31" s="390">
        <f t="shared" ref="E31:P31" si="2">SUM(E26:E30)</f>
        <v>34</v>
      </c>
      <c r="F31" s="390">
        <f t="shared" si="2"/>
        <v>49</v>
      </c>
      <c r="G31" s="390">
        <f t="shared" si="2"/>
        <v>46</v>
      </c>
      <c r="H31" s="390">
        <f t="shared" si="2"/>
        <v>74</v>
      </c>
      <c r="I31" s="390">
        <f t="shared" si="2"/>
        <v>47</v>
      </c>
      <c r="J31" s="390">
        <f t="shared" si="2"/>
        <v>36</v>
      </c>
      <c r="K31" s="390">
        <f t="shared" si="2"/>
        <v>78</v>
      </c>
      <c r="L31" s="390">
        <f t="shared" si="2"/>
        <v>55</v>
      </c>
      <c r="M31" s="390">
        <f t="shared" si="2"/>
        <v>0</v>
      </c>
      <c r="N31" s="390">
        <f t="shared" si="2"/>
        <v>0</v>
      </c>
      <c r="O31" s="390">
        <f t="shared" si="2"/>
        <v>0</v>
      </c>
      <c r="P31" s="390">
        <f t="shared" si="2"/>
        <v>0</v>
      </c>
      <c r="Q31" s="390">
        <f>SUM(E31:P31)</f>
        <v>419</v>
      </c>
    </row>
    <row r="32" spans="4:17" ht="16.5" x14ac:dyDescent="0.3">
      <c r="D32" s="391"/>
      <c r="E32" s="391"/>
      <c r="F32" s="391"/>
      <c r="G32" s="391"/>
      <c r="H32" s="391"/>
      <c r="I32" s="391"/>
      <c r="J32" s="391"/>
      <c r="K32" s="391"/>
      <c r="L32" s="391"/>
      <c r="M32" s="391"/>
      <c r="N32" s="391"/>
      <c r="O32" s="391"/>
      <c r="P32" s="391"/>
      <c r="Q32" s="391"/>
    </row>
    <row r="33" spans="4:17" ht="16.5" x14ac:dyDescent="0.3">
      <c r="D33" s="391"/>
      <c r="E33" s="391"/>
      <c r="F33" s="391"/>
      <c r="G33" s="391"/>
      <c r="H33" s="391"/>
      <c r="I33" s="391"/>
      <c r="J33" s="391"/>
      <c r="K33" s="391"/>
      <c r="L33" s="391"/>
      <c r="M33" s="391"/>
      <c r="N33" s="391"/>
      <c r="O33" s="391"/>
      <c r="P33" s="391"/>
      <c r="Q33" s="391"/>
    </row>
    <row r="34" spans="4:17" ht="16.5" x14ac:dyDescent="0.3">
      <c r="D34" s="391"/>
      <c r="E34" s="391"/>
      <c r="F34" s="391"/>
      <c r="G34" s="391"/>
      <c r="H34" s="391"/>
      <c r="I34" s="391"/>
      <c r="J34" s="391"/>
      <c r="K34" s="391"/>
      <c r="L34" s="391"/>
      <c r="M34" s="391"/>
      <c r="N34" s="391"/>
      <c r="O34" s="391"/>
      <c r="P34" s="391"/>
      <c r="Q34" s="391"/>
    </row>
    <row r="35" spans="4:17" ht="16.5" x14ac:dyDescent="0.3">
      <c r="D35" s="391"/>
      <c r="E35" s="391"/>
      <c r="F35" s="391"/>
      <c r="G35" s="391"/>
      <c r="H35" s="391"/>
      <c r="I35" s="391"/>
      <c r="J35" s="391"/>
      <c r="K35" s="391"/>
      <c r="L35" s="391"/>
      <c r="M35" s="391"/>
      <c r="N35" s="391"/>
      <c r="O35" s="391"/>
      <c r="P35" s="391"/>
      <c r="Q35" s="391"/>
    </row>
    <row r="36" spans="4:17" ht="16.5" x14ac:dyDescent="0.3">
      <c r="D36" s="391"/>
      <c r="E36" s="391"/>
      <c r="F36" s="391"/>
      <c r="G36" s="391"/>
      <c r="H36" s="391"/>
      <c r="I36" s="391"/>
      <c r="J36" s="391"/>
      <c r="K36" s="391"/>
      <c r="L36" s="391"/>
      <c r="M36" s="391"/>
      <c r="N36" s="391"/>
      <c r="O36" s="391"/>
      <c r="P36" s="391"/>
      <c r="Q36" s="391"/>
    </row>
    <row r="37" spans="4:17" ht="16.5" x14ac:dyDescent="0.3">
      <c r="D37" s="391"/>
      <c r="E37" s="391"/>
      <c r="F37" s="391"/>
      <c r="G37" s="391"/>
      <c r="H37" s="391"/>
      <c r="I37" s="391"/>
      <c r="J37" s="391"/>
      <c r="K37" s="391"/>
      <c r="L37" s="391"/>
      <c r="M37" s="391"/>
      <c r="N37" s="391"/>
      <c r="O37" s="391"/>
      <c r="P37" s="391"/>
      <c r="Q37" s="391"/>
    </row>
    <row r="38" spans="4:17" ht="16.5" x14ac:dyDescent="0.3">
      <c r="D38" s="391"/>
      <c r="E38" s="391"/>
      <c r="F38" s="391"/>
      <c r="G38" s="391"/>
      <c r="H38" s="391"/>
      <c r="I38" s="391"/>
      <c r="J38" s="391"/>
      <c r="K38" s="391"/>
      <c r="L38" s="391"/>
      <c r="M38" s="391"/>
      <c r="N38" s="391"/>
      <c r="O38" s="391"/>
      <c r="P38" s="391"/>
      <c r="Q38" s="391"/>
    </row>
    <row r="39" spans="4:17" ht="16.5" x14ac:dyDescent="0.3">
      <c r="D39" s="391"/>
      <c r="E39" s="391"/>
      <c r="F39" s="391"/>
      <c r="G39" s="391"/>
      <c r="H39" s="391"/>
      <c r="I39" s="391"/>
      <c r="J39" s="391"/>
      <c r="K39" s="391"/>
      <c r="L39" s="391"/>
      <c r="M39" s="391"/>
      <c r="N39" s="391"/>
      <c r="O39" s="391"/>
      <c r="P39" s="391"/>
      <c r="Q39" s="391"/>
    </row>
    <row r="40" spans="4:17" ht="16.5" x14ac:dyDescent="0.3">
      <c r="D40" s="391"/>
      <c r="E40" s="391"/>
      <c r="F40" s="391"/>
      <c r="G40" s="391"/>
      <c r="H40" s="391"/>
      <c r="I40" s="391"/>
      <c r="J40" s="391"/>
      <c r="K40" s="391"/>
      <c r="L40" s="391"/>
      <c r="M40" s="391"/>
      <c r="N40" s="391"/>
      <c r="O40" s="391"/>
      <c r="P40" s="391"/>
      <c r="Q40" s="391"/>
    </row>
    <row r="41" spans="4:17" ht="17.25" thickBot="1" x14ac:dyDescent="0.35">
      <c r="D41" s="391"/>
      <c r="E41" s="391"/>
      <c r="F41" s="391"/>
      <c r="G41" s="391"/>
      <c r="H41" s="391"/>
      <c r="I41" s="391"/>
      <c r="J41" s="391"/>
      <c r="K41" s="391"/>
      <c r="L41" s="391"/>
      <c r="M41" s="391"/>
      <c r="N41" s="391"/>
      <c r="O41" s="391"/>
      <c r="P41" s="391"/>
      <c r="Q41" s="391"/>
    </row>
    <row r="42" spans="4:17" ht="21" thickBot="1" x14ac:dyDescent="0.35">
      <c r="D42" s="716" t="s">
        <v>125</v>
      </c>
      <c r="E42" s="717"/>
      <c r="F42" s="717"/>
      <c r="G42" s="718"/>
      <c r="H42" s="718"/>
      <c r="I42" s="718"/>
      <c r="J42" s="718"/>
      <c r="K42" s="718"/>
      <c r="L42" s="718"/>
      <c r="M42" s="718"/>
      <c r="N42" s="718"/>
      <c r="O42" s="718"/>
      <c r="P42" s="718"/>
      <c r="Q42" s="719"/>
    </row>
    <row r="43" spans="4:17" ht="16.5" thickBot="1" x14ac:dyDescent="0.3">
      <c r="D43" s="395" t="s">
        <v>104</v>
      </c>
      <c r="E43" s="412">
        <v>46023</v>
      </c>
      <c r="F43" s="396">
        <v>46054</v>
      </c>
      <c r="G43" s="396">
        <v>46082</v>
      </c>
      <c r="H43" s="396">
        <v>46113</v>
      </c>
      <c r="I43" s="396">
        <v>46143</v>
      </c>
      <c r="J43" s="396">
        <v>46174</v>
      </c>
      <c r="K43" s="396">
        <v>46204</v>
      </c>
      <c r="L43" s="396">
        <v>46235</v>
      </c>
      <c r="M43" s="396">
        <v>46266</v>
      </c>
      <c r="N43" s="396">
        <v>46296</v>
      </c>
      <c r="O43" s="396">
        <v>46327</v>
      </c>
      <c r="P43" s="396">
        <v>46357</v>
      </c>
      <c r="Q43" s="395" t="s">
        <v>106</v>
      </c>
    </row>
    <row r="44" spans="4:17" ht="16.5" x14ac:dyDescent="0.3">
      <c r="D44" s="397" t="s">
        <v>393</v>
      </c>
      <c r="E44" s="180">
        <v>0</v>
      </c>
      <c r="F44" s="177">
        <v>0</v>
      </c>
      <c r="G44" s="177">
        <v>4</v>
      </c>
      <c r="H44" s="177">
        <v>11</v>
      </c>
      <c r="I44" s="177">
        <v>6</v>
      </c>
      <c r="J44" s="177">
        <v>4</v>
      </c>
      <c r="K44" s="177">
        <v>9</v>
      </c>
      <c r="L44" s="177">
        <v>7</v>
      </c>
      <c r="M44" s="177"/>
      <c r="N44" s="177"/>
      <c r="O44" s="177"/>
      <c r="P44" s="177"/>
      <c r="Q44" s="177">
        <f t="shared" ref="Q44:Q58" si="3">SUM(E44:P44)</f>
        <v>41</v>
      </c>
    </row>
    <row r="45" spans="4:17" ht="16.5" x14ac:dyDescent="0.3">
      <c r="D45" s="397" t="s">
        <v>115</v>
      </c>
      <c r="E45" s="180">
        <v>0</v>
      </c>
      <c r="F45" s="177">
        <v>0</v>
      </c>
      <c r="G45" s="177">
        <v>0</v>
      </c>
      <c r="H45" s="177">
        <v>0</v>
      </c>
      <c r="I45" s="177">
        <v>4</v>
      </c>
      <c r="J45" s="177">
        <v>2</v>
      </c>
      <c r="K45" s="177">
        <v>2</v>
      </c>
      <c r="L45" s="177">
        <v>0</v>
      </c>
      <c r="M45" s="177"/>
      <c r="N45" s="177"/>
      <c r="O45" s="177"/>
      <c r="P45" s="177"/>
      <c r="Q45" s="177">
        <f t="shared" si="3"/>
        <v>8</v>
      </c>
    </row>
    <row r="46" spans="4:17" ht="16.5" x14ac:dyDescent="0.3">
      <c r="D46" s="400" t="s">
        <v>35</v>
      </c>
      <c r="E46" s="181">
        <v>2</v>
      </c>
      <c r="F46" s="159">
        <v>0</v>
      </c>
      <c r="G46" s="159">
        <v>1</v>
      </c>
      <c r="H46" s="159">
        <v>1</v>
      </c>
      <c r="I46" s="159">
        <v>0</v>
      </c>
      <c r="J46" s="159">
        <v>1</v>
      </c>
      <c r="K46" s="159">
        <v>0</v>
      </c>
      <c r="L46" s="159">
        <v>1</v>
      </c>
      <c r="M46" s="159"/>
      <c r="N46" s="159"/>
      <c r="O46" s="159"/>
      <c r="P46" s="159"/>
      <c r="Q46" s="159">
        <f t="shared" si="3"/>
        <v>6</v>
      </c>
    </row>
    <row r="47" spans="4:17" s="59" customFormat="1" ht="16.5" x14ac:dyDescent="0.3">
      <c r="D47" s="400" t="s">
        <v>116</v>
      </c>
      <c r="E47" s="181">
        <v>0</v>
      </c>
      <c r="F47" s="159">
        <v>0</v>
      </c>
      <c r="G47" s="159">
        <v>0</v>
      </c>
      <c r="H47" s="159">
        <v>0</v>
      </c>
      <c r="I47" s="159">
        <v>0</v>
      </c>
      <c r="J47" s="159">
        <v>0</v>
      </c>
      <c r="K47" s="159">
        <v>0</v>
      </c>
      <c r="L47" s="159">
        <v>0</v>
      </c>
      <c r="M47" s="159"/>
      <c r="N47" s="159"/>
      <c r="O47" s="159"/>
      <c r="P47" s="159"/>
      <c r="Q47" s="159">
        <f t="shared" si="3"/>
        <v>0</v>
      </c>
    </row>
    <row r="48" spans="4:17" s="59" customFormat="1" ht="16.5" x14ac:dyDescent="0.3">
      <c r="D48" s="400" t="s">
        <v>117</v>
      </c>
      <c r="E48" s="181">
        <v>0</v>
      </c>
      <c r="F48" s="159">
        <v>0</v>
      </c>
      <c r="G48" s="159">
        <v>1</v>
      </c>
      <c r="H48" s="159">
        <v>0</v>
      </c>
      <c r="I48" s="159">
        <v>0</v>
      </c>
      <c r="J48" s="159">
        <v>0</v>
      </c>
      <c r="K48" s="159">
        <v>2</v>
      </c>
      <c r="L48" s="159">
        <v>1</v>
      </c>
      <c r="M48" s="159"/>
      <c r="N48" s="159"/>
      <c r="O48" s="159"/>
      <c r="P48" s="159"/>
      <c r="Q48" s="159">
        <f t="shared" si="3"/>
        <v>4</v>
      </c>
    </row>
    <row r="49" spans="4:17" s="59" customFormat="1" ht="16.5" x14ac:dyDescent="0.3">
      <c r="D49" s="400" t="s">
        <v>69</v>
      </c>
      <c r="E49" s="181">
        <v>0</v>
      </c>
      <c r="F49" s="159">
        <v>0</v>
      </c>
      <c r="G49" s="159">
        <v>0</v>
      </c>
      <c r="H49" s="159">
        <v>0</v>
      </c>
      <c r="I49" s="159">
        <v>0</v>
      </c>
      <c r="J49" s="159">
        <v>0</v>
      </c>
      <c r="K49" s="159">
        <v>0</v>
      </c>
      <c r="L49" s="159">
        <v>0</v>
      </c>
      <c r="M49" s="159"/>
      <c r="N49" s="159"/>
      <c r="O49" s="159"/>
      <c r="P49" s="159"/>
      <c r="Q49" s="159">
        <f t="shared" si="3"/>
        <v>0</v>
      </c>
    </row>
    <row r="50" spans="4:17" s="59" customFormat="1" ht="16.5" x14ac:dyDescent="0.3">
      <c r="D50" s="400" t="s">
        <v>126</v>
      </c>
      <c r="E50" s="181">
        <v>0</v>
      </c>
      <c r="F50" s="159">
        <v>0</v>
      </c>
      <c r="G50" s="159">
        <v>0</v>
      </c>
      <c r="H50" s="159">
        <v>0</v>
      </c>
      <c r="I50" s="159">
        <v>0</v>
      </c>
      <c r="J50" s="159">
        <v>0</v>
      </c>
      <c r="K50" s="159">
        <v>1</v>
      </c>
      <c r="L50" s="159">
        <v>0</v>
      </c>
      <c r="M50" s="159"/>
      <c r="N50" s="159"/>
      <c r="O50" s="159"/>
      <c r="P50" s="159"/>
      <c r="Q50" s="159">
        <f t="shared" si="3"/>
        <v>1</v>
      </c>
    </row>
    <row r="51" spans="4:17" ht="16.5" x14ac:dyDescent="0.3">
      <c r="D51" s="400" t="s">
        <v>82</v>
      </c>
      <c r="E51" s="181">
        <v>4</v>
      </c>
      <c r="F51" s="159">
        <v>0</v>
      </c>
      <c r="G51" s="159">
        <v>4</v>
      </c>
      <c r="H51" s="159">
        <v>4</v>
      </c>
      <c r="I51" s="159">
        <v>0</v>
      </c>
      <c r="J51" s="159">
        <v>4</v>
      </c>
      <c r="K51" s="159">
        <v>1</v>
      </c>
      <c r="L51" s="159">
        <v>1</v>
      </c>
      <c r="M51" s="159"/>
      <c r="N51" s="159"/>
      <c r="O51" s="159"/>
      <c r="P51" s="159"/>
      <c r="Q51" s="159">
        <f t="shared" si="3"/>
        <v>18</v>
      </c>
    </row>
    <row r="52" spans="4:17" ht="16.5" x14ac:dyDescent="0.3">
      <c r="D52" s="400" t="s">
        <v>126</v>
      </c>
      <c r="E52" s="181">
        <v>0</v>
      </c>
      <c r="F52" s="159">
        <v>0</v>
      </c>
      <c r="G52" s="159">
        <v>0</v>
      </c>
      <c r="H52" s="159">
        <v>0</v>
      </c>
      <c r="I52" s="159">
        <v>0</v>
      </c>
      <c r="J52" s="159">
        <v>0</v>
      </c>
      <c r="K52" s="159">
        <v>0</v>
      </c>
      <c r="L52" s="159">
        <v>0</v>
      </c>
      <c r="M52" s="159"/>
      <c r="N52" s="159"/>
      <c r="O52" s="159"/>
      <c r="P52" s="159"/>
      <c r="Q52" s="159">
        <f t="shared" si="3"/>
        <v>0</v>
      </c>
    </row>
    <row r="53" spans="4:17" ht="16.5" x14ac:dyDescent="0.3">
      <c r="D53" s="400" t="s">
        <v>424</v>
      </c>
      <c r="E53" s="181">
        <v>1</v>
      </c>
      <c r="F53" s="159">
        <v>0</v>
      </c>
      <c r="G53" s="159">
        <v>1</v>
      </c>
      <c r="H53" s="159">
        <v>0</v>
      </c>
      <c r="I53" s="159">
        <v>0</v>
      </c>
      <c r="J53" s="159">
        <v>0</v>
      </c>
      <c r="K53" s="159">
        <v>0</v>
      </c>
      <c r="L53" s="159">
        <v>0</v>
      </c>
      <c r="M53" s="159"/>
      <c r="N53" s="159"/>
      <c r="O53" s="159"/>
      <c r="P53" s="159"/>
      <c r="Q53" s="159">
        <f t="shared" si="3"/>
        <v>2</v>
      </c>
    </row>
    <row r="54" spans="4:17" ht="16.5" x14ac:dyDescent="0.3">
      <c r="D54" s="400" t="s">
        <v>70</v>
      </c>
      <c r="E54" s="181">
        <v>1</v>
      </c>
      <c r="F54" s="159">
        <v>3</v>
      </c>
      <c r="G54" s="159">
        <v>6</v>
      </c>
      <c r="H54" s="159">
        <v>21</v>
      </c>
      <c r="I54" s="159">
        <v>6</v>
      </c>
      <c r="J54" s="159">
        <v>9</v>
      </c>
      <c r="K54" s="159">
        <v>7</v>
      </c>
      <c r="L54" s="159">
        <v>7</v>
      </c>
      <c r="M54" s="159"/>
      <c r="N54" s="159"/>
      <c r="O54" s="159"/>
      <c r="P54" s="159"/>
      <c r="Q54" s="159">
        <f t="shared" si="3"/>
        <v>60</v>
      </c>
    </row>
    <row r="55" spans="4:17" ht="16.5" x14ac:dyDescent="0.3">
      <c r="D55" s="400" t="s">
        <v>121</v>
      </c>
      <c r="E55" s="181">
        <v>17</v>
      </c>
      <c r="F55" s="159">
        <v>18</v>
      </c>
      <c r="G55" s="159">
        <v>21</v>
      </c>
      <c r="H55" s="159">
        <v>28</v>
      </c>
      <c r="I55" s="159">
        <v>30</v>
      </c>
      <c r="J55" s="159">
        <v>16</v>
      </c>
      <c r="K55" s="159">
        <v>41</v>
      </c>
      <c r="L55" s="159">
        <v>26</v>
      </c>
      <c r="M55" s="159"/>
      <c r="N55" s="159"/>
      <c r="O55" s="159"/>
      <c r="P55" s="159"/>
      <c r="Q55" s="159">
        <f t="shared" si="3"/>
        <v>197</v>
      </c>
    </row>
    <row r="56" spans="4:17" ht="16.5" x14ac:dyDescent="0.3">
      <c r="D56" s="400" t="s">
        <v>122</v>
      </c>
      <c r="E56" s="181">
        <v>0</v>
      </c>
      <c r="F56" s="159">
        <v>0</v>
      </c>
      <c r="G56" s="159">
        <v>0</v>
      </c>
      <c r="H56" s="159">
        <v>0</v>
      </c>
      <c r="I56" s="159">
        <v>0</v>
      </c>
      <c r="J56" s="159">
        <v>0</v>
      </c>
      <c r="K56" s="159">
        <v>0</v>
      </c>
      <c r="L56" s="159">
        <v>0</v>
      </c>
      <c r="M56" s="159"/>
      <c r="N56" s="159"/>
      <c r="O56" s="159"/>
      <c r="P56" s="159"/>
      <c r="Q56" s="159">
        <f t="shared" si="3"/>
        <v>0</v>
      </c>
    </row>
    <row r="57" spans="4:17" ht="16.5" x14ac:dyDescent="0.3">
      <c r="D57" s="400" t="s">
        <v>50</v>
      </c>
      <c r="E57" s="181">
        <v>4</v>
      </c>
      <c r="F57" s="159">
        <v>4</v>
      </c>
      <c r="G57" s="159">
        <v>8</v>
      </c>
      <c r="H57" s="159">
        <v>3</v>
      </c>
      <c r="I57" s="159">
        <v>5</v>
      </c>
      <c r="J57" s="159">
        <v>7</v>
      </c>
      <c r="K57" s="159">
        <v>9</v>
      </c>
      <c r="L57" s="159">
        <v>3</v>
      </c>
      <c r="M57" s="159"/>
      <c r="N57" s="159"/>
      <c r="O57" s="159"/>
      <c r="P57" s="159"/>
      <c r="Q57" s="159">
        <f t="shared" si="3"/>
        <v>43</v>
      </c>
    </row>
    <row r="58" spans="4:17" ht="17.25" thickBot="1" x14ac:dyDescent="0.35">
      <c r="D58" s="414" t="s">
        <v>51</v>
      </c>
      <c r="E58" s="182">
        <v>0</v>
      </c>
      <c r="F58" s="178">
        <v>0</v>
      </c>
      <c r="G58" s="178">
        <v>0</v>
      </c>
      <c r="H58" s="178">
        <v>0</v>
      </c>
      <c r="I58" s="178">
        <v>0</v>
      </c>
      <c r="J58" s="178">
        <v>1</v>
      </c>
      <c r="K58" s="178">
        <v>1</v>
      </c>
      <c r="L58" s="178">
        <v>1</v>
      </c>
      <c r="M58" s="178"/>
      <c r="N58" s="178"/>
      <c r="O58" s="178"/>
      <c r="P58" s="178"/>
      <c r="Q58" s="178">
        <f t="shared" si="3"/>
        <v>3</v>
      </c>
    </row>
    <row r="59" spans="4:17" ht="17.25" thickBot="1" x14ac:dyDescent="0.35">
      <c r="D59" s="388" t="s">
        <v>107</v>
      </c>
      <c r="E59" s="413">
        <f>SUM(E44:E58)</f>
        <v>29</v>
      </c>
      <c r="F59" s="410">
        <f>SUM(F44:F58)</f>
        <v>25</v>
      </c>
      <c r="G59" s="410">
        <f>SUM(G44:G58)</f>
        <v>46</v>
      </c>
      <c r="H59" s="410">
        <f t="shared" ref="H59:P59" si="4">SUM(H44:H58)</f>
        <v>68</v>
      </c>
      <c r="I59" s="410">
        <f>SUM(I44:I58)</f>
        <v>51</v>
      </c>
      <c r="J59" s="410">
        <f t="shared" si="4"/>
        <v>44</v>
      </c>
      <c r="K59" s="410">
        <f t="shared" si="4"/>
        <v>73</v>
      </c>
      <c r="L59" s="410">
        <f t="shared" si="4"/>
        <v>47</v>
      </c>
      <c r="M59" s="410">
        <f t="shared" si="4"/>
        <v>0</v>
      </c>
      <c r="N59" s="410">
        <f t="shared" si="4"/>
        <v>0</v>
      </c>
      <c r="O59" s="410">
        <f t="shared" si="4"/>
        <v>0</v>
      </c>
      <c r="P59" s="410">
        <f t="shared" si="4"/>
        <v>0</v>
      </c>
      <c r="Q59" s="411">
        <f>SUM(E59:P59)</f>
        <v>383</v>
      </c>
    </row>
    <row r="60" spans="4:17" x14ac:dyDescent="0.25">
      <c r="D60" s="406"/>
      <c r="E60" s="406"/>
      <c r="F60" s="406"/>
      <c r="G60" s="406"/>
      <c r="H60" s="406"/>
      <c r="I60" s="406"/>
      <c r="J60" s="406"/>
      <c r="K60" s="406"/>
      <c r="L60" s="406"/>
      <c r="M60" s="406"/>
      <c r="N60" s="406"/>
      <c r="O60" s="406"/>
      <c r="P60" s="406"/>
      <c r="Q60" s="406"/>
    </row>
    <row r="61" spans="4:17" x14ac:dyDescent="0.25">
      <c r="D61" s="406"/>
      <c r="E61" s="406"/>
      <c r="F61" s="406"/>
      <c r="G61" s="406"/>
      <c r="H61" s="406"/>
      <c r="I61" s="406"/>
      <c r="J61" s="406"/>
      <c r="K61" s="406"/>
      <c r="L61" s="406"/>
      <c r="M61" s="406"/>
      <c r="N61" s="406"/>
      <c r="O61" s="406"/>
      <c r="P61" s="406"/>
      <c r="Q61" s="406"/>
    </row>
    <row r="62" spans="4:17" ht="16.5" x14ac:dyDescent="0.3">
      <c r="D62" s="406"/>
      <c r="E62" s="391">
        <f t="shared" ref="E62:N62" si="5">E12+E31+E59</f>
        <v>147</v>
      </c>
      <c r="F62" s="391">
        <f t="shared" si="5"/>
        <v>147</v>
      </c>
      <c r="G62" s="406">
        <f t="shared" si="5"/>
        <v>159</v>
      </c>
      <c r="H62" s="406">
        <f t="shared" si="5"/>
        <v>251</v>
      </c>
      <c r="I62" s="406">
        <f t="shared" si="5"/>
        <v>161</v>
      </c>
      <c r="J62" s="406">
        <f t="shared" si="5"/>
        <v>157</v>
      </c>
      <c r="K62" s="406">
        <f t="shared" si="5"/>
        <v>236</v>
      </c>
      <c r="L62" s="406">
        <f t="shared" si="5"/>
        <v>158</v>
      </c>
      <c r="M62" s="406">
        <f t="shared" si="5"/>
        <v>0</v>
      </c>
      <c r="N62" s="406">
        <f t="shared" si="5"/>
        <v>0</v>
      </c>
      <c r="O62" s="406"/>
      <c r="P62" s="406"/>
      <c r="Q62" s="406">
        <f>SUM(E62:P62)</f>
        <v>1416</v>
      </c>
    </row>
    <row r="63" spans="4:17" x14ac:dyDescent="0.25">
      <c r="Q63" t="s">
        <v>506</v>
      </c>
    </row>
    <row r="69" spans="4:6" x14ac:dyDescent="0.25">
      <c r="D69" t="s">
        <v>150</v>
      </c>
      <c r="E69">
        <f>Q12</f>
        <v>614</v>
      </c>
      <c r="F69" s="91">
        <f>E69/E72</f>
        <v>0.43361581920903952</v>
      </c>
    </row>
    <row r="70" spans="4:6" x14ac:dyDescent="0.25">
      <c r="D70" t="s">
        <v>300</v>
      </c>
      <c r="E70">
        <f>Q31</f>
        <v>419</v>
      </c>
      <c r="F70" s="91">
        <f>E70/E72</f>
        <v>0.29590395480225989</v>
      </c>
    </row>
    <row r="71" spans="4:6" x14ac:dyDescent="0.25">
      <c r="D71" t="s">
        <v>149</v>
      </c>
      <c r="E71">
        <f>Q59</f>
        <v>383</v>
      </c>
      <c r="F71" s="91">
        <f>E71/E72</f>
        <v>0.27048022598870058</v>
      </c>
    </row>
    <row r="72" spans="4:6" x14ac:dyDescent="0.25">
      <c r="E72">
        <f>SUM(E69:E71)</f>
        <v>1416</v>
      </c>
    </row>
  </sheetData>
  <mergeCells count="3">
    <mergeCell ref="D5:Q5"/>
    <mergeCell ref="D24:Q24"/>
    <mergeCell ref="D42:Q4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A0D6-2151-4081-B7BA-09AE47723125}">
  <dimension ref="E4:R58"/>
  <sheetViews>
    <sheetView topLeftCell="E32" workbookViewId="0">
      <selection activeCell="N7" sqref="N7"/>
    </sheetView>
  </sheetViews>
  <sheetFormatPr baseColWidth="10" defaultRowHeight="15" x14ac:dyDescent="0.25"/>
  <cols>
    <col min="5" max="5" width="95.140625" customWidth="1"/>
    <col min="6" max="6" width="9.140625" bestFit="1" customWidth="1"/>
    <col min="7" max="7" width="8.42578125" bestFit="1" customWidth="1"/>
    <col min="8" max="8" width="9.42578125" bestFit="1" customWidth="1"/>
    <col min="9" max="9" width="8.7109375" bestFit="1" customWidth="1"/>
    <col min="10" max="10" width="10" bestFit="1" customWidth="1"/>
    <col min="11" max="11" width="8.28515625" bestFit="1" customWidth="1"/>
    <col min="12" max="12" width="7.42578125" bestFit="1" customWidth="1"/>
    <col min="13" max="13" width="9.42578125" bestFit="1" customWidth="1"/>
    <col min="14" max="14" width="8.7109375" bestFit="1" customWidth="1"/>
    <col min="15" max="15" width="8.28515625" bestFit="1" customWidth="1"/>
    <col min="16" max="16" width="9" bestFit="1" customWidth="1"/>
    <col min="17" max="17" width="8.42578125" bestFit="1" customWidth="1"/>
    <col min="18" max="18" width="6.140625" bestFit="1" customWidth="1"/>
  </cols>
  <sheetData>
    <row r="4" spans="5:18" ht="15.75" thickBot="1" x14ac:dyDescent="0.3"/>
    <row r="5" spans="5:18" ht="21" thickBot="1" x14ac:dyDescent="0.35">
      <c r="E5" s="720" t="s">
        <v>127</v>
      </c>
      <c r="F5" s="721"/>
      <c r="G5" s="721"/>
      <c r="H5" s="721"/>
      <c r="I5" s="721"/>
      <c r="J5" s="721"/>
      <c r="K5" s="721"/>
      <c r="L5" s="721"/>
      <c r="M5" s="721"/>
      <c r="N5" s="721"/>
      <c r="O5" s="721"/>
      <c r="P5" s="721"/>
      <c r="Q5" s="721"/>
      <c r="R5" s="722"/>
    </row>
    <row r="6" spans="5:18" ht="16.5" thickBot="1" x14ac:dyDescent="0.3">
      <c r="E6" s="380" t="s">
        <v>104</v>
      </c>
      <c r="F6" s="396">
        <v>46023</v>
      </c>
      <c r="G6" s="396">
        <v>46054</v>
      </c>
      <c r="H6" s="396">
        <v>46082</v>
      </c>
      <c r="I6" s="396">
        <v>46113</v>
      </c>
      <c r="J6" s="396">
        <v>46143</v>
      </c>
      <c r="K6" s="396">
        <v>46174</v>
      </c>
      <c r="L6" s="396">
        <v>46204</v>
      </c>
      <c r="M6" s="396">
        <v>46235</v>
      </c>
      <c r="N6" s="396">
        <v>46266</v>
      </c>
      <c r="O6" s="396">
        <v>46296</v>
      </c>
      <c r="P6" s="396">
        <v>46327</v>
      </c>
      <c r="Q6" s="396">
        <v>46357</v>
      </c>
      <c r="R6" s="395" t="s">
        <v>106</v>
      </c>
    </row>
    <row r="7" spans="5:18" ht="16.5" x14ac:dyDescent="0.3">
      <c r="E7" s="400" t="s">
        <v>96</v>
      </c>
      <c r="F7" s="177">
        <v>1</v>
      </c>
      <c r="G7" s="177">
        <v>1</v>
      </c>
      <c r="H7" s="407">
        <v>2</v>
      </c>
      <c r="I7" s="407">
        <v>3</v>
      </c>
      <c r="J7" s="407">
        <v>2</v>
      </c>
      <c r="K7" s="407">
        <v>2</v>
      </c>
      <c r="L7" s="407">
        <v>2</v>
      </c>
      <c r="M7" s="407">
        <v>0</v>
      </c>
      <c r="N7" s="407"/>
      <c r="O7" s="407"/>
      <c r="P7" s="407"/>
      <c r="Q7" s="407"/>
      <c r="R7" s="408">
        <f t="shared" ref="R7:R12" si="0">SUM(F7:Q7)</f>
        <v>13</v>
      </c>
    </row>
    <row r="8" spans="5:18" ht="16.5" x14ac:dyDescent="0.3">
      <c r="E8" s="400" t="s">
        <v>112</v>
      </c>
      <c r="F8" s="159">
        <v>22</v>
      </c>
      <c r="G8" s="159">
        <v>31</v>
      </c>
      <c r="H8" s="385">
        <v>22</v>
      </c>
      <c r="I8" s="385">
        <v>26</v>
      </c>
      <c r="J8" s="385">
        <v>14</v>
      </c>
      <c r="K8" s="385">
        <v>13</v>
      </c>
      <c r="L8" s="385">
        <v>28</v>
      </c>
      <c r="M8" s="385">
        <v>6</v>
      </c>
      <c r="N8" s="385"/>
      <c r="O8" s="385"/>
      <c r="P8" s="385"/>
      <c r="Q8" s="385"/>
      <c r="R8" s="161">
        <f t="shared" si="0"/>
        <v>162</v>
      </c>
    </row>
    <row r="9" spans="5:18" ht="16.5" x14ac:dyDescent="0.3">
      <c r="E9" s="400" t="s">
        <v>41</v>
      </c>
      <c r="F9" s="159">
        <v>55</v>
      </c>
      <c r="G9" s="159">
        <v>72</v>
      </c>
      <c r="H9" s="385">
        <v>48</v>
      </c>
      <c r="I9" s="385">
        <v>52</v>
      </c>
      <c r="J9" s="385">
        <v>53</v>
      </c>
      <c r="K9" s="385">
        <v>57</v>
      </c>
      <c r="L9" s="385">
        <v>71</v>
      </c>
      <c r="M9" s="385">
        <v>71</v>
      </c>
      <c r="N9" s="385"/>
      <c r="O9" s="385"/>
      <c r="P9" s="385"/>
      <c r="Q9" s="385"/>
      <c r="R9" s="161">
        <f t="shared" si="0"/>
        <v>479</v>
      </c>
    </row>
    <row r="10" spans="5:18" ht="16.5" x14ac:dyDescent="0.3">
      <c r="E10" s="400" t="s">
        <v>31</v>
      </c>
      <c r="F10" s="159">
        <v>57</v>
      </c>
      <c r="G10" s="159">
        <v>83</v>
      </c>
      <c r="H10" s="385">
        <v>63</v>
      </c>
      <c r="I10" s="385">
        <v>72</v>
      </c>
      <c r="J10" s="385">
        <v>55</v>
      </c>
      <c r="K10" s="385">
        <v>60</v>
      </c>
      <c r="L10" s="385">
        <v>94</v>
      </c>
      <c r="M10" s="385">
        <v>50</v>
      </c>
      <c r="N10" s="385"/>
      <c r="O10" s="385"/>
      <c r="P10" s="385"/>
      <c r="Q10" s="385"/>
      <c r="R10" s="161">
        <f t="shared" si="0"/>
        <v>534</v>
      </c>
    </row>
    <row r="11" spans="5:18" ht="17.25" thickBot="1" x14ac:dyDescent="0.35">
      <c r="E11" s="414" t="s">
        <v>37</v>
      </c>
      <c r="F11" s="164">
        <v>30</v>
      </c>
      <c r="G11" s="164">
        <v>23</v>
      </c>
      <c r="H11" s="415">
        <v>19</v>
      </c>
      <c r="I11" s="415">
        <v>63</v>
      </c>
      <c r="J11" s="415">
        <v>28</v>
      </c>
      <c r="K11" s="415">
        <v>20</v>
      </c>
      <c r="L11" s="387">
        <v>18</v>
      </c>
      <c r="M11" s="387">
        <v>14</v>
      </c>
      <c r="N11" s="387"/>
      <c r="O11" s="387"/>
      <c r="P11" s="387"/>
      <c r="Q11" s="387"/>
      <c r="R11" s="161">
        <f t="shared" si="0"/>
        <v>215</v>
      </c>
    </row>
    <row r="12" spans="5:18" ht="15.75" thickBot="1" x14ac:dyDescent="0.3">
      <c r="E12" s="388" t="s">
        <v>107</v>
      </c>
      <c r="F12" s="416">
        <f t="shared" ref="F12:Q12" si="1">SUM(F7:F11)</f>
        <v>165</v>
      </c>
      <c r="G12" s="416">
        <f t="shared" si="1"/>
        <v>210</v>
      </c>
      <c r="H12" s="416">
        <f t="shared" si="1"/>
        <v>154</v>
      </c>
      <c r="I12" s="416">
        <f t="shared" si="1"/>
        <v>216</v>
      </c>
      <c r="J12" s="416">
        <f t="shared" si="1"/>
        <v>152</v>
      </c>
      <c r="K12" s="416">
        <f t="shared" si="1"/>
        <v>152</v>
      </c>
      <c r="L12" s="416">
        <f t="shared" si="1"/>
        <v>213</v>
      </c>
      <c r="M12" s="416">
        <f t="shared" si="1"/>
        <v>141</v>
      </c>
      <c r="N12" s="416">
        <f t="shared" si="1"/>
        <v>0</v>
      </c>
      <c r="O12" s="416">
        <f t="shared" si="1"/>
        <v>0</v>
      </c>
      <c r="P12" s="416">
        <f t="shared" si="1"/>
        <v>0</v>
      </c>
      <c r="Q12" s="416">
        <f t="shared" si="1"/>
        <v>0</v>
      </c>
      <c r="R12" s="416">
        <f t="shared" si="0"/>
        <v>1403</v>
      </c>
    </row>
    <row r="13" spans="5:18" ht="16.5" x14ac:dyDescent="0.3">
      <c r="E13" s="391"/>
      <c r="F13" s="391"/>
      <c r="G13" s="391"/>
      <c r="H13" s="391"/>
      <c r="I13" s="391"/>
      <c r="J13" s="391"/>
      <c r="K13" s="391"/>
      <c r="L13" s="391"/>
      <c r="M13" s="391"/>
      <c r="N13" s="391"/>
      <c r="O13" s="391"/>
      <c r="P13" s="391"/>
      <c r="Q13" s="391"/>
      <c r="R13" s="391"/>
    </row>
    <row r="14" spans="5:18" ht="16.5" x14ac:dyDescent="0.3">
      <c r="E14" s="391"/>
      <c r="F14" s="391"/>
      <c r="G14" s="391"/>
      <c r="H14" s="391"/>
      <c r="I14" s="391"/>
      <c r="J14" s="391"/>
      <c r="K14" s="391"/>
      <c r="L14" s="391"/>
      <c r="M14" s="391"/>
      <c r="N14" s="391"/>
      <c r="O14" s="391"/>
      <c r="P14" s="391"/>
      <c r="Q14" s="391"/>
      <c r="R14" s="391"/>
    </row>
    <row r="15" spans="5:18" ht="16.5" x14ac:dyDescent="0.3">
      <c r="E15" s="391"/>
      <c r="F15" s="391"/>
      <c r="G15" s="391"/>
      <c r="H15" s="391"/>
      <c r="I15" s="391"/>
      <c r="J15" s="391"/>
      <c r="K15" s="391"/>
      <c r="L15" s="391"/>
      <c r="M15" s="391"/>
      <c r="N15" s="391"/>
      <c r="O15" s="391"/>
      <c r="P15" s="391"/>
      <c r="Q15" s="391"/>
      <c r="R15" s="391"/>
    </row>
    <row r="16" spans="5:18" ht="16.5" x14ac:dyDescent="0.3">
      <c r="E16" s="391"/>
      <c r="F16" s="391"/>
      <c r="G16" s="391"/>
      <c r="H16" s="391"/>
      <c r="I16" s="391"/>
      <c r="J16" s="391"/>
      <c r="K16" s="391"/>
      <c r="L16" s="391"/>
      <c r="M16" s="391"/>
      <c r="N16" s="391"/>
      <c r="O16" s="391"/>
      <c r="P16" s="391"/>
      <c r="Q16" s="391"/>
      <c r="R16" s="391"/>
    </row>
    <row r="17" spans="5:18" ht="16.5" x14ac:dyDescent="0.3">
      <c r="E17" s="391"/>
      <c r="F17" s="391"/>
      <c r="G17" s="391"/>
      <c r="H17" s="391"/>
      <c r="I17" s="391"/>
      <c r="J17" s="391"/>
      <c r="K17" s="391"/>
      <c r="L17" s="391"/>
      <c r="M17" s="391"/>
      <c r="N17" s="391"/>
      <c r="O17" s="391"/>
      <c r="P17" s="391"/>
      <c r="Q17" s="391"/>
      <c r="R17" s="391"/>
    </row>
    <row r="18" spans="5:18" ht="17.25" thickBot="1" x14ac:dyDescent="0.35">
      <c r="E18" s="391"/>
      <c r="F18" s="391"/>
      <c r="G18" s="391"/>
      <c r="H18" s="391"/>
      <c r="I18" s="391"/>
      <c r="J18" s="391"/>
      <c r="K18" s="391"/>
      <c r="L18" s="391"/>
      <c r="M18" s="391"/>
      <c r="N18" s="391"/>
      <c r="O18" s="391"/>
      <c r="P18" s="391"/>
      <c r="Q18" s="391"/>
      <c r="R18" s="391"/>
    </row>
    <row r="19" spans="5:18" ht="21" thickBot="1" x14ac:dyDescent="0.35">
      <c r="E19" s="720" t="s">
        <v>128</v>
      </c>
      <c r="F19" s="721"/>
      <c r="G19" s="721"/>
      <c r="H19" s="721"/>
      <c r="I19" s="721"/>
      <c r="J19" s="721"/>
      <c r="K19" s="721"/>
      <c r="L19" s="721"/>
      <c r="M19" s="721"/>
      <c r="N19" s="721"/>
      <c r="O19" s="721"/>
      <c r="P19" s="721"/>
      <c r="Q19" s="721"/>
      <c r="R19" s="722"/>
    </row>
    <row r="20" spans="5:18" ht="16.5" thickBot="1" x14ac:dyDescent="0.3">
      <c r="E20" s="395" t="s">
        <v>104</v>
      </c>
      <c r="F20" s="396">
        <v>46023</v>
      </c>
      <c r="G20" s="396">
        <v>46054</v>
      </c>
      <c r="H20" s="396">
        <v>46082</v>
      </c>
      <c r="I20" s="396">
        <v>46113</v>
      </c>
      <c r="J20" s="396">
        <v>46143</v>
      </c>
      <c r="K20" s="396">
        <v>46174</v>
      </c>
      <c r="L20" s="396">
        <v>46204</v>
      </c>
      <c r="M20" s="396">
        <v>46235</v>
      </c>
      <c r="N20" s="396">
        <v>46266</v>
      </c>
      <c r="O20" s="396">
        <v>46296</v>
      </c>
      <c r="P20" s="396">
        <v>46327</v>
      </c>
      <c r="Q20" s="396">
        <v>46357</v>
      </c>
      <c r="R20" s="395" t="s">
        <v>106</v>
      </c>
    </row>
    <row r="21" spans="5:18" ht="16.5" x14ac:dyDescent="0.3">
      <c r="E21" s="397" t="s">
        <v>129</v>
      </c>
      <c r="F21" s="191">
        <v>0</v>
      </c>
      <c r="G21" s="177">
        <v>0</v>
      </c>
      <c r="H21" s="177">
        <v>0</v>
      </c>
      <c r="I21" s="407">
        <v>0</v>
      </c>
      <c r="J21" s="407">
        <v>0</v>
      </c>
      <c r="K21" s="407">
        <v>0</v>
      </c>
      <c r="L21" s="407">
        <v>1</v>
      </c>
      <c r="M21" s="407">
        <v>0</v>
      </c>
      <c r="N21" s="407"/>
      <c r="O21" s="407"/>
      <c r="P21" s="407"/>
      <c r="Q21" s="407"/>
      <c r="R21" s="408">
        <f t="shared" ref="R21:R28" si="2">SUM(F21:Q21)</f>
        <v>1</v>
      </c>
    </row>
    <row r="22" spans="5:18" ht="16.5" x14ac:dyDescent="0.3">
      <c r="E22" s="400" t="s">
        <v>91</v>
      </c>
      <c r="F22" s="160">
        <v>3</v>
      </c>
      <c r="G22" s="159">
        <v>2</v>
      </c>
      <c r="H22" s="159">
        <v>4</v>
      </c>
      <c r="I22" s="385">
        <v>1</v>
      </c>
      <c r="J22" s="385">
        <v>3</v>
      </c>
      <c r="K22" s="385">
        <v>1</v>
      </c>
      <c r="L22" s="385">
        <v>3</v>
      </c>
      <c r="M22" s="385">
        <v>3</v>
      </c>
      <c r="N22" s="385"/>
      <c r="O22" s="385"/>
      <c r="P22" s="385"/>
      <c r="Q22" s="385"/>
      <c r="R22" s="161">
        <f t="shared" si="2"/>
        <v>20</v>
      </c>
    </row>
    <row r="23" spans="5:18" ht="16.5" x14ac:dyDescent="0.3">
      <c r="E23" s="400" t="s">
        <v>64</v>
      </c>
      <c r="F23" s="160">
        <v>7</v>
      </c>
      <c r="G23" s="159">
        <v>10</v>
      </c>
      <c r="H23" s="159">
        <v>9</v>
      </c>
      <c r="I23" s="385">
        <v>5</v>
      </c>
      <c r="J23" s="385">
        <v>3</v>
      </c>
      <c r="K23" s="385">
        <v>2</v>
      </c>
      <c r="L23" s="385">
        <v>16</v>
      </c>
      <c r="M23" s="385">
        <v>9</v>
      </c>
      <c r="N23" s="385"/>
      <c r="O23" s="385"/>
      <c r="P23" s="385"/>
      <c r="Q23" s="385"/>
      <c r="R23" s="161">
        <f t="shared" si="2"/>
        <v>61</v>
      </c>
    </row>
    <row r="24" spans="5:18" ht="16.5" x14ac:dyDescent="0.3">
      <c r="E24" s="400" t="s">
        <v>291</v>
      </c>
      <c r="F24" s="160">
        <v>2</v>
      </c>
      <c r="G24" s="159">
        <v>0</v>
      </c>
      <c r="H24" s="159">
        <v>0</v>
      </c>
      <c r="I24" s="385">
        <v>0</v>
      </c>
      <c r="J24" s="385">
        <v>0</v>
      </c>
      <c r="K24" s="385">
        <v>0</v>
      </c>
      <c r="L24" s="385">
        <v>0</v>
      </c>
      <c r="M24" s="385">
        <v>0</v>
      </c>
      <c r="N24" s="385"/>
      <c r="O24" s="385"/>
      <c r="P24" s="385"/>
      <c r="Q24" s="385"/>
      <c r="R24" s="161">
        <f t="shared" si="2"/>
        <v>2</v>
      </c>
    </row>
    <row r="25" spans="5:18" ht="16.5" x14ac:dyDescent="0.3">
      <c r="E25" s="400" t="s">
        <v>114</v>
      </c>
      <c r="F25" s="160">
        <v>0</v>
      </c>
      <c r="G25" s="159">
        <v>0</v>
      </c>
      <c r="H25" s="159">
        <v>0</v>
      </c>
      <c r="I25" s="385">
        <v>0</v>
      </c>
      <c r="J25" s="385">
        <v>0</v>
      </c>
      <c r="K25" s="385">
        <v>0</v>
      </c>
      <c r="L25" s="385">
        <v>1</v>
      </c>
      <c r="M25" s="385">
        <v>1</v>
      </c>
      <c r="N25" s="385"/>
      <c r="O25" s="385"/>
      <c r="P25" s="385"/>
      <c r="Q25" s="385"/>
      <c r="R25" s="161">
        <f>SUM(F26:Q26)</f>
        <v>0</v>
      </c>
    </row>
    <row r="26" spans="5:18" ht="16.5" x14ac:dyDescent="0.3">
      <c r="E26" s="400" t="s">
        <v>130</v>
      </c>
      <c r="F26" s="160">
        <v>0</v>
      </c>
      <c r="G26" s="159">
        <v>0</v>
      </c>
      <c r="H26" s="159">
        <v>0</v>
      </c>
      <c r="I26" s="385">
        <v>0</v>
      </c>
      <c r="J26" s="385">
        <v>0</v>
      </c>
      <c r="K26" s="385">
        <v>0</v>
      </c>
      <c r="L26" s="385">
        <v>0</v>
      </c>
      <c r="M26" s="385">
        <v>0</v>
      </c>
      <c r="N26" s="385"/>
      <c r="O26" s="385"/>
      <c r="P26" s="385"/>
      <c r="Q26" s="385"/>
      <c r="R26" s="161">
        <f t="shared" si="2"/>
        <v>0</v>
      </c>
    </row>
    <row r="27" spans="5:18" ht="17.25" thickBot="1" x14ac:dyDescent="0.35">
      <c r="E27" s="414" t="s">
        <v>77</v>
      </c>
      <c r="F27" s="209">
        <v>1</v>
      </c>
      <c r="G27" s="178">
        <v>2</v>
      </c>
      <c r="H27" s="178">
        <v>4</v>
      </c>
      <c r="I27" s="387">
        <v>2</v>
      </c>
      <c r="J27" s="387">
        <v>2</v>
      </c>
      <c r="K27" s="387">
        <v>0</v>
      </c>
      <c r="L27" s="387">
        <v>0</v>
      </c>
      <c r="M27" s="387">
        <v>4</v>
      </c>
      <c r="N27" s="387"/>
      <c r="O27" s="387"/>
      <c r="P27" s="387"/>
      <c r="Q27" s="387"/>
      <c r="R27" s="320">
        <f t="shared" si="2"/>
        <v>15</v>
      </c>
    </row>
    <row r="28" spans="5:18" ht="15.75" thickBot="1" x14ac:dyDescent="0.3">
      <c r="E28" s="388" t="s">
        <v>107</v>
      </c>
      <c r="F28" s="416">
        <f t="shared" ref="F28:Q28" si="3">SUM(F21:F27)</f>
        <v>13</v>
      </c>
      <c r="G28" s="416">
        <f t="shared" si="3"/>
        <v>14</v>
      </c>
      <c r="H28" s="416">
        <f t="shared" si="3"/>
        <v>17</v>
      </c>
      <c r="I28" s="416">
        <f t="shared" si="3"/>
        <v>8</v>
      </c>
      <c r="J28" s="416">
        <f t="shared" si="3"/>
        <v>8</v>
      </c>
      <c r="K28" s="416">
        <f t="shared" si="3"/>
        <v>3</v>
      </c>
      <c r="L28" s="416">
        <f t="shared" si="3"/>
        <v>21</v>
      </c>
      <c r="M28" s="416">
        <f t="shared" si="3"/>
        <v>17</v>
      </c>
      <c r="N28" s="416">
        <f t="shared" si="3"/>
        <v>0</v>
      </c>
      <c r="O28" s="416">
        <f t="shared" si="3"/>
        <v>0</v>
      </c>
      <c r="P28" s="416">
        <f t="shared" si="3"/>
        <v>0</v>
      </c>
      <c r="Q28" s="416">
        <f t="shared" si="3"/>
        <v>0</v>
      </c>
      <c r="R28" s="416">
        <f t="shared" si="2"/>
        <v>101</v>
      </c>
    </row>
    <row r="29" spans="5:18" ht="16.5" x14ac:dyDescent="0.3">
      <c r="E29" s="391"/>
      <c r="F29" s="391"/>
      <c r="G29" s="391"/>
      <c r="H29" s="391"/>
      <c r="I29" s="391"/>
      <c r="J29" s="391"/>
      <c r="K29" s="391"/>
      <c r="L29" s="391"/>
      <c r="M29" s="391"/>
      <c r="N29" s="391"/>
      <c r="O29" s="391"/>
      <c r="P29" s="391"/>
      <c r="Q29" s="391"/>
      <c r="R29" s="391"/>
    </row>
    <row r="30" spans="5:18" ht="16.5" x14ac:dyDescent="0.3">
      <c r="E30" s="391"/>
      <c r="F30" s="391"/>
      <c r="G30" s="391"/>
      <c r="H30" s="391"/>
      <c r="I30" s="391"/>
      <c r="J30" s="391"/>
      <c r="K30" s="391"/>
      <c r="L30" s="391"/>
      <c r="M30" s="391"/>
      <c r="N30" s="391"/>
      <c r="O30" s="391"/>
      <c r="P30" s="391"/>
      <c r="Q30" s="391"/>
      <c r="R30" s="391"/>
    </row>
    <row r="31" spans="5:18" ht="16.5" x14ac:dyDescent="0.3">
      <c r="E31" s="391"/>
      <c r="F31" s="391"/>
      <c r="G31" s="391"/>
      <c r="H31" s="391"/>
      <c r="I31" s="391"/>
      <c r="J31" s="391"/>
      <c r="K31" s="391"/>
      <c r="L31" s="391"/>
      <c r="M31" s="391"/>
      <c r="N31" s="391"/>
      <c r="O31" s="391"/>
      <c r="P31" s="391"/>
      <c r="Q31" s="391"/>
      <c r="R31" s="391"/>
    </row>
    <row r="32" spans="5:18" ht="27" customHeight="1" thickBot="1" x14ac:dyDescent="0.35">
      <c r="E32" s="391"/>
      <c r="F32" s="391"/>
      <c r="G32" s="391"/>
      <c r="H32" s="391"/>
      <c r="I32" s="391"/>
      <c r="J32" s="391"/>
      <c r="K32" s="391"/>
      <c r="L32" s="391"/>
      <c r="M32" s="391"/>
      <c r="N32" s="391"/>
      <c r="O32" s="391"/>
      <c r="P32" s="391"/>
      <c r="Q32" s="391"/>
      <c r="R32" s="391"/>
    </row>
    <row r="33" spans="5:18" ht="21" thickBot="1" x14ac:dyDescent="0.35">
      <c r="E33" s="720" t="s">
        <v>131</v>
      </c>
      <c r="F33" s="721"/>
      <c r="G33" s="721"/>
      <c r="H33" s="721"/>
      <c r="I33" s="721"/>
      <c r="J33" s="721"/>
      <c r="K33" s="721"/>
      <c r="L33" s="721"/>
      <c r="M33" s="721"/>
      <c r="N33" s="721"/>
      <c r="O33" s="721"/>
      <c r="P33" s="721"/>
      <c r="Q33" s="721"/>
      <c r="R33" s="722"/>
    </row>
    <row r="34" spans="5:18" ht="16.5" thickBot="1" x14ac:dyDescent="0.3">
      <c r="E34" s="395" t="s">
        <v>104</v>
      </c>
      <c r="F34" s="396">
        <v>46023</v>
      </c>
      <c r="G34" s="396">
        <v>46054</v>
      </c>
      <c r="H34" s="396">
        <v>46082</v>
      </c>
      <c r="I34" s="396">
        <v>46113</v>
      </c>
      <c r="J34" s="396">
        <v>46143</v>
      </c>
      <c r="K34" s="396">
        <v>46174</v>
      </c>
      <c r="L34" s="396">
        <v>46204</v>
      </c>
      <c r="M34" s="396">
        <v>46235</v>
      </c>
      <c r="N34" s="396">
        <v>46266</v>
      </c>
      <c r="O34" s="396">
        <v>46296</v>
      </c>
      <c r="P34" s="396">
        <v>46327</v>
      </c>
      <c r="Q34" s="396">
        <v>46357</v>
      </c>
      <c r="R34" s="395" t="s">
        <v>106</v>
      </c>
    </row>
    <row r="35" spans="5:18" ht="16.5" x14ac:dyDescent="0.3">
      <c r="E35" s="397" t="s">
        <v>381</v>
      </c>
      <c r="F35" s="180">
        <v>0</v>
      </c>
      <c r="G35" s="177">
        <v>0</v>
      </c>
      <c r="H35" s="177">
        <v>4</v>
      </c>
      <c r="I35" s="177">
        <v>10</v>
      </c>
      <c r="J35" s="177">
        <v>6</v>
      </c>
      <c r="K35" s="177">
        <v>4</v>
      </c>
      <c r="L35" s="177">
        <v>9</v>
      </c>
      <c r="M35" s="177">
        <v>7</v>
      </c>
      <c r="N35" s="177"/>
      <c r="O35" s="177"/>
      <c r="P35" s="177"/>
      <c r="Q35" s="177"/>
      <c r="R35" s="177">
        <f t="shared" ref="R35:R47" si="4">SUM(F35:Q35)</f>
        <v>40</v>
      </c>
    </row>
    <row r="36" spans="5:18" ht="16.5" x14ac:dyDescent="0.3">
      <c r="E36" s="397" t="s">
        <v>115</v>
      </c>
      <c r="F36" s="180">
        <v>0</v>
      </c>
      <c r="G36" s="177">
        <v>0</v>
      </c>
      <c r="H36" s="177">
        <v>0</v>
      </c>
      <c r="I36" s="177">
        <v>0</v>
      </c>
      <c r="J36" s="177">
        <v>0</v>
      </c>
      <c r="K36" s="177">
        <v>1</v>
      </c>
      <c r="L36" s="177">
        <v>1</v>
      </c>
      <c r="M36" s="177">
        <v>1</v>
      </c>
      <c r="N36" s="177"/>
      <c r="O36" s="177"/>
      <c r="P36" s="177"/>
      <c r="Q36" s="177"/>
      <c r="R36" s="177">
        <f>SUM(F36:Q36)</f>
        <v>3</v>
      </c>
    </row>
    <row r="37" spans="5:18" ht="16.5" x14ac:dyDescent="0.3">
      <c r="E37" s="397" t="s">
        <v>347</v>
      </c>
      <c r="F37" s="180">
        <v>0</v>
      </c>
      <c r="G37" s="177">
        <v>1</v>
      </c>
      <c r="H37" s="177">
        <v>0</v>
      </c>
      <c r="I37" s="177">
        <v>0</v>
      </c>
      <c r="J37" s="177">
        <v>0</v>
      </c>
      <c r="K37" s="177">
        <v>0</v>
      </c>
      <c r="L37" s="177">
        <v>0</v>
      </c>
      <c r="M37" s="177">
        <v>0</v>
      </c>
      <c r="N37" s="177"/>
      <c r="O37" s="177"/>
      <c r="P37" s="177"/>
      <c r="Q37" s="177"/>
      <c r="R37" s="177">
        <f t="shared" si="4"/>
        <v>1</v>
      </c>
    </row>
    <row r="38" spans="5:18" ht="16.5" x14ac:dyDescent="0.3">
      <c r="E38" s="397" t="s">
        <v>126</v>
      </c>
      <c r="F38" s="159">
        <v>0</v>
      </c>
      <c r="G38" s="159">
        <v>0</v>
      </c>
      <c r="H38" s="159">
        <v>0</v>
      </c>
      <c r="I38" s="177">
        <v>0</v>
      </c>
      <c r="J38" s="177">
        <v>0</v>
      </c>
      <c r="K38" s="177">
        <v>0</v>
      </c>
      <c r="L38" s="177">
        <v>2</v>
      </c>
      <c r="M38" s="177">
        <v>0</v>
      </c>
      <c r="N38" s="177"/>
      <c r="O38" s="177"/>
      <c r="P38" s="177"/>
      <c r="Q38" s="177"/>
      <c r="R38" s="177">
        <f t="shared" si="4"/>
        <v>2</v>
      </c>
    </row>
    <row r="39" spans="5:18" ht="16.5" x14ac:dyDescent="0.3">
      <c r="E39" s="397" t="s">
        <v>41</v>
      </c>
      <c r="F39" s="181">
        <v>3</v>
      </c>
      <c r="G39" s="159">
        <v>2</v>
      </c>
      <c r="H39" s="159">
        <v>3</v>
      </c>
      <c r="I39" s="159">
        <v>4</v>
      </c>
      <c r="J39" s="159">
        <v>2</v>
      </c>
      <c r="K39" s="159">
        <v>1</v>
      </c>
      <c r="L39" s="159">
        <v>2</v>
      </c>
      <c r="M39" s="159">
        <v>0</v>
      </c>
      <c r="N39" s="159"/>
      <c r="O39" s="159"/>
      <c r="P39" s="159"/>
      <c r="Q39" s="159"/>
      <c r="R39" s="159">
        <f t="shared" si="4"/>
        <v>17</v>
      </c>
    </row>
    <row r="40" spans="5:18" ht="16.5" x14ac:dyDescent="0.3">
      <c r="E40" s="400" t="s">
        <v>424</v>
      </c>
      <c r="F40" s="181">
        <v>1</v>
      </c>
      <c r="G40" s="159">
        <v>0</v>
      </c>
      <c r="H40" s="159">
        <v>1</v>
      </c>
      <c r="I40" s="159">
        <v>0</v>
      </c>
      <c r="J40" s="159">
        <v>0</v>
      </c>
      <c r="K40" s="159">
        <v>0</v>
      </c>
      <c r="L40" s="159">
        <v>0</v>
      </c>
      <c r="M40" s="159">
        <v>0</v>
      </c>
      <c r="N40" s="159"/>
      <c r="O40" s="159"/>
      <c r="P40" s="159"/>
      <c r="Q40" s="159"/>
      <c r="R40" s="159">
        <f t="shared" si="4"/>
        <v>2</v>
      </c>
    </row>
    <row r="41" spans="5:18" ht="16.5" x14ac:dyDescent="0.3">
      <c r="E41" s="400" t="s">
        <v>119</v>
      </c>
      <c r="F41" s="181">
        <v>0</v>
      </c>
      <c r="G41" s="159">
        <v>0</v>
      </c>
      <c r="H41" s="159">
        <v>0</v>
      </c>
      <c r="I41" s="159">
        <v>0</v>
      </c>
      <c r="J41" s="159">
        <v>0</v>
      </c>
      <c r="K41" s="159">
        <v>0</v>
      </c>
      <c r="L41" s="159">
        <v>0</v>
      </c>
      <c r="M41" s="159">
        <v>0</v>
      </c>
      <c r="N41" s="159"/>
      <c r="O41" s="159"/>
      <c r="P41" s="159"/>
      <c r="Q41" s="159"/>
      <c r="R41" s="159">
        <f t="shared" si="4"/>
        <v>0</v>
      </c>
    </row>
    <row r="42" spans="5:18" ht="16.5" x14ac:dyDescent="0.3">
      <c r="E42" s="400" t="s">
        <v>382</v>
      </c>
      <c r="F42" s="181">
        <v>0</v>
      </c>
      <c r="G42" s="159">
        <v>0</v>
      </c>
      <c r="H42" s="159">
        <v>0</v>
      </c>
      <c r="I42" s="159">
        <v>0</v>
      </c>
      <c r="J42" s="159">
        <v>0</v>
      </c>
      <c r="K42" s="159">
        <v>0</v>
      </c>
      <c r="L42" s="159">
        <v>0</v>
      </c>
      <c r="M42" s="159">
        <v>0</v>
      </c>
      <c r="N42" s="159"/>
      <c r="O42" s="159"/>
      <c r="P42" s="159"/>
      <c r="Q42" s="159"/>
      <c r="R42" s="159">
        <f t="shared" si="4"/>
        <v>0</v>
      </c>
    </row>
    <row r="43" spans="5:18" ht="16.5" x14ac:dyDescent="0.3">
      <c r="E43" s="400" t="s">
        <v>88</v>
      </c>
      <c r="F43" s="181">
        <v>0</v>
      </c>
      <c r="G43" s="159">
        <v>0</v>
      </c>
      <c r="H43" s="159">
        <v>0</v>
      </c>
      <c r="I43" s="159">
        <v>0</v>
      </c>
      <c r="J43" s="159">
        <v>0</v>
      </c>
      <c r="K43" s="159">
        <v>0</v>
      </c>
      <c r="L43" s="159">
        <v>0</v>
      </c>
      <c r="M43" s="159">
        <v>0</v>
      </c>
      <c r="N43" s="159"/>
      <c r="O43" s="159"/>
      <c r="P43" s="159"/>
      <c r="Q43" s="159"/>
      <c r="R43" s="159">
        <f t="shared" si="4"/>
        <v>0</v>
      </c>
    </row>
    <row r="44" spans="5:18" ht="16.5" x14ac:dyDescent="0.3">
      <c r="E44" s="400" t="s">
        <v>122</v>
      </c>
      <c r="F44" s="181">
        <v>0</v>
      </c>
      <c r="G44" s="159">
        <v>0</v>
      </c>
      <c r="H44" s="159">
        <v>0</v>
      </c>
      <c r="I44" s="159">
        <v>0</v>
      </c>
      <c r="J44" s="159">
        <v>0</v>
      </c>
      <c r="K44" s="159">
        <v>0</v>
      </c>
      <c r="L44" s="159">
        <v>0</v>
      </c>
      <c r="M44" s="159">
        <v>0</v>
      </c>
      <c r="N44" s="159"/>
      <c r="O44" s="159"/>
      <c r="P44" s="159"/>
      <c r="Q44" s="159"/>
      <c r="R44" s="159">
        <f t="shared" si="4"/>
        <v>0</v>
      </c>
    </row>
    <row r="45" spans="5:18" ht="16.5" x14ac:dyDescent="0.3">
      <c r="E45" s="400" t="s">
        <v>50</v>
      </c>
      <c r="F45" s="181">
        <v>4</v>
      </c>
      <c r="G45" s="159">
        <v>3</v>
      </c>
      <c r="H45" s="159">
        <v>8</v>
      </c>
      <c r="I45" s="159">
        <v>3</v>
      </c>
      <c r="J45" s="159">
        <v>4</v>
      </c>
      <c r="K45" s="159">
        <v>7</v>
      </c>
      <c r="L45" s="159">
        <v>9</v>
      </c>
      <c r="M45" s="159">
        <v>3</v>
      </c>
      <c r="N45" s="159"/>
      <c r="O45" s="159"/>
      <c r="P45" s="159"/>
      <c r="Q45" s="159"/>
      <c r="R45" s="159">
        <f t="shared" si="4"/>
        <v>41</v>
      </c>
    </row>
    <row r="46" spans="5:18" ht="17.25" thickBot="1" x14ac:dyDescent="0.35">
      <c r="E46" s="400" t="s">
        <v>51</v>
      </c>
      <c r="F46" s="182">
        <v>2</v>
      </c>
      <c r="G46" s="178">
        <v>0</v>
      </c>
      <c r="H46" s="178">
        <v>2</v>
      </c>
      <c r="I46" s="178">
        <v>1</v>
      </c>
      <c r="J46" s="178">
        <v>0</v>
      </c>
      <c r="K46" s="178">
        <v>1</v>
      </c>
      <c r="L46" s="178">
        <v>0</v>
      </c>
      <c r="M46" s="178">
        <v>1</v>
      </c>
      <c r="N46" s="178"/>
      <c r="O46" s="178"/>
      <c r="P46" s="178"/>
      <c r="Q46" s="178"/>
      <c r="R46" s="178">
        <f t="shared" si="4"/>
        <v>7</v>
      </c>
    </row>
    <row r="47" spans="5:18" ht="15.75" thickBot="1" x14ac:dyDescent="0.3">
      <c r="E47" s="388" t="s">
        <v>107</v>
      </c>
      <c r="F47" s="417">
        <f t="shared" ref="F47:Q47" si="5">SUM(F35:F46)</f>
        <v>10</v>
      </c>
      <c r="G47" s="418">
        <f>SUM(G35:G46)</f>
        <v>6</v>
      </c>
      <c r="H47" s="418">
        <f t="shared" si="5"/>
        <v>18</v>
      </c>
      <c r="I47" s="418">
        <f t="shared" si="5"/>
        <v>18</v>
      </c>
      <c r="J47" s="418">
        <f t="shared" si="5"/>
        <v>12</v>
      </c>
      <c r="K47" s="418">
        <f t="shared" si="5"/>
        <v>14</v>
      </c>
      <c r="L47" s="418">
        <f t="shared" si="5"/>
        <v>23</v>
      </c>
      <c r="M47" s="418">
        <f t="shared" si="5"/>
        <v>12</v>
      </c>
      <c r="N47" s="418">
        <f t="shared" si="5"/>
        <v>0</v>
      </c>
      <c r="O47" s="418">
        <f t="shared" si="5"/>
        <v>0</v>
      </c>
      <c r="P47" s="418">
        <f t="shared" si="5"/>
        <v>0</v>
      </c>
      <c r="Q47" s="418">
        <f t="shared" si="5"/>
        <v>0</v>
      </c>
      <c r="R47" s="419">
        <f t="shared" si="4"/>
        <v>113</v>
      </c>
    </row>
    <row r="48" spans="5:18" ht="16.5" x14ac:dyDescent="0.3">
      <c r="E48" s="391"/>
      <c r="F48" s="391"/>
      <c r="G48" s="391"/>
      <c r="H48" s="391"/>
      <c r="I48" s="391"/>
      <c r="J48" s="391"/>
      <c r="K48" s="391"/>
      <c r="L48" s="391"/>
      <c r="M48" s="391"/>
      <c r="N48" s="391"/>
      <c r="O48" s="391"/>
      <c r="P48" s="391"/>
      <c r="Q48" s="391"/>
      <c r="R48" s="391"/>
    </row>
    <row r="49" spans="5:18" ht="16.5" x14ac:dyDescent="0.3">
      <c r="E49" s="391"/>
      <c r="F49" s="391"/>
      <c r="G49" s="391"/>
      <c r="H49" s="391"/>
      <c r="I49" s="391"/>
      <c r="J49" s="391"/>
      <c r="K49" s="391"/>
      <c r="L49" s="391"/>
      <c r="N49" s="391"/>
      <c r="O49" s="391"/>
      <c r="P49" s="391"/>
      <c r="Q49" s="391"/>
      <c r="R49" s="391"/>
    </row>
    <row r="50" spans="5:18" ht="16.5" x14ac:dyDescent="0.3">
      <c r="E50" s="391"/>
      <c r="F50" s="391">
        <f t="shared" ref="F50:O50" si="6">F12+F28+F47</f>
        <v>188</v>
      </c>
      <c r="G50" s="391">
        <f t="shared" si="6"/>
        <v>230</v>
      </c>
      <c r="H50" s="391">
        <f t="shared" si="6"/>
        <v>189</v>
      </c>
      <c r="I50" s="391">
        <f t="shared" si="6"/>
        <v>242</v>
      </c>
      <c r="J50" s="391">
        <f t="shared" si="6"/>
        <v>172</v>
      </c>
      <c r="K50" s="391">
        <f t="shared" si="6"/>
        <v>169</v>
      </c>
      <c r="L50" s="391">
        <f t="shared" si="6"/>
        <v>257</v>
      </c>
      <c r="M50" s="391">
        <f t="shared" si="6"/>
        <v>170</v>
      </c>
      <c r="N50" s="391">
        <f t="shared" si="6"/>
        <v>0</v>
      </c>
      <c r="O50" s="391">
        <f t="shared" si="6"/>
        <v>0</v>
      </c>
      <c r="P50" s="391"/>
      <c r="Q50" s="391"/>
      <c r="R50" s="391">
        <f>R12+R28+R47</f>
        <v>1617</v>
      </c>
    </row>
    <row r="55" spans="5:18" x14ac:dyDescent="0.25">
      <c r="E55" t="s">
        <v>433</v>
      </c>
      <c r="F55">
        <f>R12</f>
        <v>1403</v>
      </c>
      <c r="G55" s="91">
        <f>F55/F58</f>
        <v>0.86765615337043911</v>
      </c>
    </row>
    <row r="56" spans="5:18" x14ac:dyDescent="0.25">
      <c r="E56" t="s">
        <v>200</v>
      </c>
      <c r="F56">
        <f>R28</f>
        <v>101</v>
      </c>
      <c r="G56" s="91">
        <f>F56/F58</f>
        <v>6.2461348175633889E-2</v>
      </c>
    </row>
    <row r="57" spans="5:18" x14ac:dyDescent="0.25">
      <c r="E57" t="s">
        <v>434</v>
      </c>
      <c r="F57">
        <f>R47</f>
        <v>113</v>
      </c>
      <c r="G57" s="91">
        <f>F57/F58</f>
        <v>6.9882498453927022E-2</v>
      </c>
    </row>
    <row r="58" spans="5:18" x14ac:dyDescent="0.25">
      <c r="F58">
        <f>SUM(F55:F57)</f>
        <v>1617</v>
      </c>
    </row>
  </sheetData>
  <mergeCells count="3">
    <mergeCell ref="E5:R5"/>
    <mergeCell ref="E19:R19"/>
    <mergeCell ref="E33:R3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E559-AE19-436A-924D-7122A08EEB10}">
  <dimension ref="F5:S53"/>
  <sheetViews>
    <sheetView topLeftCell="G31" workbookViewId="0">
      <selection activeCell="N38" sqref="N38"/>
    </sheetView>
  </sheetViews>
  <sheetFormatPr baseColWidth="10" defaultRowHeight="15" x14ac:dyDescent="0.25"/>
  <cols>
    <col min="6" max="6" width="34.42578125" customWidth="1"/>
    <col min="7" max="7" width="12.85546875" customWidth="1"/>
    <col min="8" max="8" width="9" bestFit="1" customWidth="1"/>
    <col min="9" max="18" width="9" customWidth="1"/>
    <col min="19" max="19" width="11.5703125" customWidth="1"/>
  </cols>
  <sheetData>
    <row r="5" spans="6:19" ht="15.75" thickBot="1" x14ac:dyDescent="0.3"/>
    <row r="6" spans="6:19" ht="21.75" thickBot="1" x14ac:dyDescent="0.4">
      <c r="F6" s="710" t="s">
        <v>132</v>
      </c>
      <c r="G6" s="711"/>
      <c r="H6" s="711"/>
      <c r="I6" s="711"/>
      <c r="J6" s="711"/>
      <c r="K6" s="711"/>
      <c r="L6" s="711"/>
      <c r="M6" s="711"/>
      <c r="N6" s="711"/>
      <c r="O6" s="711"/>
      <c r="P6" s="711"/>
      <c r="Q6" s="711"/>
      <c r="R6" s="711"/>
      <c r="S6" s="712"/>
    </row>
    <row r="7" spans="6:19" ht="16.5" thickBot="1" x14ac:dyDescent="0.3">
      <c r="F7" s="62" t="s">
        <v>104</v>
      </c>
      <c r="G7" s="42">
        <v>46023</v>
      </c>
      <c r="H7" s="42">
        <v>46054</v>
      </c>
      <c r="I7" s="42">
        <v>46082</v>
      </c>
      <c r="J7" s="42">
        <v>46113</v>
      </c>
      <c r="K7" s="42">
        <v>46143</v>
      </c>
      <c r="L7" s="42">
        <v>46174</v>
      </c>
      <c r="M7" s="42">
        <v>46204</v>
      </c>
      <c r="N7" s="42">
        <v>46235</v>
      </c>
      <c r="O7" s="42">
        <v>46266</v>
      </c>
      <c r="P7" s="42">
        <v>46296</v>
      </c>
      <c r="Q7" s="42">
        <v>46327</v>
      </c>
      <c r="R7" s="42">
        <v>46357</v>
      </c>
      <c r="S7" s="63" t="s">
        <v>106</v>
      </c>
    </row>
    <row r="8" spans="6:19" ht="15.75" thickBot="1" x14ac:dyDescent="0.3">
      <c r="F8" s="64" t="s">
        <v>97</v>
      </c>
      <c r="G8" s="65">
        <v>0</v>
      </c>
      <c r="H8" s="66">
        <v>0</v>
      </c>
      <c r="I8" s="67">
        <v>0</v>
      </c>
      <c r="J8" s="67">
        <v>0</v>
      </c>
      <c r="K8" s="67">
        <v>0</v>
      </c>
      <c r="L8" s="68">
        <v>1</v>
      </c>
      <c r="M8" s="69">
        <v>0</v>
      </c>
      <c r="N8" s="67">
        <v>0</v>
      </c>
      <c r="O8" s="67"/>
      <c r="P8" s="67"/>
      <c r="Q8" s="67"/>
      <c r="R8" s="67"/>
      <c r="S8" s="67">
        <f>SUM(G8:R8)</f>
        <v>1</v>
      </c>
    </row>
    <row r="9" spans="6:19" ht="15.75" thickBot="1" x14ac:dyDescent="0.3">
      <c r="F9" s="64" t="s">
        <v>31</v>
      </c>
      <c r="G9" s="69">
        <v>3</v>
      </c>
      <c r="H9" s="70">
        <v>3</v>
      </c>
      <c r="I9" s="70">
        <v>2</v>
      </c>
      <c r="J9" s="70">
        <v>1</v>
      </c>
      <c r="K9" s="70">
        <v>1</v>
      </c>
      <c r="L9" s="71">
        <v>7</v>
      </c>
      <c r="M9" s="53">
        <v>1</v>
      </c>
      <c r="N9" s="70">
        <v>1</v>
      </c>
      <c r="O9" s="70"/>
      <c r="P9" s="70"/>
      <c r="Q9" s="70"/>
      <c r="R9" s="70"/>
      <c r="S9" s="70">
        <f>SUM(G9:R9)</f>
        <v>19</v>
      </c>
    </row>
    <row r="10" spans="6:19" ht="15.75" thickBot="1" x14ac:dyDescent="0.3">
      <c r="F10" s="48" t="s">
        <v>107</v>
      </c>
      <c r="G10" s="72">
        <f>SUM(G8:G9)</f>
        <v>3</v>
      </c>
      <c r="H10" s="73">
        <f t="shared" ref="H10:R10" si="0">SUM(H9)</f>
        <v>3</v>
      </c>
      <c r="I10" s="73">
        <f t="shared" si="0"/>
        <v>2</v>
      </c>
      <c r="J10" s="72">
        <f t="shared" si="0"/>
        <v>1</v>
      </c>
      <c r="K10" s="73">
        <f t="shared" si="0"/>
        <v>1</v>
      </c>
      <c r="L10" s="73">
        <f>SUM(L8:L9)</f>
        <v>8</v>
      </c>
      <c r="M10" s="73">
        <f>SUM(M8:M9)</f>
        <v>1</v>
      </c>
      <c r="N10" s="73">
        <f t="shared" si="0"/>
        <v>1</v>
      </c>
      <c r="O10" s="73">
        <f t="shared" si="0"/>
        <v>0</v>
      </c>
      <c r="P10" s="72">
        <f t="shared" si="0"/>
        <v>0</v>
      </c>
      <c r="Q10" s="73">
        <f t="shared" si="0"/>
        <v>0</v>
      </c>
      <c r="R10" s="73">
        <f t="shared" si="0"/>
        <v>0</v>
      </c>
      <c r="S10" s="74">
        <f>SUM(G10:R10)</f>
        <v>20</v>
      </c>
    </row>
    <row r="11" spans="6:19" x14ac:dyDescent="0.25">
      <c r="G11" s="19"/>
    </row>
    <row r="19" spans="6:19" ht="15.75" thickBot="1" x14ac:dyDescent="0.3"/>
    <row r="20" spans="6:19" ht="21.75" thickBot="1" x14ac:dyDescent="0.4">
      <c r="F20" s="710" t="s">
        <v>133</v>
      </c>
      <c r="G20" s="711"/>
      <c r="H20" s="711"/>
      <c r="I20" s="711"/>
      <c r="J20" s="711"/>
      <c r="K20" s="711"/>
      <c r="L20" s="711"/>
      <c r="M20" s="711"/>
      <c r="N20" s="711"/>
      <c r="O20" s="711"/>
      <c r="P20" s="711"/>
      <c r="Q20" s="711"/>
      <c r="R20" s="711"/>
      <c r="S20" s="712"/>
    </row>
    <row r="21" spans="6:19" ht="16.5" thickBot="1" x14ac:dyDescent="0.3">
      <c r="F21" s="75" t="s">
        <v>104</v>
      </c>
      <c r="G21" s="42">
        <v>46023</v>
      </c>
      <c r="H21" s="42">
        <v>46054</v>
      </c>
      <c r="I21" s="42">
        <v>46082</v>
      </c>
      <c r="J21" s="42">
        <v>46113</v>
      </c>
      <c r="K21" s="42">
        <v>46143</v>
      </c>
      <c r="L21" s="42">
        <v>46174</v>
      </c>
      <c r="M21" s="42">
        <v>46204</v>
      </c>
      <c r="N21" s="42">
        <v>46235</v>
      </c>
      <c r="O21" s="42">
        <v>46266</v>
      </c>
      <c r="P21" s="42">
        <v>46296</v>
      </c>
      <c r="Q21" s="42">
        <v>46327</v>
      </c>
      <c r="R21" s="42">
        <v>46357</v>
      </c>
      <c r="S21" s="76" t="s">
        <v>106</v>
      </c>
    </row>
    <row r="22" spans="6:19" ht="15.75" thickBot="1" x14ac:dyDescent="0.3">
      <c r="F22" s="64" t="s">
        <v>23</v>
      </c>
      <c r="G22" s="65">
        <v>9</v>
      </c>
      <c r="H22" s="66">
        <v>20</v>
      </c>
      <c r="I22" s="67">
        <v>12</v>
      </c>
      <c r="J22" s="67">
        <v>11</v>
      </c>
      <c r="K22" s="67">
        <v>9</v>
      </c>
      <c r="L22" s="68">
        <v>15</v>
      </c>
      <c r="M22" s="69">
        <v>12</v>
      </c>
      <c r="N22" s="67">
        <v>17</v>
      </c>
      <c r="O22" s="67"/>
      <c r="P22" s="67"/>
      <c r="Q22" s="67"/>
      <c r="R22" s="67"/>
      <c r="S22" s="67">
        <f>SUM(G22:R22)</f>
        <v>105</v>
      </c>
    </row>
    <row r="23" spans="6:19" ht="15.75" thickBot="1" x14ac:dyDescent="0.3">
      <c r="F23" s="48" t="s">
        <v>107</v>
      </c>
      <c r="G23" s="73">
        <f>SUM(G22)</f>
        <v>9</v>
      </c>
      <c r="H23" s="73">
        <f t="shared" ref="H23:R23" si="1">SUM(H22)</f>
        <v>20</v>
      </c>
      <c r="I23" s="73">
        <f t="shared" si="1"/>
        <v>12</v>
      </c>
      <c r="J23" s="73">
        <f t="shared" si="1"/>
        <v>11</v>
      </c>
      <c r="K23" s="73">
        <f t="shared" si="1"/>
        <v>9</v>
      </c>
      <c r="L23" s="73">
        <f t="shared" si="1"/>
        <v>15</v>
      </c>
      <c r="M23" s="73">
        <f t="shared" si="1"/>
        <v>12</v>
      </c>
      <c r="N23" s="73">
        <f t="shared" si="1"/>
        <v>17</v>
      </c>
      <c r="O23" s="73">
        <f t="shared" si="1"/>
        <v>0</v>
      </c>
      <c r="P23" s="73">
        <f t="shared" si="1"/>
        <v>0</v>
      </c>
      <c r="Q23" s="73">
        <f t="shared" si="1"/>
        <v>0</v>
      </c>
      <c r="R23" s="73">
        <f t="shared" si="1"/>
        <v>0</v>
      </c>
      <c r="S23" s="74">
        <f>SUM(G23:R23)</f>
        <v>105</v>
      </c>
    </row>
    <row r="32" spans="6:19" ht="15.75" thickBot="1" x14ac:dyDescent="0.3"/>
    <row r="33" spans="6:19" ht="21.75" thickBot="1" x14ac:dyDescent="0.4">
      <c r="F33" s="710" t="s">
        <v>134</v>
      </c>
      <c r="G33" s="711"/>
      <c r="H33" s="711"/>
      <c r="I33" s="711"/>
      <c r="J33" s="711"/>
      <c r="K33" s="711"/>
      <c r="L33" s="711"/>
      <c r="M33" s="711"/>
      <c r="N33" s="711"/>
      <c r="O33" s="711"/>
      <c r="P33" s="711"/>
      <c r="Q33" s="711"/>
      <c r="R33" s="711"/>
      <c r="S33" s="712"/>
    </row>
    <row r="34" spans="6:19" ht="16.5" thickBot="1" x14ac:dyDescent="0.3">
      <c r="F34" s="75" t="s">
        <v>104</v>
      </c>
      <c r="G34" s="42">
        <v>46023</v>
      </c>
      <c r="H34" s="42">
        <v>46054</v>
      </c>
      <c r="I34" s="42">
        <v>46082</v>
      </c>
      <c r="J34" s="42">
        <v>46113</v>
      </c>
      <c r="K34" s="42">
        <v>46143</v>
      </c>
      <c r="L34" s="42">
        <v>46174</v>
      </c>
      <c r="M34" s="42">
        <v>46204</v>
      </c>
      <c r="N34" s="42">
        <v>46235</v>
      </c>
      <c r="O34" s="42">
        <v>46266</v>
      </c>
      <c r="P34" s="42">
        <v>46296</v>
      </c>
      <c r="Q34" s="42">
        <v>46327</v>
      </c>
      <c r="R34" s="42">
        <v>46357</v>
      </c>
      <c r="S34" s="77" t="s">
        <v>106</v>
      </c>
    </row>
    <row r="35" spans="6:19" ht="18.75" customHeight="1" thickBot="1" x14ac:dyDescent="0.3">
      <c r="F35" s="49" t="s">
        <v>393</v>
      </c>
      <c r="G35" s="338">
        <v>0</v>
      </c>
      <c r="H35" s="66">
        <v>0</v>
      </c>
      <c r="I35" s="67">
        <v>0</v>
      </c>
      <c r="J35" s="67">
        <v>0</v>
      </c>
      <c r="K35" s="67">
        <v>0</v>
      </c>
      <c r="L35" s="67">
        <v>0</v>
      </c>
      <c r="M35" s="67">
        <v>0</v>
      </c>
      <c r="N35" s="67">
        <v>0</v>
      </c>
      <c r="O35" s="67"/>
      <c r="P35" s="67"/>
      <c r="Q35" s="67"/>
      <c r="R35" s="67"/>
      <c r="S35" s="67">
        <f>SUM(G35:R35)</f>
        <v>0</v>
      </c>
    </row>
    <row r="36" spans="6:19" ht="18.75" customHeight="1" thickBot="1" x14ac:dyDescent="0.3">
      <c r="F36" s="21" t="s">
        <v>347</v>
      </c>
      <c r="G36" s="338">
        <v>0</v>
      </c>
      <c r="H36" s="66">
        <v>0</v>
      </c>
      <c r="I36" s="67">
        <v>0</v>
      </c>
      <c r="J36" s="67">
        <v>0</v>
      </c>
      <c r="K36" s="67">
        <v>0</v>
      </c>
      <c r="L36" s="67">
        <v>0</v>
      </c>
      <c r="M36" s="67">
        <v>0</v>
      </c>
      <c r="N36" s="67">
        <v>0</v>
      </c>
      <c r="O36" s="67"/>
      <c r="P36" s="67"/>
      <c r="Q36" s="67"/>
      <c r="R36" s="67"/>
      <c r="S36" s="67">
        <v>0</v>
      </c>
    </row>
    <row r="37" spans="6:19" ht="19.899999999999999" customHeight="1" thickBot="1" x14ac:dyDescent="0.3">
      <c r="F37" s="22" t="s">
        <v>51</v>
      </c>
      <c r="G37" s="338">
        <v>5</v>
      </c>
      <c r="H37" s="66">
        <v>2</v>
      </c>
      <c r="I37" s="67">
        <v>4</v>
      </c>
      <c r="J37" s="67">
        <v>6</v>
      </c>
      <c r="K37" s="67">
        <v>3</v>
      </c>
      <c r="L37" s="67">
        <v>6</v>
      </c>
      <c r="M37" s="67">
        <v>3</v>
      </c>
      <c r="N37" s="67">
        <v>1</v>
      </c>
      <c r="O37" s="67"/>
      <c r="P37" s="67"/>
      <c r="Q37" s="67"/>
      <c r="R37" s="67"/>
      <c r="S37" s="67">
        <f>SUM(G37:R37)</f>
        <v>30</v>
      </c>
    </row>
    <row r="38" spans="6:19" ht="15.75" thickBot="1" x14ac:dyDescent="0.3">
      <c r="F38" s="48" t="s">
        <v>107</v>
      </c>
      <c r="G38" s="73">
        <f t="shared" ref="G38:M38" si="2">SUM(G35:G37)</f>
        <v>5</v>
      </c>
      <c r="H38" s="73">
        <f t="shared" si="2"/>
        <v>2</v>
      </c>
      <c r="I38" s="73">
        <f t="shared" si="2"/>
        <v>4</v>
      </c>
      <c r="J38" s="73">
        <f t="shared" si="2"/>
        <v>6</v>
      </c>
      <c r="K38" s="73">
        <f t="shared" si="2"/>
        <v>3</v>
      </c>
      <c r="L38" s="73">
        <f t="shared" si="2"/>
        <v>6</v>
      </c>
      <c r="M38" s="73">
        <f t="shared" si="2"/>
        <v>3</v>
      </c>
      <c r="N38" s="73">
        <f>SUM(N35:N37)</f>
        <v>1</v>
      </c>
      <c r="O38" s="73">
        <f>SUM(O35:O37)</f>
        <v>0</v>
      </c>
      <c r="P38" s="73">
        <f>SUM(P35:P37)</f>
        <v>0</v>
      </c>
      <c r="Q38" s="73">
        <f>SUM(Q35:Q37)</f>
        <v>0</v>
      </c>
      <c r="R38" s="73">
        <f>SUM(R35:R37)</f>
        <v>0</v>
      </c>
      <c r="S38" s="73">
        <f>SUM(G38:R38)</f>
        <v>30</v>
      </c>
    </row>
    <row r="41" spans="6:19" x14ac:dyDescent="0.25">
      <c r="G41">
        <f t="shared" ref="G41:P41" si="3">G10+G23+G38</f>
        <v>17</v>
      </c>
      <c r="H41">
        <f t="shared" si="3"/>
        <v>25</v>
      </c>
      <c r="I41">
        <f t="shared" si="3"/>
        <v>18</v>
      </c>
      <c r="J41">
        <f t="shared" si="3"/>
        <v>18</v>
      </c>
      <c r="K41">
        <f t="shared" si="3"/>
        <v>13</v>
      </c>
      <c r="L41">
        <f t="shared" si="3"/>
        <v>29</v>
      </c>
      <c r="M41">
        <f t="shared" si="3"/>
        <v>16</v>
      </c>
      <c r="N41">
        <f t="shared" si="3"/>
        <v>19</v>
      </c>
      <c r="O41">
        <f t="shared" si="3"/>
        <v>0</v>
      </c>
      <c r="P41">
        <f t="shared" si="3"/>
        <v>0</v>
      </c>
    </row>
    <row r="42" spans="6:19" x14ac:dyDescent="0.25">
      <c r="S42">
        <f>S10+S23+S38</f>
        <v>155</v>
      </c>
    </row>
    <row r="50" spans="6:8" x14ac:dyDescent="0.25">
      <c r="F50" t="s">
        <v>433</v>
      </c>
      <c r="G50">
        <f>S10</f>
        <v>20</v>
      </c>
      <c r="H50" s="91">
        <f>G50/G53</f>
        <v>0.12903225806451613</v>
      </c>
    </row>
    <row r="51" spans="6:8" x14ac:dyDescent="0.25">
      <c r="F51" t="s">
        <v>200</v>
      </c>
      <c r="G51">
        <f>S23</f>
        <v>105</v>
      </c>
      <c r="H51" s="91">
        <f>G51/G53</f>
        <v>0.67741935483870963</v>
      </c>
    </row>
    <row r="52" spans="6:8" x14ac:dyDescent="0.25">
      <c r="F52" t="s">
        <v>434</v>
      </c>
      <c r="G52">
        <f>S38</f>
        <v>30</v>
      </c>
      <c r="H52" s="91">
        <f>G52/G53</f>
        <v>0.19354838709677419</v>
      </c>
    </row>
    <row r="53" spans="6:8" x14ac:dyDescent="0.25">
      <c r="G53">
        <f>SUM(G50:G52)</f>
        <v>155</v>
      </c>
    </row>
  </sheetData>
  <mergeCells count="3">
    <mergeCell ref="F6:S6"/>
    <mergeCell ref="F20:S20"/>
    <mergeCell ref="F33:S3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14B69-980D-4A9B-A667-F1AE2777B133}">
  <dimension ref="E5:R51"/>
  <sheetViews>
    <sheetView topLeftCell="K29" workbookViewId="0">
      <selection activeCell="U57" sqref="U57"/>
    </sheetView>
  </sheetViews>
  <sheetFormatPr baseColWidth="10" defaultRowHeight="15" x14ac:dyDescent="0.25"/>
  <cols>
    <col min="5" max="5" width="27" customWidth="1"/>
  </cols>
  <sheetData>
    <row r="5" spans="5:18" ht="15.75" thickBot="1" x14ac:dyDescent="0.3"/>
    <row r="6" spans="5:18" ht="21.75" thickBot="1" x14ac:dyDescent="0.4">
      <c r="E6" s="710" t="s">
        <v>136</v>
      </c>
      <c r="F6" s="711"/>
      <c r="G6" s="711"/>
      <c r="H6" s="711"/>
      <c r="I6" s="711"/>
      <c r="J6" s="711"/>
      <c r="K6" s="711"/>
      <c r="L6" s="711"/>
      <c r="M6" s="711"/>
      <c r="N6" s="711"/>
      <c r="O6" s="711"/>
      <c r="P6" s="711"/>
      <c r="Q6" s="711"/>
      <c r="R6" s="712"/>
    </row>
    <row r="7" spans="5:18" ht="18" customHeight="1" thickBot="1" x14ac:dyDescent="0.3">
      <c r="E7" s="20" t="s">
        <v>104</v>
      </c>
      <c r="F7" s="42">
        <v>46023</v>
      </c>
      <c r="G7" s="42">
        <v>46054</v>
      </c>
      <c r="H7" s="42">
        <v>46082</v>
      </c>
      <c r="I7" s="42">
        <v>46113</v>
      </c>
      <c r="J7" s="42">
        <v>46143</v>
      </c>
      <c r="K7" s="42">
        <v>46174</v>
      </c>
      <c r="L7" s="42">
        <v>46204</v>
      </c>
      <c r="M7" s="42">
        <v>46235</v>
      </c>
      <c r="N7" s="42">
        <v>46266</v>
      </c>
      <c r="O7" s="42">
        <v>46296</v>
      </c>
      <c r="P7" s="42">
        <v>46327</v>
      </c>
      <c r="Q7" s="42">
        <v>46357</v>
      </c>
      <c r="R7" s="17" t="s">
        <v>106</v>
      </c>
    </row>
    <row r="8" spans="5:18" x14ac:dyDescent="0.25">
      <c r="E8" s="49" t="s">
        <v>394</v>
      </c>
      <c r="F8" s="50">
        <v>0</v>
      </c>
      <c r="G8" s="56">
        <v>0</v>
      </c>
      <c r="H8" s="50">
        <v>3</v>
      </c>
      <c r="I8" s="50">
        <v>1</v>
      </c>
      <c r="J8" s="50">
        <v>0</v>
      </c>
      <c r="K8" s="50">
        <v>0</v>
      </c>
      <c r="L8" s="50">
        <v>0</v>
      </c>
      <c r="M8" s="50">
        <v>0</v>
      </c>
      <c r="N8" s="50"/>
      <c r="O8" s="50"/>
      <c r="P8" s="50"/>
      <c r="Q8" s="50"/>
      <c r="R8" s="50">
        <f>SUM(F8:Q8)</f>
        <v>4</v>
      </c>
    </row>
    <row r="9" spans="5:18" x14ac:dyDescent="0.25">
      <c r="E9" s="21" t="s">
        <v>31</v>
      </c>
      <c r="F9" s="50">
        <v>5</v>
      </c>
      <c r="G9" s="56">
        <v>1</v>
      </c>
      <c r="H9" s="50">
        <v>0</v>
      </c>
      <c r="I9" s="50">
        <v>2</v>
      </c>
      <c r="J9" s="50">
        <v>1</v>
      </c>
      <c r="K9" s="50">
        <v>2</v>
      </c>
      <c r="L9" s="50">
        <v>2</v>
      </c>
      <c r="M9" s="50">
        <v>4</v>
      </c>
      <c r="N9" s="50"/>
      <c r="O9" s="50"/>
      <c r="P9" s="52"/>
      <c r="Q9" s="52"/>
      <c r="R9" s="52">
        <f>SUM(F9:Q9)</f>
        <v>17</v>
      </c>
    </row>
    <row r="10" spans="5:18" ht="15.75" thickBot="1" x14ac:dyDescent="0.3">
      <c r="E10" s="22" t="s">
        <v>37</v>
      </c>
      <c r="F10" s="79">
        <v>6</v>
      </c>
      <c r="G10" s="78">
        <v>5</v>
      </c>
      <c r="H10" s="79">
        <v>1</v>
      </c>
      <c r="I10" s="79">
        <v>3</v>
      </c>
      <c r="J10" s="79">
        <v>5</v>
      </c>
      <c r="K10" s="79">
        <v>3</v>
      </c>
      <c r="L10" s="79">
        <v>2</v>
      </c>
      <c r="M10" s="79">
        <v>2</v>
      </c>
      <c r="N10" s="79"/>
      <c r="O10" s="79"/>
      <c r="P10" s="79"/>
      <c r="Q10" s="79"/>
      <c r="R10" s="79">
        <f>SUM(F10:Q10)</f>
        <v>27</v>
      </c>
    </row>
    <row r="11" spans="5:18" ht="15.75" thickBot="1" x14ac:dyDescent="0.3">
      <c r="E11" s="48" t="s">
        <v>107</v>
      </c>
      <c r="F11" s="31">
        <f t="shared" ref="F11:Q11" si="0">SUM(F8:F10)</f>
        <v>11</v>
      </c>
      <c r="G11" s="31">
        <f t="shared" si="0"/>
        <v>6</v>
      </c>
      <c r="H11" s="31">
        <f t="shared" si="0"/>
        <v>4</v>
      </c>
      <c r="I11" s="31">
        <f t="shared" si="0"/>
        <v>6</v>
      </c>
      <c r="J11" s="31">
        <f t="shared" si="0"/>
        <v>6</v>
      </c>
      <c r="K11" s="31">
        <f t="shared" si="0"/>
        <v>5</v>
      </c>
      <c r="L11" s="31">
        <f t="shared" si="0"/>
        <v>4</v>
      </c>
      <c r="M11" s="31">
        <f t="shared" si="0"/>
        <v>6</v>
      </c>
      <c r="N11" s="31">
        <f t="shared" si="0"/>
        <v>0</v>
      </c>
      <c r="O11" s="31">
        <f t="shared" si="0"/>
        <v>0</v>
      </c>
      <c r="P11" s="31">
        <f t="shared" si="0"/>
        <v>0</v>
      </c>
      <c r="Q11" s="31">
        <f t="shared" si="0"/>
        <v>0</v>
      </c>
      <c r="R11" s="31">
        <f>SUM(F11:Q11)</f>
        <v>48</v>
      </c>
    </row>
    <row r="20" spans="5:18" ht="15.75" thickBot="1" x14ac:dyDescent="0.3"/>
    <row r="21" spans="5:18" ht="21.75" thickBot="1" x14ac:dyDescent="0.4">
      <c r="E21" s="710" t="s">
        <v>137</v>
      </c>
      <c r="F21" s="711"/>
      <c r="G21" s="711"/>
      <c r="H21" s="711"/>
      <c r="I21" s="711"/>
      <c r="J21" s="711"/>
      <c r="K21" s="711"/>
      <c r="L21" s="711"/>
      <c r="M21" s="711"/>
      <c r="N21" s="711"/>
      <c r="O21" s="711"/>
      <c r="P21" s="711"/>
      <c r="Q21" s="711"/>
      <c r="R21" s="712"/>
    </row>
    <row r="22" spans="5:18" ht="16.5" thickBot="1" x14ac:dyDescent="0.3">
      <c r="E22" s="80" t="s">
        <v>104</v>
      </c>
      <c r="F22" s="42">
        <v>46023</v>
      </c>
      <c r="G22" s="42">
        <v>46054</v>
      </c>
      <c r="H22" s="42">
        <v>46082</v>
      </c>
      <c r="I22" s="42">
        <v>46113</v>
      </c>
      <c r="J22" s="42">
        <v>46143</v>
      </c>
      <c r="K22" s="42">
        <v>46174</v>
      </c>
      <c r="L22" s="42">
        <v>46204</v>
      </c>
      <c r="M22" s="42">
        <v>46235</v>
      </c>
      <c r="N22" s="42">
        <v>46266</v>
      </c>
      <c r="O22" s="42">
        <v>46296</v>
      </c>
      <c r="P22" s="42">
        <v>46327</v>
      </c>
      <c r="Q22" s="42">
        <v>46357</v>
      </c>
      <c r="R22" s="20" t="s">
        <v>106</v>
      </c>
    </row>
    <row r="23" spans="5:18" x14ac:dyDescent="0.25">
      <c r="E23" s="49" t="s">
        <v>23</v>
      </c>
      <c r="F23" s="51">
        <v>0</v>
      </c>
      <c r="G23" s="24">
        <v>0</v>
      </c>
      <c r="H23" s="25">
        <v>0</v>
      </c>
      <c r="I23" s="24">
        <v>0</v>
      </c>
      <c r="J23" s="25">
        <v>0</v>
      </c>
      <c r="K23" s="24">
        <v>0</v>
      </c>
      <c r="L23" s="25">
        <v>0</v>
      </c>
      <c r="M23" s="24">
        <v>0</v>
      </c>
      <c r="N23" s="25"/>
      <c r="O23" s="24"/>
      <c r="P23" s="37"/>
      <c r="Q23" s="24"/>
      <c r="R23" s="25">
        <f>SUM(F23:Q23)</f>
        <v>0</v>
      </c>
    </row>
    <row r="24" spans="5:18" x14ac:dyDescent="0.25">
      <c r="E24" s="21" t="s">
        <v>114</v>
      </c>
      <c r="F24" s="51">
        <v>0</v>
      </c>
      <c r="G24" s="24">
        <v>0</v>
      </c>
      <c r="H24" s="25">
        <v>0</v>
      </c>
      <c r="I24" s="24">
        <v>0</v>
      </c>
      <c r="J24" s="25">
        <v>0</v>
      </c>
      <c r="K24" s="27">
        <v>0</v>
      </c>
      <c r="L24" s="28">
        <v>0</v>
      </c>
      <c r="M24" s="27">
        <v>0</v>
      </c>
      <c r="N24" s="28"/>
      <c r="O24" s="27"/>
      <c r="P24" s="41"/>
      <c r="Q24" s="27"/>
      <c r="R24" s="25">
        <f>SUM(F24:Q24)</f>
        <v>0</v>
      </c>
    </row>
    <row r="25" spans="5:18" ht="15.75" thickBot="1" x14ac:dyDescent="0.3">
      <c r="E25" s="22" t="s">
        <v>138</v>
      </c>
      <c r="F25" s="84">
        <v>2</v>
      </c>
      <c r="G25" s="27">
        <v>0</v>
      </c>
      <c r="H25" s="28">
        <v>1</v>
      </c>
      <c r="I25" s="27">
        <v>0</v>
      </c>
      <c r="J25" s="28">
        <v>2</v>
      </c>
      <c r="K25" s="27">
        <v>1</v>
      </c>
      <c r="L25" s="28">
        <v>0</v>
      </c>
      <c r="M25" s="27">
        <v>1</v>
      </c>
      <c r="N25" s="28"/>
      <c r="O25" s="27"/>
      <c r="P25" s="28"/>
      <c r="Q25" s="27"/>
      <c r="R25" s="28">
        <f>SUM(F25:Q25)</f>
        <v>7</v>
      </c>
    </row>
    <row r="26" spans="5:18" ht="15.75" thickBot="1" x14ac:dyDescent="0.3">
      <c r="E26" s="575" t="s">
        <v>107</v>
      </c>
      <c r="F26" s="31">
        <f t="shared" ref="F26:M26" si="1">SUM(F23:F25)</f>
        <v>2</v>
      </c>
      <c r="G26" s="31">
        <f t="shared" si="1"/>
        <v>0</v>
      </c>
      <c r="H26" s="31">
        <f t="shared" si="1"/>
        <v>1</v>
      </c>
      <c r="I26" s="31">
        <f t="shared" si="1"/>
        <v>0</v>
      </c>
      <c r="J26" s="31">
        <f t="shared" si="1"/>
        <v>2</v>
      </c>
      <c r="K26" s="30">
        <f t="shared" si="1"/>
        <v>1</v>
      </c>
      <c r="L26" s="31">
        <f t="shared" si="1"/>
        <v>0</v>
      </c>
      <c r="M26" s="30">
        <f t="shared" si="1"/>
        <v>1</v>
      </c>
      <c r="N26" s="31">
        <f t="shared" ref="N26:Q26" ca="1" si="2">SUM(N23:N26)</f>
        <v>0</v>
      </c>
      <c r="O26" s="30">
        <f t="shared" ca="1" si="2"/>
        <v>0</v>
      </c>
      <c r="P26" s="31">
        <f t="shared" ca="1" si="2"/>
        <v>0</v>
      </c>
      <c r="Q26" s="31">
        <f t="shared" ca="1" si="2"/>
        <v>0</v>
      </c>
      <c r="R26" s="31">
        <f>R23+R24+R25</f>
        <v>7</v>
      </c>
    </row>
    <row r="32" spans="5:18" ht="27.75" customHeight="1" x14ac:dyDescent="0.25"/>
    <row r="34" spans="5:18" ht="15.75" thickBot="1" x14ac:dyDescent="0.3"/>
    <row r="35" spans="5:18" ht="21.75" thickBot="1" x14ac:dyDescent="0.4">
      <c r="E35" s="710" t="s">
        <v>139</v>
      </c>
      <c r="F35" s="711"/>
      <c r="G35" s="711"/>
      <c r="H35" s="711"/>
      <c r="I35" s="711"/>
      <c r="J35" s="711"/>
      <c r="K35" s="711"/>
      <c r="L35" s="711"/>
      <c r="M35" s="711"/>
      <c r="N35" s="711"/>
      <c r="O35" s="711"/>
      <c r="P35" s="711"/>
      <c r="Q35" s="711"/>
      <c r="R35" s="712"/>
    </row>
    <row r="36" spans="5:18" ht="16.5" thickBot="1" x14ac:dyDescent="0.3">
      <c r="E36" s="20" t="s">
        <v>104</v>
      </c>
      <c r="F36" s="42">
        <v>46023</v>
      </c>
      <c r="G36" s="42">
        <v>46054</v>
      </c>
      <c r="H36" s="42">
        <v>46082</v>
      </c>
      <c r="I36" s="42">
        <v>46113</v>
      </c>
      <c r="J36" s="42">
        <v>46143</v>
      </c>
      <c r="K36" s="42">
        <v>46174</v>
      </c>
      <c r="L36" s="42">
        <v>46204</v>
      </c>
      <c r="M36" s="42">
        <v>46235</v>
      </c>
      <c r="N36" s="42">
        <v>46266</v>
      </c>
      <c r="O36" s="42">
        <v>46296</v>
      </c>
      <c r="P36" s="42">
        <v>46327</v>
      </c>
      <c r="Q36" s="42">
        <v>46357</v>
      </c>
      <c r="R36" s="20" t="s">
        <v>106</v>
      </c>
    </row>
    <row r="37" spans="5:18" ht="15.75" thickBot="1" x14ac:dyDescent="0.3">
      <c r="E37" s="43" t="s">
        <v>51</v>
      </c>
      <c r="F37" s="44">
        <v>0</v>
      </c>
      <c r="G37" s="44">
        <v>0</v>
      </c>
      <c r="H37" s="45">
        <v>0</v>
      </c>
      <c r="I37" s="45">
        <v>0</v>
      </c>
      <c r="J37" s="45">
        <v>0</v>
      </c>
      <c r="K37" s="45">
        <v>0</v>
      </c>
      <c r="L37" s="45">
        <v>0</v>
      </c>
      <c r="M37" s="45">
        <v>0</v>
      </c>
      <c r="N37" s="57"/>
      <c r="O37" s="57"/>
      <c r="P37" s="57"/>
      <c r="Q37" s="57"/>
      <c r="R37" s="46">
        <f>SUM(F37:Q37)</f>
        <v>0</v>
      </c>
    </row>
    <row r="38" spans="5:18" ht="15.75" thickBot="1" x14ac:dyDescent="0.3">
      <c r="E38" s="48" t="s">
        <v>107</v>
      </c>
      <c r="F38" s="31">
        <f t="shared" ref="F38:Q38" si="3">SUM(F37)</f>
        <v>0</v>
      </c>
      <c r="G38" s="31">
        <f t="shared" si="3"/>
        <v>0</v>
      </c>
      <c r="H38" s="31">
        <f t="shared" si="3"/>
        <v>0</v>
      </c>
      <c r="I38" s="31">
        <f t="shared" si="3"/>
        <v>0</v>
      </c>
      <c r="J38" s="31">
        <f t="shared" si="3"/>
        <v>0</v>
      </c>
      <c r="K38" s="31">
        <f t="shared" si="3"/>
        <v>0</v>
      </c>
      <c r="L38" s="31">
        <f t="shared" si="3"/>
        <v>0</v>
      </c>
      <c r="M38" s="31">
        <f t="shared" si="3"/>
        <v>0</v>
      </c>
      <c r="N38" s="31">
        <f t="shared" si="3"/>
        <v>0</v>
      </c>
      <c r="O38" s="31">
        <f t="shared" si="3"/>
        <v>0</v>
      </c>
      <c r="P38" s="31">
        <f t="shared" si="3"/>
        <v>0</v>
      </c>
      <c r="Q38" s="31">
        <f t="shared" si="3"/>
        <v>0</v>
      </c>
      <c r="R38" s="31">
        <f>SUM(F38:Q38)</f>
        <v>0</v>
      </c>
    </row>
    <row r="42" spans="5:18" x14ac:dyDescent="0.25">
      <c r="F42">
        <f>F11+F26+F38</f>
        <v>13</v>
      </c>
      <c r="G42">
        <v>6</v>
      </c>
      <c r="H42">
        <f t="shared" ref="H42:O42" si="4">H11+H26+H38</f>
        <v>5</v>
      </c>
      <c r="I42">
        <f t="shared" si="4"/>
        <v>6</v>
      </c>
      <c r="J42">
        <f t="shared" si="4"/>
        <v>8</v>
      </c>
      <c r="K42">
        <f t="shared" si="4"/>
        <v>6</v>
      </c>
      <c r="L42">
        <f t="shared" si="4"/>
        <v>4</v>
      </c>
      <c r="M42">
        <f t="shared" si="4"/>
        <v>7</v>
      </c>
      <c r="N42">
        <f t="shared" ca="1" si="4"/>
        <v>0</v>
      </c>
      <c r="O42">
        <f t="shared" ca="1" si="4"/>
        <v>0</v>
      </c>
    </row>
    <row r="43" spans="5:18" x14ac:dyDescent="0.25">
      <c r="R43">
        <f>R11+R26+R38</f>
        <v>55</v>
      </c>
    </row>
    <row r="48" spans="5:18" x14ac:dyDescent="0.25">
      <c r="E48" t="s">
        <v>433</v>
      </c>
      <c r="F48">
        <f>R11</f>
        <v>48</v>
      </c>
      <c r="G48" s="91">
        <f>F48/F51</f>
        <v>0.87272727272727268</v>
      </c>
    </row>
    <row r="49" spans="5:7" x14ac:dyDescent="0.25">
      <c r="E49" t="s">
        <v>200</v>
      </c>
      <c r="F49">
        <f>R26</f>
        <v>7</v>
      </c>
      <c r="G49" s="91">
        <f>F49/F51</f>
        <v>0.12727272727272726</v>
      </c>
    </row>
    <row r="50" spans="5:7" x14ac:dyDescent="0.25">
      <c r="E50" t="s">
        <v>434</v>
      </c>
      <c r="F50">
        <f>R38</f>
        <v>0</v>
      </c>
      <c r="G50" s="91">
        <f>F50/F51</f>
        <v>0</v>
      </c>
    </row>
    <row r="51" spans="5:7" x14ac:dyDescent="0.25">
      <c r="F51">
        <f>SUM(F48:F50)</f>
        <v>55</v>
      </c>
    </row>
  </sheetData>
  <mergeCells count="3">
    <mergeCell ref="E6:R6"/>
    <mergeCell ref="E21:R21"/>
    <mergeCell ref="E35:R3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CE5AC-57C7-440F-B542-CF680DFAAA1D}">
  <dimension ref="E9:R16"/>
  <sheetViews>
    <sheetView topLeftCell="M1" workbookViewId="0">
      <selection activeCell="Q18" sqref="Q18"/>
    </sheetView>
  </sheetViews>
  <sheetFormatPr baseColWidth="10" defaultRowHeight="15" x14ac:dyDescent="0.25"/>
  <cols>
    <col min="5" max="5" width="29.42578125" customWidth="1"/>
  </cols>
  <sheetData>
    <row r="9" spans="5:18" ht="15.75" thickBot="1" x14ac:dyDescent="0.3"/>
    <row r="10" spans="5:18" ht="21.75" thickBot="1" x14ac:dyDescent="0.4">
      <c r="E10" s="710" t="s">
        <v>140</v>
      </c>
      <c r="F10" s="711"/>
      <c r="G10" s="711"/>
      <c r="H10" s="711"/>
      <c r="I10" s="711"/>
      <c r="J10" s="711"/>
      <c r="K10" s="711"/>
      <c r="L10" s="711"/>
      <c r="M10" s="711"/>
      <c r="N10" s="711"/>
      <c r="O10" s="711"/>
      <c r="P10" s="711"/>
      <c r="Q10" s="711"/>
      <c r="R10" s="712"/>
    </row>
    <row r="11" spans="5:18" ht="16.5" thickBot="1" x14ac:dyDescent="0.3">
      <c r="E11" s="75" t="s">
        <v>104</v>
      </c>
      <c r="F11" s="42">
        <v>46023</v>
      </c>
      <c r="G11" s="42">
        <v>46054</v>
      </c>
      <c r="H11" s="42">
        <v>46082</v>
      </c>
      <c r="I11" s="42">
        <v>46113</v>
      </c>
      <c r="J11" s="42">
        <v>46143</v>
      </c>
      <c r="K11" s="42">
        <v>46174</v>
      </c>
      <c r="L11" s="42">
        <v>46204</v>
      </c>
      <c r="M11" s="42">
        <v>46235</v>
      </c>
      <c r="N11" s="42">
        <v>46266</v>
      </c>
      <c r="O11" s="42">
        <v>46296</v>
      </c>
      <c r="P11" s="42">
        <v>46327</v>
      </c>
      <c r="Q11" s="42">
        <v>46357</v>
      </c>
      <c r="R11" s="20" t="s">
        <v>106</v>
      </c>
    </row>
    <row r="12" spans="5:18" ht="15.75" thickBot="1" x14ac:dyDescent="0.3">
      <c r="E12" s="81" t="s">
        <v>31</v>
      </c>
      <c r="F12" s="82">
        <v>4</v>
      </c>
      <c r="G12" s="66">
        <v>6</v>
      </c>
      <c r="H12" s="67">
        <v>7</v>
      </c>
      <c r="I12" s="67">
        <v>6</v>
      </c>
      <c r="J12" s="67">
        <v>7</v>
      </c>
      <c r="K12" s="67">
        <v>11</v>
      </c>
      <c r="L12" s="67">
        <v>16</v>
      </c>
      <c r="M12" s="67">
        <v>7</v>
      </c>
      <c r="N12" s="67"/>
      <c r="O12" s="67"/>
      <c r="P12" s="67"/>
      <c r="Q12" s="67"/>
      <c r="R12" s="69">
        <f>SUM(F12:Q12)</f>
        <v>64</v>
      </c>
    </row>
    <row r="13" spans="5:18" ht="15.75" thickBot="1" x14ac:dyDescent="0.3">
      <c r="E13" s="48" t="s">
        <v>107</v>
      </c>
      <c r="F13" s="73">
        <f t="shared" ref="F13:O13" si="0">SUM(F12)</f>
        <v>4</v>
      </c>
      <c r="G13" s="73">
        <f t="shared" si="0"/>
        <v>6</v>
      </c>
      <c r="H13" s="73">
        <f t="shared" si="0"/>
        <v>7</v>
      </c>
      <c r="I13" s="73">
        <f t="shared" si="0"/>
        <v>6</v>
      </c>
      <c r="J13" s="73">
        <f t="shared" si="0"/>
        <v>7</v>
      </c>
      <c r="K13" s="73">
        <f t="shared" si="0"/>
        <v>11</v>
      </c>
      <c r="L13" s="73">
        <f t="shared" si="0"/>
        <v>16</v>
      </c>
      <c r="M13" s="73">
        <f t="shared" si="0"/>
        <v>7</v>
      </c>
      <c r="N13" s="73">
        <f t="shared" si="0"/>
        <v>0</v>
      </c>
      <c r="O13" s="73">
        <f t="shared" si="0"/>
        <v>0</v>
      </c>
      <c r="P13" s="74"/>
      <c r="Q13" s="74"/>
      <c r="R13" s="69">
        <f>SUM(F13:Q13)</f>
        <v>64</v>
      </c>
    </row>
    <row r="16" spans="5:18" x14ac:dyDescent="0.25">
      <c r="R16">
        <f>R13</f>
        <v>64</v>
      </c>
    </row>
  </sheetData>
  <mergeCells count="1">
    <mergeCell ref="E10:R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CA9CC-4F93-4889-AD0D-EB1ACA5855E9}">
  <dimension ref="E9:R16"/>
  <sheetViews>
    <sheetView workbookViewId="0">
      <selection activeCell="Q18" sqref="Q18"/>
    </sheetView>
  </sheetViews>
  <sheetFormatPr baseColWidth="10" defaultRowHeight="15" x14ac:dyDescent="0.25"/>
  <cols>
    <col min="5" max="5" width="29.42578125" customWidth="1"/>
  </cols>
  <sheetData>
    <row r="9" spans="5:18" ht="15.75" thickBot="1" x14ac:dyDescent="0.3"/>
    <row r="10" spans="5:18" ht="21.75" thickBot="1" x14ac:dyDescent="0.4">
      <c r="E10" s="710" t="s">
        <v>420</v>
      </c>
      <c r="F10" s="711"/>
      <c r="G10" s="711"/>
      <c r="H10" s="711"/>
      <c r="I10" s="711"/>
      <c r="J10" s="711"/>
      <c r="K10" s="711"/>
      <c r="L10" s="711"/>
      <c r="M10" s="711"/>
      <c r="N10" s="711"/>
      <c r="O10" s="711"/>
      <c r="P10" s="711"/>
      <c r="Q10" s="711"/>
      <c r="R10" s="712"/>
    </row>
    <row r="11" spans="5:18" ht="16.5" thickBot="1" x14ac:dyDescent="0.3">
      <c r="E11" s="75" t="s">
        <v>104</v>
      </c>
      <c r="F11" s="42">
        <v>46023</v>
      </c>
      <c r="G11" s="42">
        <v>46054</v>
      </c>
      <c r="H11" s="42">
        <v>46082</v>
      </c>
      <c r="I11" s="42">
        <v>46113</v>
      </c>
      <c r="J11" s="42">
        <v>46143</v>
      </c>
      <c r="K11" s="42">
        <v>46174</v>
      </c>
      <c r="L11" s="42">
        <v>46204</v>
      </c>
      <c r="M11" s="42">
        <v>46235</v>
      </c>
      <c r="N11" s="42">
        <v>46266</v>
      </c>
      <c r="O11" s="42">
        <v>46296</v>
      </c>
      <c r="P11" s="42">
        <v>46327</v>
      </c>
      <c r="Q11" s="42">
        <v>46357</v>
      </c>
      <c r="R11" s="20" t="s">
        <v>106</v>
      </c>
    </row>
    <row r="12" spans="5:18" ht="15.75" thickBot="1" x14ac:dyDescent="0.3">
      <c r="E12" s="81" t="s">
        <v>31</v>
      </c>
      <c r="F12" s="82">
        <v>0</v>
      </c>
      <c r="G12" s="66">
        <v>0</v>
      </c>
      <c r="H12" s="67">
        <v>0</v>
      </c>
      <c r="I12" s="67">
        <v>0</v>
      </c>
      <c r="J12" s="67">
        <v>0</v>
      </c>
      <c r="K12" s="67">
        <v>0</v>
      </c>
      <c r="L12" s="67">
        <v>2</v>
      </c>
      <c r="M12" s="67">
        <v>7</v>
      </c>
      <c r="N12" s="67"/>
      <c r="O12" s="67"/>
      <c r="P12" s="67"/>
      <c r="Q12" s="67"/>
      <c r="R12" s="69">
        <f>SUM(F12:Q12)</f>
        <v>9</v>
      </c>
    </row>
    <row r="13" spans="5:18" ht="15.75" thickBot="1" x14ac:dyDescent="0.3">
      <c r="E13" s="48" t="s">
        <v>107</v>
      </c>
      <c r="F13" s="73">
        <f t="shared" ref="F13:P13" si="0">SUM(F12)</f>
        <v>0</v>
      </c>
      <c r="G13" s="73">
        <f t="shared" si="0"/>
        <v>0</v>
      </c>
      <c r="H13" s="73">
        <f t="shared" si="0"/>
        <v>0</v>
      </c>
      <c r="I13" s="73">
        <f t="shared" si="0"/>
        <v>0</v>
      </c>
      <c r="J13" s="73">
        <f t="shared" si="0"/>
        <v>0</v>
      </c>
      <c r="K13" s="73">
        <f t="shared" si="0"/>
        <v>0</v>
      </c>
      <c r="L13" s="73">
        <f t="shared" si="0"/>
        <v>2</v>
      </c>
      <c r="M13" s="73">
        <f t="shared" si="0"/>
        <v>7</v>
      </c>
      <c r="N13" s="73">
        <f t="shared" si="0"/>
        <v>0</v>
      </c>
      <c r="O13" s="73">
        <f t="shared" si="0"/>
        <v>0</v>
      </c>
      <c r="P13" s="73">
        <f t="shared" si="0"/>
        <v>0</v>
      </c>
      <c r="Q13" s="74"/>
      <c r="R13" s="69">
        <f>SUM(F13:Q13)</f>
        <v>9</v>
      </c>
    </row>
    <row r="16" spans="5:18" x14ac:dyDescent="0.25">
      <c r="R16">
        <f>R13</f>
        <v>9</v>
      </c>
    </row>
  </sheetData>
  <mergeCells count="1">
    <mergeCell ref="E10:R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5EBB-B66E-4D14-A14E-29B655DC9D53}">
  <dimension ref="D3:Q104"/>
  <sheetViews>
    <sheetView topLeftCell="D35" workbookViewId="0">
      <selection activeCell="Q52" sqref="Q52:Q53"/>
    </sheetView>
  </sheetViews>
  <sheetFormatPr baseColWidth="10" defaultRowHeight="15" x14ac:dyDescent="0.25"/>
  <cols>
    <col min="4" max="4" width="106.7109375" customWidth="1"/>
    <col min="5" max="5" width="10.140625" bestFit="1" customWidth="1"/>
    <col min="6" max="6" width="8.42578125" bestFit="1" customWidth="1"/>
    <col min="7" max="7" width="9.42578125" bestFit="1" customWidth="1"/>
    <col min="8" max="8" width="8.7109375" bestFit="1" customWidth="1"/>
    <col min="9" max="9" width="10" bestFit="1" customWidth="1"/>
    <col min="10" max="10" width="8.28515625" bestFit="1" customWidth="1"/>
    <col min="11" max="11" width="7.42578125" bestFit="1" customWidth="1"/>
    <col min="12" max="12" width="9.42578125" bestFit="1" customWidth="1"/>
    <col min="13" max="13" width="8.7109375" bestFit="1" customWidth="1"/>
    <col min="14" max="14" width="7.85546875" customWidth="1"/>
    <col min="15" max="15" width="9" bestFit="1" customWidth="1"/>
    <col min="16" max="16" width="7.7109375" customWidth="1"/>
    <col min="17" max="17" width="6.7109375" bestFit="1" customWidth="1"/>
  </cols>
  <sheetData>
    <row r="3" spans="4:17" ht="15.75" thickBot="1" x14ac:dyDescent="0.3"/>
    <row r="4" spans="4:17" ht="21" thickBot="1" x14ac:dyDescent="0.35">
      <c r="D4" s="720" t="s">
        <v>421</v>
      </c>
      <c r="E4" s="721"/>
      <c r="F4" s="721"/>
      <c r="G4" s="721"/>
      <c r="H4" s="721"/>
      <c r="I4" s="721"/>
      <c r="J4" s="721"/>
      <c r="K4" s="721"/>
      <c r="L4" s="721"/>
      <c r="M4" s="721"/>
      <c r="N4" s="721"/>
      <c r="O4" s="721"/>
      <c r="P4" s="721"/>
      <c r="Q4" s="723"/>
    </row>
    <row r="5" spans="4:17" ht="16.5" thickBot="1" x14ac:dyDescent="0.3">
      <c r="D5" s="395" t="s">
        <v>104</v>
      </c>
      <c r="E5" s="396">
        <v>46023</v>
      </c>
      <c r="F5" s="396">
        <v>46054</v>
      </c>
      <c r="G5" s="396">
        <v>46082</v>
      </c>
      <c r="H5" s="396">
        <v>46113</v>
      </c>
      <c r="I5" s="396">
        <v>46143</v>
      </c>
      <c r="J5" s="396">
        <v>46174</v>
      </c>
      <c r="K5" s="396">
        <v>46204</v>
      </c>
      <c r="L5" s="396">
        <v>46235</v>
      </c>
      <c r="M5" s="396">
        <v>46266</v>
      </c>
      <c r="N5" s="396">
        <v>46296</v>
      </c>
      <c r="O5" s="396">
        <v>46327</v>
      </c>
      <c r="P5" s="396">
        <v>46357</v>
      </c>
      <c r="Q5" s="395" t="s">
        <v>106</v>
      </c>
    </row>
    <row r="6" spans="4:17" ht="16.5" x14ac:dyDescent="0.3">
      <c r="D6" s="397" t="s">
        <v>96</v>
      </c>
      <c r="E6" s="398">
        <v>1</v>
      </c>
      <c r="F6" s="399">
        <v>1</v>
      </c>
      <c r="G6" s="133">
        <v>2</v>
      </c>
      <c r="H6" s="133">
        <v>3</v>
      </c>
      <c r="I6" s="133">
        <v>2</v>
      </c>
      <c r="J6" s="133">
        <v>3</v>
      </c>
      <c r="K6" s="133">
        <v>2</v>
      </c>
      <c r="L6" s="133">
        <v>0</v>
      </c>
      <c r="M6" s="133"/>
      <c r="N6" s="133"/>
      <c r="O6" s="133"/>
      <c r="P6" s="133"/>
      <c r="Q6" s="133">
        <f t="shared" ref="Q6:Q13" si="0">SUM(E6:P6)</f>
        <v>14</v>
      </c>
    </row>
    <row r="7" spans="4:17" ht="16.5" x14ac:dyDescent="0.3">
      <c r="D7" s="400" t="s">
        <v>112</v>
      </c>
      <c r="E7" s="401">
        <v>24</v>
      </c>
      <c r="F7" s="136">
        <v>34</v>
      </c>
      <c r="G7" s="127">
        <v>22</v>
      </c>
      <c r="H7" s="127">
        <v>27</v>
      </c>
      <c r="I7" s="127">
        <v>14</v>
      </c>
      <c r="J7" s="127">
        <v>14</v>
      </c>
      <c r="K7" s="127">
        <v>28</v>
      </c>
      <c r="L7" s="127">
        <v>7</v>
      </c>
      <c r="M7" s="127"/>
      <c r="N7" s="127"/>
      <c r="O7" s="127"/>
      <c r="P7" s="127"/>
      <c r="Q7" s="127">
        <f t="shared" si="0"/>
        <v>170</v>
      </c>
    </row>
    <row r="8" spans="4:17" ht="16.5" x14ac:dyDescent="0.3">
      <c r="D8" s="400" t="s">
        <v>41</v>
      </c>
      <c r="E8" s="401">
        <v>55</v>
      </c>
      <c r="F8" s="136">
        <v>72</v>
      </c>
      <c r="G8" s="127">
        <v>48</v>
      </c>
      <c r="H8" s="127">
        <v>52</v>
      </c>
      <c r="I8" s="127">
        <v>54</v>
      </c>
      <c r="J8" s="127">
        <v>57</v>
      </c>
      <c r="K8" s="127">
        <v>70</v>
      </c>
      <c r="L8" s="127">
        <v>71</v>
      </c>
      <c r="M8" s="127"/>
      <c r="N8" s="127"/>
      <c r="O8" s="127"/>
      <c r="P8" s="127"/>
      <c r="Q8" s="127">
        <f t="shared" si="0"/>
        <v>479</v>
      </c>
    </row>
    <row r="9" spans="4:17" ht="16.5" x14ac:dyDescent="0.3">
      <c r="D9" s="400" t="s">
        <v>55</v>
      </c>
      <c r="E9" s="401">
        <v>1</v>
      </c>
      <c r="F9" s="136">
        <v>1</v>
      </c>
      <c r="G9" s="127">
        <v>2</v>
      </c>
      <c r="H9" s="127">
        <v>1</v>
      </c>
      <c r="I9" s="127">
        <v>4</v>
      </c>
      <c r="J9" s="127">
        <v>3</v>
      </c>
      <c r="K9" s="127">
        <v>1</v>
      </c>
      <c r="L9" s="127">
        <v>0</v>
      </c>
      <c r="M9" s="127"/>
      <c r="N9" s="127"/>
      <c r="O9" s="127"/>
      <c r="P9" s="127"/>
      <c r="Q9" s="127">
        <f t="shared" si="0"/>
        <v>13</v>
      </c>
    </row>
    <row r="10" spans="4:17" ht="16.5" x14ac:dyDescent="0.3">
      <c r="D10" s="400" t="s">
        <v>94</v>
      </c>
      <c r="E10" s="401">
        <v>1</v>
      </c>
      <c r="F10" s="136">
        <v>5</v>
      </c>
      <c r="G10" s="127">
        <v>1</v>
      </c>
      <c r="H10" s="127">
        <v>2</v>
      </c>
      <c r="I10" s="127">
        <v>4</v>
      </c>
      <c r="J10" s="127">
        <v>5</v>
      </c>
      <c r="K10" s="127">
        <v>2</v>
      </c>
      <c r="L10" s="127">
        <v>6</v>
      </c>
      <c r="M10" s="127"/>
      <c r="N10" s="127"/>
      <c r="O10" s="127"/>
      <c r="P10" s="127"/>
      <c r="Q10" s="127">
        <f t="shared" si="0"/>
        <v>26</v>
      </c>
    </row>
    <row r="11" spans="4:17" ht="16.5" x14ac:dyDescent="0.3">
      <c r="D11" s="400" t="s">
        <v>31</v>
      </c>
      <c r="E11" s="401">
        <v>74</v>
      </c>
      <c r="F11" s="136">
        <v>99</v>
      </c>
      <c r="G11" s="127">
        <v>85</v>
      </c>
      <c r="H11" s="127">
        <v>88</v>
      </c>
      <c r="I11" s="127">
        <v>68</v>
      </c>
      <c r="J11" s="127">
        <v>87</v>
      </c>
      <c r="K11" s="127">
        <v>125</v>
      </c>
      <c r="L11" s="127">
        <v>80</v>
      </c>
      <c r="M11" s="127"/>
      <c r="N11" s="127"/>
      <c r="O11" s="127"/>
      <c r="P11" s="127"/>
      <c r="Q11" s="127">
        <f t="shared" si="0"/>
        <v>706</v>
      </c>
    </row>
    <row r="12" spans="4:17" ht="17.25" thickBot="1" x14ac:dyDescent="0.35">
      <c r="D12" s="414" t="s">
        <v>37</v>
      </c>
      <c r="E12" s="420">
        <v>39</v>
      </c>
      <c r="F12" s="137">
        <v>28</v>
      </c>
      <c r="G12" s="421">
        <v>20</v>
      </c>
      <c r="H12" s="421">
        <v>66</v>
      </c>
      <c r="I12" s="421">
        <v>32</v>
      </c>
      <c r="J12" s="421">
        <v>25</v>
      </c>
      <c r="K12" s="134">
        <v>24</v>
      </c>
      <c r="L12" s="134">
        <v>16</v>
      </c>
      <c r="M12" s="134"/>
      <c r="N12" s="134"/>
      <c r="O12" s="134"/>
      <c r="P12" s="134"/>
      <c r="Q12" s="422">
        <f t="shared" si="0"/>
        <v>250</v>
      </c>
    </row>
    <row r="13" spans="4:17" ht="17.25" thickBot="1" x14ac:dyDescent="0.35">
      <c r="D13" s="388" t="s">
        <v>107</v>
      </c>
      <c r="E13" s="389">
        <f t="shared" ref="E13:P13" si="1">SUM(E6:E12)</f>
        <v>195</v>
      </c>
      <c r="F13" s="389">
        <f t="shared" si="1"/>
        <v>240</v>
      </c>
      <c r="G13" s="389">
        <f t="shared" si="1"/>
        <v>180</v>
      </c>
      <c r="H13" s="389">
        <f t="shared" si="1"/>
        <v>239</v>
      </c>
      <c r="I13" s="389">
        <f t="shared" si="1"/>
        <v>178</v>
      </c>
      <c r="J13" s="389">
        <f t="shared" si="1"/>
        <v>194</v>
      </c>
      <c r="K13" s="390">
        <f t="shared" si="1"/>
        <v>252</v>
      </c>
      <c r="L13" s="390">
        <f>SUM(L6:L12)</f>
        <v>180</v>
      </c>
      <c r="M13" s="390">
        <f t="shared" si="1"/>
        <v>0</v>
      </c>
      <c r="N13" s="390">
        <f t="shared" si="1"/>
        <v>0</v>
      </c>
      <c r="O13" s="390">
        <f t="shared" si="1"/>
        <v>0</v>
      </c>
      <c r="P13" s="390">
        <f t="shared" si="1"/>
        <v>0</v>
      </c>
      <c r="Q13" s="390">
        <f t="shared" si="0"/>
        <v>1658</v>
      </c>
    </row>
    <row r="14" spans="4:17" ht="16.5" x14ac:dyDescent="0.3">
      <c r="D14" s="391"/>
      <c r="E14" s="391"/>
      <c r="F14" s="391"/>
      <c r="G14" s="391"/>
      <c r="H14" s="391"/>
      <c r="I14" s="391"/>
      <c r="J14" s="391"/>
      <c r="K14" s="391"/>
      <c r="L14" s="391"/>
      <c r="M14" s="391"/>
      <c r="N14" s="391"/>
      <c r="O14" s="391"/>
      <c r="P14" s="391"/>
      <c r="Q14" s="391"/>
    </row>
    <row r="15" spans="4:17" ht="16.5" x14ac:dyDescent="0.3">
      <c r="D15" s="391"/>
      <c r="E15" s="391"/>
      <c r="F15" s="188"/>
      <c r="G15" s="391"/>
      <c r="H15" s="391"/>
      <c r="I15" s="391"/>
      <c r="J15" s="391"/>
      <c r="K15" s="391"/>
      <c r="L15" s="391"/>
      <c r="M15" s="391"/>
      <c r="N15" s="391"/>
      <c r="O15" s="391"/>
      <c r="P15" s="391"/>
      <c r="Q15" s="391"/>
    </row>
    <row r="16" spans="4:17" ht="16.5" x14ac:dyDescent="0.3">
      <c r="D16" s="391"/>
      <c r="E16" s="391"/>
      <c r="F16" s="391"/>
      <c r="G16" s="391"/>
      <c r="H16" s="391"/>
      <c r="I16" s="391"/>
      <c r="J16" s="391"/>
      <c r="K16" s="391"/>
      <c r="L16" s="391"/>
      <c r="M16" s="391"/>
      <c r="N16" s="391"/>
      <c r="O16" s="391"/>
      <c r="P16" s="391"/>
      <c r="Q16" s="391"/>
    </row>
    <row r="17" spans="4:17" ht="17.25" thickBot="1" x14ac:dyDescent="0.35">
      <c r="D17" s="391"/>
      <c r="E17" s="391"/>
      <c r="F17" s="391"/>
      <c r="G17" s="391"/>
      <c r="H17" s="391"/>
      <c r="I17" s="391"/>
      <c r="J17" s="391"/>
      <c r="K17" s="391"/>
      <c r="L17" s="391"/>
      <c r="M17" s="391"/>
      <c r="N17" s="391"/>
      <c r="O17" s="391"/>
      <c r="P17" s="391"/>
      <c r="Q17" s="391"/>
    </row>
    <row r="18" spans="4:17" ht="21" thickBot="1" x14ac:dyDescent="0.35">
      <c r="D18" s="720" t="s">
        <v>422</v>
      </c>
      <c r="E18" s="721"/>
      <c r="F18" s="721"/>
      <c r="G18" s="721"/>
      <c r="H18" s="721"/>
      <c r="I18" s="721"/>
      <c r="J18" s="721"/>
      <c r="K18" s="721"/>
      <c r="L18" s="721"/>
      <c r="M18" s="721"/>
      <c r="N18" s="721"/>
      <c r="O18" s="721"/>
      <c r="P18" s="721"/>
      <c r="Q18" s="723"/>
    </row>
    <row r="19" spans="4:17" ht="16.5" thickBot="1" x14ac:dyDescent="0.3">
      <c r="D19" s="380" t="s">
        <v>104</v>
      </c>
      <c r="E19" s="396">
        <v>46023</v>
      </c>
      <c r="F19" s="396">
        <v>46054</v>
      </c>
      <c r="G19" s="396">
        <v>46082</v>
      </c>
      <c r="H19" s="396">
        <v>46113</v>
      </c>
      <c r="I19" s="396">
        <v>46143</v>
      </c>
      <c r="J19" s="396">
        <v>46174</v>
      </c>
      <c r="K19" s="396">
        <v>46204</v>
      </c>
      <c r="L19" s="396">
        <v>46235</v>
      </c>
      <c r="M19" s="396">
        <v>46266</v>
      </c>
      <c r="N19" s="396">
        <v>46296</v>
      </c>
      <c r="O19" s="396">
        <v>46327</v>
      </c>
      <c r="P19" s="396">
        <v>46357</v>
      </c>
      <c r="Q19" s="380" t="s">
        <v>106</v>
      </c>
    </row>
    <row r="20" spans="4:17" ht="16.5" x14ac:dyDescent="0.3">
      <c r="D20" s="423" t="s">
        <v>129</v>
      </c>
      <c r="E20" s="424">
        <v>0</v>
      </c>
      <c r="F20" s="135">
        <v>0</v>
      </c>
      <c r="G20" s="125">
        <v>0</v>
      </c>
      <c r="H20" s="125">
        <v>0</v>
      </c>
      <c r="I20" s="125">
        <v>0</v>
      </c>
      <c r="J20" s="125">
        <v>0</v>
      </c>
      <c r="K20" s="125">
        <v>1</v>
      </c>
      <c r="L20" s="125">
        <v>0</v>
      </c>
      <c r="M20" s="125"/>
      <c r="N20" s="125"/>
      <c r="O20" s="125"/>
      <c r="P20" s="125"/>
      <c r="Q20" s="125">
        <f t="shared" ref="Q20:Q31" si="2">SUM(E20:P20)</f>
        <v>1</v>
      </c>
    </row>
    <row r="21" spans="4:17" ht="16.5" x14ac:dyDescent="0.3">
      <c r="D21" s="400" t="s">
        <v>23</v>
      </c>
      <c r="E21" s="401">
        <v>82</v>
      </c>
      <c r="F21" s="136">
        <v>106</v>
      </c>
      <c r="G21" s="127">
        <v>103</v>
      </c>
      <c r="H21" s="127">
        <v>124</v>
      </c>
      <c r="I21" s="127">
        <v>116</v>
      </c>
      <c r="J21" s="127">
        <v>90</v>
      </c>
      <c r="K21" s="127">
        <v>161</v>
      </c>
      <c r="L21" s="127">
        <v>107</v>
      </c>
      <c r="M21" s="127"/>
      <c r="N21" s="127"/>
      <c r="O21" s="127"/>
      <c r="P21" s="127"/>
      <c r="Q21" s="127">
        <f t="shared" si="2"/>
        <v>889</v>
      </c>
    </row>
    <row r="22" spans="4:17" ht="16.5" x14ac:dyDescent="0.3">
      <c r="D22" s="400" t="s">
        <v>113</v>
      </c>
      <c r="E22" s="401">
        <v>0</v>
      </c>
      <c r="F22" s="136">
        <v>0</v>
      </c>
      <c r="G22" s="127">
        <v>0</v>
      </c>
      <c r="H22" s="127">
        <v>0</v>
      </c>
      <c r="I22" s="127">
        <v>0</v>
      </c>
      <c r="J22" s="127">
        <v>0</v>
      </c>
      <c r="K22" s="127">
        <v>0</v>
      </c>
      <c r="L22" s="127">
        <v>0</v>
      </c>
      <c r="M22" s="127"/>
      <c r="N22" s="127"/>
      <c r="O22" s="127"/>
      <c r="P22" s="127"/>
      <c r="Q22" s="127">
        <f t="shared" si="2"/>
        <v>0</v>
      </c>
    </row>
    <row r="23" spans="4:17" ht="16.5" x14ac:dyDescent="0.3">
      <c r="D23" s="400" t="s">
        <v>91</v>
      </c>
      <c r="E23" s="401">
        <v>3</v>
      </c>
      <c r="F23" s="136">
        <v>2</v>
      </c>
      <c r="G23" s="127">
        <v>4</v>
      </c>
      <c r="H23" s="127">
        <v>1</v>
      </c>
      <c r="I23" s="127">
        <v>3</v>
      </c>
      <c r="J23" s="127">
        <v>1</v>
      </c>
      <c r="K23" s="127">
        <v>3</v>
      </c>
      <c r="L23" s="127">
        <v>3</v>
      </c>
      <c r="M23" s="127"/>
      <c r="N23" s="127"/>
      <c r="O23" s="127"/>
      <c r="P23" s="127"/>
      <c r="Q23" s="127">
        <f t="shared" si="2"/>
        <v>20</v>
      </c>
    </row>
    <row r="24" spans="4:17" ht="16.5" x14ac:dyDescent="0.3">
      <c r="D24" s="400" t="s">
        <v>64</v>
      </c>
      <c r="E24" s="401">
        <v>7</v>
      </c>
      <c r="F24" s="136">
        <v>10</v>
      </c>
      <c r="G24" s="127">
        <v>9</v>
      </c>
      <c r="H24" s="127">
        <v>5</v>
      </c>
      <c r="I24" s="127">
        <v>3</v>
      </c>
      <c r="J24" s="127">
        <v>3</v>
      </c>
      <c r="K24" s="127">
        <v>16</v>
      </c>
      <c r="L24" s="127">
        <v>9</v>
      </c>
      <c r="M24" s="127"/>
      <c r="N24" s="127"/>
      <c r="O24" s="127"/>
      <c r="P24" s="127"/>
      <c r="Q24" s="127">
        <f t="shared" si="2"/>
        <v>62</v>
      </c>
    </row>
    <row r="25" spans="4:17" ht="16.5" x14ac:dyDescent="0.3">
      <c r="D25" s="400" t="s">
        <v>378</v>
      </c>
      <c r="E25" s="401">
        <v>0</v>
      </c>
      <c r="F25" s="136">
        <v>0</v>
      </c>
      <c r="G25" s="127">
        <v>0</v>
      </c>
      <c r="H25" s="401">
        <v>0</v>
      </c>
      <c r="I25" s="136">
        <v>0</v>
      </c>
      <c r="J25" s="127">
        <v>0</v>
      </c>
      <c r="K25" s="127">
        <v>0</v>
      </c>
      <c r="L25" s="127">
        <v>0</v>
      </c>
      <c r="M25" s="127"/>
      <c r="N25" s="127"/>
      <c r="O25" s="127"/>
      <c r="P25" s="127"/>
      <c r="Q25" s="127">
        <f>SUM(E26:P26)</f>
        <v>11</v>
      </c>
    </row>
    <row r="26" spans="4:17" ht="16.5" x14ac:dyDescent="0.3">
      <c r="D26" s="400" t="s">
        <v>79</v>
      </c>
      <c r="E26" s="401">
        <v>2</v>
      </c>
      <c r="F26" s="136">
        <v>0</v>
      </c>
      <c r="G26" s="127">
        <v>1</v>
      </c>
      <c r="H26" s="127">
        <v>0</v>
      </c>
      <c r="I26" s="127">
        <v>2</v>
      </c>
      <c r="J26" s="127">
        <v>2</v>
      </c>
      <c r="K26" s="127">
        <v>3</v>
      </c>
      <c r="L26" s="127">
        <v>1</v>
      </c>
      <c r="M26" s="127"/>
      <c r="N26" s="127"/>
      <c r="O26" s="127"/>
      <c r="P26" s="127"/>
      <c r="Q26" s="127">
        <f t="shared" si="2"/>
        <v>11</v>
      </c>
    </row>
    <row r="27" spans="4:17" ht="16.5" x14ac:dyDescent="0.3">
      <c r="D27" s="400" t="s">
        <v>114</v>
      </c>
      <c r="E27" s="401">
        <v>0</v>
      </c>
      <c r="F27" s="136">
        <v>0</v>
      </c>
      <c r="G27" s="127">
        <v>0</v>
      </c>
      <c r="H27" s="127">
        <v>0</v>
      </c>
      <c r="I27" s="127">
        <v>0</v>
      </c>
      <c r="J27" s="127">
        <v>0</v>
      </c>
      <c r="K27" s="127">
        <v>1</v>
      </c>
      <c r="L27" s="127">
        <v>1</v>
      </c>
      <c r="M27" s="127"/>
      <c r="N27" s="127"/>
      <c r="O27" s="127"/>
      <c r="P27" s="127"/>
      <c r="Q27" s="127">
        <f t="shared" si="2"/>
        <v>2</v>
      </c>
    </row>
    <row r="28" spans="4:17" ht="16.5" x14ac:dyDescent="0.3">
      <c r="D28" s="400" t="s">
        <v>130</v>
      </c>
      <c r="E28" s="401">
        <v>0</v>
      </c>
      <c r="F28" s="136">
        <v>0</v>
      </c>
      <c r="G28" s="127">
        <v>0</v>
      </c>
      <c r="H28" s="127">
        <v>0</v>
      </c>
      <c r="I28" s="127">
        <v>0</v>
      </c>
      <c r="J28" s="127">
        <v>0</v>
      </c>
      <c r="K28" s="127">
        <v>0</v>
      </c>
      <c r="L28" s="127">
        <v>0</v>
      </c>
      <c r="M28" s="127"/>
      <c r="N28" s="127"/>
      <c r="O28" s="127"/>
      <c r="P28" s="127"/>
      <c r="Q28" s="127">
        <f t="shared" si="2"/>
        <v>0</v>
      </c>
    </row>
    <row r="29" spans="4:17" ht="16.5" x14ac:dyDescent="0.3">
      <c r="D29" s="400" t="s">
        <v>98</v>
      </c>
      <c r="E29" s="401">
        <v>1</v>
      </c>
      <c r="F29" s="136">
        <v>0</v>
      </c>
      <c r="G29" s="127">
        <v>1</v>
      </c>
      <c r="H29" s="127">
        <v>2</v>
      </c>
      <c r="I29" s="127">
        <v>1</v>
      </c>
      <c r="J29" s="127">
        <v>0</v>
      </c>
      <c r="K29" s="127">
        <v>2</v>
      </c>
      <c r="L29" s="127">
        <v>0</v>
      </c>
      <c r="M29" s="127"/>
      <c r="N29" s="127"/>
      <c r="O29" s="127"/>
      <c r="P29" s="127"/>
      <c r="Q29" s="127">
        <f t="shared" si="2"/>
        <v>7</v>
      </c>
    </row>
    <row r="30" spans="4:17" ht="16.5" x14ac:dyDescent="0.3">
      <c r="D30" s="400" t="s">
        <v>77</v>
      </c>
      <c r="E30" s="401">
        <v>3</v>
      </c>
      <c r="F30" s="136">
        <v>2</v>
      </c>
      <c r="G30" s="127">
        <v>5</v>
      </c>
      <c r="H30" s="127">
        <v>2</v>
      </c>
      <c r="I30" s="127">
        <v>5</v>
      </c>
      <c r="J30" s="127">
        <v>1</v>
      </c>
      <c r="K30" s="127">
        <v>1</v>
      </c>
      <c r="L30" s="127">
        <v>5</v>
      </c>
      <c r="M30" s="127"/>
      <c r="N30" s="127"/>
      <c r="O30" s="127"/>
      <c r="P30" s="127"/>
      <c r="Q30" s="127">
        <f t="shared" si="2"/>
        <v>24</v>
      </c>
    </row>
    <row r="31" spans="4:17" ht="17.25" thickBot="1" x14ac:dyDescent="0.35">
      <c r="D31" s="425" t="s">
        <v>43</v>
      </c>
      <c r="E31" s="426">
        <v>7</v>
      </c>
      <c r="F31" s="403">
        <v>11</v>
      </c>
      <c r="G31" s="422">
        <v>8</v>
      </c>
      <c r="H31" s="422">
        <v>9</v>
      </c>
      <c r="I31" s="422">
        <v>6</v>
      </c>
      <c r="J31" s="422">
        <v>2</v>
      </c>
      <c r="K31" s="422">
        <v>28</v>
      </c>
      <c r="L31" s="422">
        <v>16</v>
      </c>
      <c r="M31" s="422"/>
      <c r="N31" s="422"/>
      <c r="O31" s="422"/>
      <c r="P31" s="422"/>
      <c r="Q31" s="127">
        <f t="shared" si="2"/>
        <v>87</v>
      </c>
    </row>
    <row r="32" spans="4:17" ht="17.25" thickBot="1" x14ac:dyDescent="0.35">
      <c r="D32" s="405" t="s">
        <v>107</v>
      </c>
      <c r="E32" s="390">
        <f t="shared" ref="E32:P32" si="3">SUM(E20:E31)</f>
        <v>105</v>
      </c>
      <c r="F32" s="390">
        <f t="shared" si="3"/>
        <v>131</v>
      </c>
      <c r="G32" s="390">
        <f t="shared" si="3"/>
        <v>131</v>
      </c>
      <c r="H32" s="390">
        <f t="shared" si="3"/>
        <v>143</v>
      </c>
      <c r="I32" s="390">
        <f t="shared" si="3"/>
        <v>136</v>
      </c>
      <c r="J32" s="390">
        <f t="shared" si="3"/>
        <v>99</v>
      </c>
      <c r="K32" s="390">
        <f t="shared" si="3"/>
        <v>216</v>
      </c>
      <c r="L32" s="390">
        <f t="shared" si="3"/>
        <v>142</v>
      </c>
      <c r="M32" s="390">
        <f t="shared" si="3"/>
        <v>0</v>
      </c>
      <c r="N32" s="390">
        <f t="shared" si="3"/>
        <v>0</v>
      </c>
      <c r="O32" s="390">
        <f t="shared" si="3"/>
        <v>0</v>
      </c>
      <c r="P32" s="390">
        <f t="shared" si="3"/>
        <v>0</v>
      </c>
      <c r="Q32" s="390">
        <f>SUM(E32:P32)</f>
        <v>1103</v>
      </c>
    </row>
    <row r="33" spans="4:17" ht="16.5" x14ac:dyDescent="0.3">
      <c r="D33" s="391"/>
      <c r="E33" s="391"/>
      <c r="F33" s="391"/>
      <c r="G33" s="391"/>
      <c r="H33" s="391"/>
      <c r="I33" s="391"/>
      <c r="J33" s="391"/>
      <c r="K33" s="391"/>
      <c r="L33" s="391"/>
      <c r="M33" s="391"/>
      <c r="N33" s="391"/>
      <c r="O33" s="391"/>
      <c r="P33" s="391"/>
      <c r="Q33" s="391"/>
    </row>
    <row r="34" spans="4:17" ht="17.25" thickBot="1" x14ac:dyDescent="0.35">
      <c r="D34" s="391"/>
      <c r="E34" s="391"/>
      <c r="F34" s="391"/>
      <c r="G34" s="391"/>
      <c r="H34" s="391"/>
      <c r="I34" s="391"/>
      <c r="J34" s="391"/>
      <c r="K34" s="391"/>
      <c r="L34" s="391"/>
      <c r="M34" s="391"/>
      <c r="N34" s="391"/>
      <c r="O34" s="391"/>
      <c r="P34" s="391"/>
      <c r="Q34" s="391"/>
    </row>
    <row r="35" spans="4:17" ht="21" thickBot="1" x14ac:dyDescent="0.35">
      <c r="D35" s="720" t="s">
        <v>423</v>
      </c>
      <c r="E35" s="721"/>
      <c r="F35" s="721"/>
      <c r="G35" s="721"/>
      <c r="H35" s="721"/>
      <c r="I35" s="721"/>
      <c r="J35" s="721"/>
      <c r="K35" s="721"/>
      <c r="L35" s="721"/>
      <c r="M35" s="721"/>
      <c r="N35" s="721"/>
      <c r="O35" s="721"/>
      <c r="P35" s="721"/>
      <c r="Q35" s="723"/>
    </row>
    <row r="36" spans="4:17" ht="16.5" thickBot="1" x14ac:dyDescent="0.3">
      <c r="D36" s="395" t="s">
        <v>104</v>
      </c>
      <c r="E36" s="427">
        <v>46023</v>
      </c>
      <c r="F36" s="396">
        <v>46054</v>
      </c>
      <c r="G36" s="427">
        <v>46082</v>
      </c>
      <c r="H36" s="396">
        <v>46113</v>
      </c>
      <c r="I36" s="427">
        <v>46143</v>
      </c>
      <c r="J36" s="396">
        <v>46174</v>
      </c>
      <c r="K36" s="427">
        <v>46204</v>
      </c>
      <c r="L36" s="396">
        <v>46235</v>
      </c>
      <c r="M36" s="427">
        <v>46266</v>
      </c>
      <c r="N36" s="396">
        <v>46296</v>
      </c>
      <c r="O36" s="396">
        <v>46327</v>
      </c>
      <c r="P36" s="396">
        <v>46357</v>
      </c>
      <c r="Q36" s="395" t="s">
        <v>106</v>
      </c>
    </row>
    <row r="37" spans="4:17" ht="16.5" x14ac:dyDescent="0.3">
      <c r="D37" s="397" t="s">
        <v>381</v>
      </c>
      <c r="E37" s="398">
        <v>0</v>
      </c>
      <c r="F37" s="399">
        <v>0</v>
      </c>
      <c r="G37" s="398">
        <v>4</v>
      </c>
      <c r="H37" s="399">
        <v>11</v>
      </c>
      <c r="I37" s="398">
        <v>6</v>
      </c>
      <c r="J37" s="399">
        <v>4</v>
      </c>
      <c r="K37" s="398">
        <v>9</v>
      </c>
      <c r="L37" s="399">
        <v>8</v>
      </c>
      <c r="M37" s="398"/>
      <c r="N37" s="399"/>
      <c r="O37" s="133"/>
      <c r="P37" s="133"/>
      <c r="Q37" s="408">
        <f>SUM(E37:P37)</f>
        <v>42</v>
      </c>
    </row>
    <row r="38" spans="4:17" ht="16.5" x14ac:dyDescent="0.3">
      <c r="D38" s="397" t="s">
        <v>115</v>
      </c>
      <c r="E38" s="398">
        <v>0</v>
      </c>
      <c r="F38" s="399">
        <v>0</v>
      </c>
      <c r="G38" s="398">
        <v>0</v>
      </c>
      <c r="H38" s="399">
        <v>0</v>
      </c>
      <c r="I38" s="398">
        <v>0</v>
      </c>
      <c r="J38" s="399">
        <v>2</v>
      </c>
      <c r="K38" s="398">
        <v>2</v>
      </c>
      <c r="L38" s="399">
        <v>0</v>
      </c>
      <c r="M38" s="398"/>
      <c r="N38" s="399"/>
      <c r="O38" s="133"/>
      <c r="P38" s="133"/>
      <c r="Q38" s="408">
        <f>SUM(E38:P38)</f>
        <v>4</v>
      </c>
    </row>
    <row r="39" spans="4:17" ht="16.5" x14ac:dyDescent="0.3">
      <c r="D39" s="400" t="s">
        <v>35</v>
      </c>
      <c r="E39" s="398">
        <v>4</v>
      </c>
      <c r="F39" s="399">
        <v>0</v>
      </c>
      <c r="G39" s="398">
        <v>1</v>
      </c>
      <c r="H39" s="399">
        <v>2</v>
      </c>
      <c r="I39" s="398">
        <v>0</v>
      </c>
      <c r="J39" s="399">
        <v>1</v>
      </c>
      <c r="K39" s="398">
        <v>0</v>
      </c>
      <c r="L39" s="399">
        <v>2</v>
      </c>
      <c r="M39" s="398"/>
      <c r="N39" s="399"/>
      <c r="O39" s="133"/>
      <c r="P39" s="133"/>
      <c r="Q39" s="408">
        <f t="shared" ref="Q39:Q57" si="4">SUM(E39:P39)</f>
        <v>10</v>
      </c>
    </row>
    <row r="40" spans="4:17" ht="16.5" x14ac:dyDescent="0.3">
      <c r="D40" s="397" t="s">
        <v>116</v>
      </c>
      <c r="E40" s="398">
        <v>0</v>
      </c>
      <c r="F40" s="399">
        <v>0</v>
      </c>
      <c r="G40" s="398">
        <v>0</v>
      </c>
      <c r="H40" s="399">
        <v>0</v>
      </c>
      <c r="I40" s="398">
        <v>0</v>
      </c>
      <c r="J40" s="399">
        <v>0</v>
      </c>
      <c r="K40" s="398">
        <v>0</v>
      </c>
      <c r="L40" s="399">
        <v>0</v>
      </c>
      <c r="M40" s="398"/>
      <c r="N40" s="399"/>
      <c r="O40" s="133"/>
      <c r="P40" s="133"/>
      <c r="Q40" s="408">
        <f t="shared" si="4"/>
        <v>0</v>
      </c>
    </row>
    <row r="41" spans="4:17" ht="16.5" x14ac:dyDescent="0.3">
      <c r="D41" s="400" t="s">
        <v>117</v>
      </c>
      <c r="E41" s="398">
        <v>0</v>
      </c>
      <c r="F41" s="399">
        <v>1</v>
      </c>
      <c r="G41" s="398">
        <v>1</v>
      </c>
      <c r="H41" s="399">
        <v>0</v>
      </c>
      <c r="I41" s="398">
        <v>0</v>
      </c>
      <c r="J41" s="399">
        <v>0</v>
      </c>
      <c r="K41" s="398">
        <v>2</v>
      </c>
      <c r="L41" s="399">
        <v>1</v>
      </c>
      <c r="M41" s="398"/>
      <c r="N41" s="399"/>
      <c r="O41" s="133"/>
      <c r="P41" s="133"/>
      <c r="Q41" s="408">
        <f t="shared" si="4"/>
        <v>5</v>
      </c>
    </row>
    <row r="42" spans="4:17" ht="16.5" x14ac:dyDescent="0.3">
      <c r="D42" s="400" t="s">
        <v>126</v>
      </c>
      <c r="E42" s="398">
        <v>0</v>
      </c>
      <c r="F42" s="399">
        <v>0</v>
      </c>
      <c r="G42" s="398">
        <v>0</v>
      </c>
      <c r="H42" s="399">
        <v>0</v>
      </c>
      <c r="I42" s="398">
        <v>0</v>
      </c>
      <c r="J42" s="399">
        <v>0</v>
      </c>
      <c r="K42" s="398">
        <v>2</v>
      </c>
      <c r="L42" s="399">
        <v>1</v>
      </c>
      <c r="M42" s="398"/>
      <c r="N42" s="399"/>
      <c r="O42" s="133"/>
      <c r="P42" s="133"/>
      <c r="Q42" s="408">
        <f t="shared" si="4"/>
        <v>3</v>
      </c>
    </row>
    <row r="43" spans="4:17" ht="16.5" x14ac:dyDescent="0.3">
      <c r="D43" s="400" t="s">
        <v>146</v>
      </c>
      <c r="E43" s="401">
        <v>0</v>
      </c>
      <c r="F43" s="136">
        <v>2</v>
      </c>
      <c r="G43" s="401">
        <v>3</v>
      </c>
      <c r="H43" s="136">
        <v>1</v>
      </c>
      <c r="I43" s="401">
        <v>2</v>
      </c>
      <c r="J43" s="136">
        <v>3</v>
      </c>
      <c r="K43" s="398">
        <v>5</v>
      </c>
      <c r="L43" s="399">
        <v>1</v>
      </c>
      <c r="M43" s="398"/>
      <c r="N43" s="399"/>
      <c r="O43" s="133"/>
      <c r="P43" s="133"/>
      <c r="Q43" s="408">
        <f t="shared" si="4"/>
        <v>17</v>
      </c>
    </row>
    <row r="44" spans="4:17" ht="15" customHeight="1" x14ac:dyDescent="0.3">
      <c r="D44" s="400" t="s">
        <v>69</v>
      </c>
      <c r="E44" s="401">
        <v>0</v>
      </c>
      <c r="F44" s="136">
        <v>0</v>
      </c>
      <c r="G44" s="188">
        <v>1</v>
      </c>
      <c r="H44" s="136">
        <v>0</v>
      </c>
      <c r="I44" s="401">
        <v>0</v>
      </c>
      <c r="J44" s="136">
        <v>4</v>
      </c>
      <c r="K44" s="398">
        <v>0</v>
      </c>
      <c r="L44" s="399">
        <v>0</v>
      </c>
      <c r="M44" s="398"/>
      <c r="N44" s="399"/>
      <c r="O44" s="133"/>
      <c r="P44" s="133"/>
      <c r="Q44" s="408">
        <f t="shared" si="4"/>
        <v>5</v>
      </c>
    </row>
    <row r="45" spans="4:17" ht="16.5" x14ac:dyDescent="0.3">
      <c r="D45" s="400" t="s">
        <v>82</v>
      </c>
      <c r="E45" s="398">
        <v>4</v>
      </c>
      <c r="F45" s="399">
        <v>0</v>
      </c>
      <c r="G45" s="401">
        <v>4</v>
      </c>
      <c r="H45" s="399">
        <v>4</v>
      </c>
      <c r="I45" s="398">
        <v>4</v>
      </c>
      <c r="J45" s="399">
        <v>0</v>
      </c>
      <c r="K45" s="398">
        <v>1</v>
      </c>
      <c r="L45" s="399">
        <v>1</v>
      </c>
      <c r="M45" s="398"/>
      <c r="N45" s="399"/>
      <c r="O45" s="133"/>
      <c r="P45" s="133"/>
      <c r="Q45" s="408">
        <f t="shared" si="4"/>
        <v>18</v>
      </c>
    </row>
    <row r="46" spans="4:17" ht="16.5" x14ac:dyDescent="0.3">
      <c r="D46" s="400" t="s">
        <v>135</v>
      </c>
      <c r="E46" s="401">
        <v>0</v>
      </c>
      <c r="F46" s="136">
        <v>0</v>
      </c>
      <c r="G46" s="401">
        <v>0</v>
      </c>
      <c r="H46" s="136">
        <v>0</v>
      </c>
      <c r="I46" s="401">
        <v>0</v>
      </c>
      <c r="J46" s="136">
        <v>0</v>
      </c>
      <c r="K46" s="398">
        <v>0</v>
      </c>
      <c r="L46" s="399">
        <v>0</v>
      </c>
      <c r="M46" s="398"/>
      <c r="N46" s="399"/>
      <c r="O46" s="133"/>
      <c r="P46" s="133"/>
      <c r="Q46" s="408">
        <f t="shared" si="4"/>
        <v>0</v>
      </c>
    </row>
    <row r="47" spans="4:17" ht="16.5" x14ac:dyDescent="0.3">
      <c r="D47" s="400" t="s">
        <v>41</v>
      </c>
      <c r="E47" s="401">
        <v>3</v>
      </c>
      <c r="F47" s="136">
        <v>2</v>
      </c>
      <c r="G47" s="401">
        <v>3</v>
      </c>
      <c r="H47" s="136">
        <v>4</v>
      </c>
      <c r="I47" s="401">
        <v>2</v>
      </c>
      <c r="J47" s="136">
        <v>1</v>
      </c>
      <c r="K47" s="398">
        <v>2</v>
      </c>
      <c r="L47" s="399">
        <v>0</v>
      </c>
      <c r="M47" s="398"/>
      <c r="N47" s="399"/>
      <c r="O47" s="133"/>
      <c r="P47" s="133"/>
      <c r="Q47" s="408">
        <f t="shared" si="4"/>
        <v>17</v>
      </c>
    </row>
    <row r="48" spans="4:17" ht="16.5" x14ac:dyDescent="0.3">
      <c r="D48" s="400" t="s">
        <v>424</v>
      </c>
      <c r="E48" s="181">
        <v>1</v>
      </c>
      <c r="F48" s="399">
        <v>0</v>
      </c>
      <c r="G48" s="398">
        <v>1</v>
      </c>
      <c r="H48" s="136">
        <v>0</v>
      </c>
      <c r="I48" s="401">
        <v>0</v>
      </c>
      <c r="J48" s="136">
        <v>0</v>
      </c>
      <c r="K48" s="398">
        <v>0</v>
      </c>
      <c r="L48" s="399">
        <v>0</v>
      </c>
      <c r="M48" s="398"/>
      <c r="N48" s="399"/>
      <c r="O48" s="133"/>
      <c r="P48" s="133"/>
      <c r="Q48" s="408">
        <f t="shared" si="4"/>
        <v>2</v>
      </c>
    </row>
    <row r="49" spans="4:17" ht="16.5" x14ac:dyDescent="0.3">
      <c r="D49" s="400" t="s">
        <v>119</v>
      </c>
      <c r="E49" s="398">
        <v>0</v>
      </c>
      <c r="F49" s="399">
        <v>0</v>
      </c>
      <c r="G49" s="398">
        <v>0</v>
      </c>
      <c r="H49" s="136">
        <v>0</v>
      </c>
      <c r="I49" s="401">
        <v>0</v>
      </c>
      <c r="J49" s="136">
        <v>0</v>
      </c>
      <c r="K49" s="398">
        <v>0</v>
      </c>
      <c r="L49" s="399">
        <v>0</v>
      </c>
      <c r="M49" s="398"/>
      <c r="N49" s="399"/>
      <c r="O49" s="133"/>
      <c r="P49" s="133"/>
      <c r="Q49" s="408">
        <f t="shared" si="4"/>
        <v>0</v>
      </c>
    </row>
    <row r="50" spans="4:17" ht="16.5" x14ac:dyDescent="0.3">
      <c r="D50" s="400" t="s">
        <v>120</v>
      </c>
      <c r="E50" s="401">
        <v>0</v>
      </c>
      <c r="F50" s="136">
        <v>0</v>
      </c>
      <c r="G50" s="401">
        <v>0</v>
      </c>
      <c r="H50" s="136">
        <v>0</v>
      </c>
      <c r="I50" s="401">
        <v>0</v>
      </c>
      <c r="J50" s="136">
        <v>0</v>
      </c>
      <c r="K50" s="398">
        <v>41</v>
      </c>
      <c r="L50" s="399">
        <v>0</v>
      </c>
      <c r="M50" s="398"/>
      <c r="N50" s="399"/>
      <c r="O50" s="133"/>
      <c r="P50" s="133"/>
      <c r="Q50" s="408">
        <f t="shared" si="4"/>
        <v>41</v>
      </c>
    </row>
    <row r="51" spans="4:17" ht="16.5" x14ac:dyDescent="0.3">
      <c r="D51" s="400" t="s">
        <v>70</v>
      </c>
      <c r="E51" s="401">
        <v>1</v>
      </c>
      <c r="F51" s="136">
        <v>3</v>
      </c>
      <c r="G51" s="401">
        <v>6</v>
      </c>
      <c r="H51" s="136">
        <v>21</v>
      </c>
      <c r="I51" s="401">
        <v>6</v>
      </c>
      <c r="J51" s="136">
        <v>9</v>
      </c>
      <c r="K51" s="398">
        <v>8</v>
      </c>
      <c r="L51" s="399">
        <v>7</v>
      </c>
      <c r="M51" s="398"/>
      <c r="N51" s="399"/>
      <c r="O51" s="133"/>
      <c r="P51" s="133"/>
      <c r="Q51" s="408">
        <f t="shared" si="4"/>
        <v>61</v>
      </c>
    </row>
    <row r="52" spans="4:17" ht="16.5" x14ac:dyDescent="0.3">
      <c r="D52" s="400" t="s">
        <v>88</v>
      </c>
      <c r="E52" s="401">
        <v>18</v>
      </c>
      <c r="F52" s="136">
        <v>18</v>
      </c>
      <c r="G52" s="401">
        <v>21</v>
      </c>
      <c r="H52" s="136">
        <v>28</v>
      </c>
      <c r="I52" s="401">
        <v>30</v>
      </c>
      <c r="J52" s="136">
        <v>16</v>
      </c>
      <c r="K52" s="398">
        <v>0</v>
      </c>
      <c r="L52" s="399">
        <v>27</v>
      </c>
      <c r="M52" s="398"/>
      <c r="N52" s="399"/>
      <c r="O52" s="133"/>
      <c r="P52" s="133"/>
      <c r="Q52" s="408">
        <f t="shared" si="4"/>
        <v>158</v>
      </c>
    </row>
    <row r="53" spans="4:17" ht="16.5" x14ac:dyDescent="0.3">
      <c r="D53" s="393" t="s">
        <v>612</v>
      </c>
      <c r="E53" s="136">
        <v>0</v>
      </c>
      <c r="F53" s="127">
        <v>0</v>
      </c>
      <c r="G53" s="136">
        <v>0</v>
      </c>
      <c r="H53" s="401">
        <v>0</v>
      </c>
      <c r="I53" s="136">
        <v>0</v>
      </c>
      <c r="J53" s="136">
        <v>0</v>
      </c>
      <c r="K53" s="399">
        <v>0</v>
      </c>
      <c r="L53" s="399">
        <v>1</v>
      </c>
      <c r="M53" s="398"/>
      <c r="N53" s="399"/>
      <c r="O53" s="133"/>
      <c r="P53" s="133"/>
      <c r="Q53" s="408">
        <f t="shared" si="4"/>
        <v>1</v>
      </c>
    </row>
    <row r="54" spans="4:17" ht="16.5" x14ac:dyDescent="0.3">
      <c r="D54" s="400" t="s">
        <v>122</v>
      </c>
      <c r="E54" s="401">
        <v>0</v>
      </c>
      <c r="F54" s="136">
        <v>0</v>
      </c>
      <c r="G54" s="401">
        <v>0</v>
      </c>
      <c r="H54" s="136">
        <v>0</v>
      </c>
      <c r="I54" s="401">
        <v>0</v>
      </c>
      <c r="J54" s="136">
        <v>0</v>
      </c>
      <c r="K54" s="398">
        <v>0</v>
      </c>
      <c r="L54" s="399">
        <v>0</v>
      </c>
      <c r="M54" s="398"/>
      <c r="N54" s="399"/>
      <c r="O54" s="133"/>
      <c r="P54" s="133"/>
      <c r="Q54" s="408">
        <f t="shared" si="4"/>
        <v>0</v>
      </c>
    </row>
    <row r="55" spans="4:17" ht="16.5" x14ac:dyDescent="0.3">
      <c r="D55" s="400" t="s">
        <v>50</v>
      </c>
      <c r="E55" s="401">
        <v>4</v>
      </c>
      <c r="F55" s="136">
        <v>4</v>
      </c>
      <c r="G55" s="401">
        <v>8</v>
      </c>
      <c r="H55" s="136">
        <v>3</v>
      </c>
      <c r="I55" s="401">
        <v>5</v>
      </c>
      <c r="J55" s="136">
        <v>7</v>
      </c>
      <c r="K55" s="398">
        <v>10</v>
      </c>
      <c r="L55" s="399">
        <v>3</v>
      </c>
      <c r="M55" s="398"/>
      <c r="N55" s="399"/>
      <c r="O55" s="133"/>
      <c r="P55" s="133"/>
      <c r="Q55" s="408">
        <f t="shared" si="4"/>
        <v>44</v>
      </c>
    </row>
    <row r="56" spans="4:17" ht="17.25" thickBot="1" x14ac:dyDescent="0.35">
      <c r="D56" s="414" t="s">
        <v>51</v>
      </c>
      <c r="E56" s="420">
        <v>5</v>
      </c>
      <c r="F56" s="137">
        <v>2</v>
      </c>
      <c r="G56" s="426">
        <v>5</v>
      </c>
      <c r="H56" s="403">
        <v>7</v>
      </c>
      <c r="I56" s="426">
        <v>3</v>
      </c>
      <c r="J56" s="403">
        <v>7</v>
      </c>
      <c r="K56" s="188">
        <v>4</v>
      </c>
      <c r="L56" s="404">
        <v>3</v>
      </c>
      <c r="M56" s="188"/>
      <c r="N56" s="140"/>
      <c r="O56" s="134"/>
      <c r="P56" s="134"/>
      <c r="Q56" s="408">
        <f t="shared" si="4"/>
        <v>36</v>
      </c>
    </row>
    <row r="57" spans="4:17" ht="17.25" thickBot="1" x14ac:dyDescent="0.35">
      <c r="D57" s="388" t="s">
        <v>107</v>
      </c>
      <c r="E57" s="428">
        <f>SUM(E37:E56)</f>
        <v>40</v>
      </c>
      <c r="F57" s="389">
        <f t="shared" ref="F57:P57" si="5">SUM(F37:F56)</f>
        <v>32</v>
      </c>
      <c r="G57" s="429">
        <f t="shared" si="5"/>
        <v>58</v>
      </c>
      <c r="H57" s="390">
        <f t="shared" si="5"/>
        <v>81</v>
      </c>
      <c r="I57" s="429">
        <f t="shared" si="5"/>
        <v>58</v>
      </c>
      <c r="J57" s="390">
        <f t="shared" si="5"/>
        <v>54</v>
      </c>
      <c r="K57" s="430">
        <f t="shared" si="5"/>
        <v>86</v>
      </c>
      <c r="L57" s="390">
        <f t="shared" si="5"/>
        <v>55</v>
      </c>
      <c r="M57" s="431">
        <f t="shared" si="5"/>
        <v>0</v>
      </c>
      <c r="N57" s="390">
        <f t="shared" si="5"/>
        <v>0</v>
      </c>
      <c r="O57" s="390">
        <f t="shared" si="5"/>
        <v>0</v>
      </c>
      <c r="P57" s="390">
        <f t="shared" si="5"/>
        <v>0</v>
      </c>
      <c r="Q57" s="390">
        <f t="shared" si="4"/>
        <v>464</v>
      </c>
    </row>
    <row r="60" spans="4:17" x14ac:dyDescent="0.25">
      <c r="E60">
        <f t="shared" ref="E60:Q60" si="6">E13+E32+E57</f>
        <v>340</v>
      </c>
      <c r="F60">
        <f t="shared" si="6"/>
        <v>403</v>
      </c>
      <c r="G60">
        <f t="shared" si="6"/>
        <v>369</v>
      </c>
      <c r="H60">
        <f t="shared" si="6"/>
        <v>463</v>
      </c>
      <c r="I60">
        <f t="shared" si="6"/>
        <v>372</v>
      </c>
      <c r="J60">
        <f t="shared" si="6"/>
        <v>347</v>
      </c>
      <c r="K60">
        <f t="shared" si="6"/>
        <v>554</v>
      </c>
      <c r="L60">
        <f t="shared" si="6"/>
        <v>377</v>
      </c>
      <c r="M60">
        <f t="shared" si="6"/>
        <v>0</v>
      </c>
      <c r="N60">
        <f t="shared" si="6"/>
        <v>0</v>
      </c>
      <c r="O60">
        <f t="shared" si="6"/>
        <v>0</v>
      </c>
      <c r="P60">
        <f t="shared" si="6"/>
        <v>0</v>
      </c>
      <c r="Q60">
        <f t="shared" si="6"/>
        <v>3225</v>
      </c>
    </row>
    <row r="66" spans="4:6" x14ac:dyDescent="0.25">
      <c r="D66" t="s">
        <v>147</v>
      </c>
      <c r="E66" s="563">
        <f>Q13</f>
        <v>1658</v>
      </c>
      <c r="F66" s="91">
        <f>E66/E70</f>
        <v>0.5141085271317829</v>
      </c>
    </row>
    <row r="67" spans="4:6" x14ac:dyDescent="0.25">
      <c r="D67" t="s">
        <v>148</v>
      </c>
      <c r="E67" s="563">
        <f>Q32</f>
        <v>1103</v>
      </c>
      <c r="F67" s="91">
        <f>E67/E70</f>
        <v>0.34201550387596902</v>
      </c>
    </row>
    <row r="68" spans="4:6" x14ac:dyDescent="0.25">
      <c r="D68" t="s">
        <v>149</v>
      </c>
      <c r="E68" s="563">
        <f>Q57</f>
        <v>464</v>
      </c>
      <c r="F68" s="91">
        <f>E68/E70</f>
        <v>0.14387596899224805</v>
      </c>
    </row>
    <row r="70" spans="4:6" x14ac:dyDescent="0.25">
      <c r="E70">
        <f>SUM(E66:E69)</f>
        <v>3225</v>
      </c>
    </row>
    <row r="78" spans="4:6" ht="14.25" customHeight="1" x14ac:dyDescent="0.25"/>
    <row r="79" spans="4:6" ht="14.25" customHeight="1" x14ac:dyDescent="0.25"/>
    <row r="80" spans="4:6" ht="14.25" customHeight="1" x14ac:dyDescent="0.25"/>
    <row r="83" spans="4:9" x14ac:dyDescent="0.25">
      <c r="F83" s="85"/>
      <c r="I83" s="85"/>
    </row>
    <row r="84" spans="4:9" x14ac:dyDescent="0.25">
      <c r="D84" t="s">
        <v>525</v>
      </c>
      <c r="F84" s="85"/>
      <c r="I84" s="85"/>
    </row>
    <row r="85" spans="4:9" x14ac:dyDescent="0.25">
      <c r="D85" t="s">
        <v>147</v>
      </c>
      <c r="E85" s="563">
        <v>1007</v>
      </c>
      <c r="F85" s="85">
        <f>E85/E89</f>
        <v>0.96455938697318011</v>
      </c>
      <c r="I85" s="85"/>
    </row>
    <row r="86" spans="4:9" x14ac:dyDescent="0.25">
      <c r="D86" t="s">
        <v>148</v>
      </c>
      <c r="E86" s="563">
        <v>28</v>
      </c>
      <c r="F86" s="85">
        <f>E86/E89</f>
        <v>2.681992337164751E-2</v>
      </c>
      <c r="I86" s="85"/>
    </row>
    <row r="87" spans="4:9" x14ac:dyDescent="0.25">
      <c r="D87" t="s">
        <v>149</v>
      </c>
      <c r="E87" s="563">
        <v>9</v>
      </c>
      <c r="F87" s="85">
        <f>E87/E89</f>
        <v>8.6206896551724137E-3</v>
      </c>
      <c r="I87" s="85"/>
    </row>
    <row r="88" spans="4:9" x14ac:dyDescent="0.25">
      <c r="I88" s="85"/>
    </row>
    <row r="89" spans="4:9" x14ac:dyDescent="0.25">
      <c r="E89">
        <f>SUM(E85:E88)</f>
        <v>1044</v>
      </c>
    </row>
    <row r="97" spans="4:6" x14ac:dyDescent="0.25">
      <c r="D97" t="s">
        <v>526</v>
      </c>
      <c r="E97" s="563">
        <v>9177</v>
      </c>
      <c r="F97" s="85">
        <f>E97/E104</f>
        <v>0.71494234964163295</v>
      </c>
    </row>
    <row r="98" spans="4:6" x14ac:dyDescent="0.25">
      <c r="D98" t="s">
        <v>527</v>
      </c>
      <c r="E98" s="563">
        <v>31</v>
      </c>
      <c r="F98" s="85">
        <f>E98/E104</f>
        <v>2.4150825802430665E-3</v>
      </c>
    </row>
    <row r="99" spans="4:6" x14ac:dyDescent="0.25">
      <c r="D99" t="s">
        <v>528</v>
      </c>
      <c r="E99" s="563">
        <v>1959</v>
      </c>
      <c r="F99" s="85">
        <f>E99/E104</f>
        <v>0.15261763789342475</v>
      </c>
    </row>
    <row r="100" spans="4:6" x14ac:dyDescent="0.25">
      <c r="D100" t="s">
        <v>529</v>
      </c>
      <c r="E100" s="563">
        <v>617</v>
      </c>
      <c r="F100" s="85">
        <f>E100/E104</f>
        <v>4.8067933935805544E-2</v>
      </c>
    </row>
    <row r="101" spans="4:6" x14ac:dyDescent="0.25">
      <c r="D101" t="s">
        <v>530</v>
      </c>
      <c r="E101" s="563">
        <v>1049</v>
      </c>
      <c r="F101" s="85">
        <f>E101/E104</f>
        <v>8.1723278279837955E-2</v>
      </c>
    </row>
    <row r="102" spans="4:6" x14ac:dyDescent="0.25">
      <c r="D102" t="s">
        <v>531</v>
      </c>
      <c r="E102" s="563">
        <v>3</v>
      </c>
      <c r="F102" s="85">
        <f>E102/E104</f>
        <v>2.3371766905578062E-4</v>
      </c>
    </row>
    <row r="104" spans="4:6" x14ac:dyDescent="0.25">
      <c r="E104">
        <f>SUM(E97:E103)</f>
        <v>12836</v>
      </c>
    </row>
  </sheetData>
  <mergeCells count="3">
    <mergeCell ref="D4:Q4"/>
    <mergeCell ref="D18:Q18"/>
    <mergeCell ref="D35:Q35"/>
  </mergeCells>
  <pageMargins left="0.7" right="0.7" top="0.75" bottom="0.75" header="0.3" footer="0.3"/>
  <pageSetup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7938-B29F-415E-8BA6-0ADFCED90DD5}">
  <dimension ref="D3:Q121"/>
  <sheetViews>
    <sheetView topLeftCell="D1" zoomScale="115" zoomScaleNormal="115" workbookViewId="0">
      <selection activeCell="F16" sqref="F16"/>
    </sheetView>
  </sheetViews>
  <sheetFormatPr baseColWidth="10" defaultRowHeight="15" x14ac:dyDescent="0.25"/>
  <cols>
    <col min="4" max="4" width="61.85546875" customWidth="1"/>
    <col min="5" max="5" width="13.28515625" customWidth="1"/>
    <col min="6" max="16" width="11.42578125" customWidth="1"/>
    <col min="17" max="17" width="11.42578125" style="86"/>
  </cols>
  <sheetData>
    <row r="3" spans="4:17" ht="15.75" thickBot="1" x14ac:dyDescent="0.3"/>
    <row r="4" spans="4:17" ht="21" thickBot="1" x14ac:dyDescent="0.35">
      <c r="D4" s="720" t="s">
        <v>108</v>
      </c>
      <c r="E4" s="721"/>
      <c r="F4" s="721"/>
      <c r="G4" s="721"/>
      <c r="H4" s="721"/>
      <c r="I4" s="721"/>
      <c r="J4" s="721"/>
      <c r="K4" s="721"/>
      <c r="L4" s="721"/>
      <c r="M4" s="721"/>
      <c r="N4" s="721"/>
      <c r="O4" s="721"/>
      <c r="P4" s="721"/>
      <c r="Q4" s="723"/>
    </row>
    <row r="5" spans="4:17" ht="15.75" thickBot="1" x14ac:dyDescent="0.3">
      <c r="D5" s="416" t="s">
        <v>151</v>
      </c>
      <c r="E5" s="416" t="s">
        <v>152</v>
      </c>
      <c r="F5" s="416" t="s">
        <v>153</v>
      </c>
      <c r="G5" s="416" t="s">
        <v>154</v>
      </c>
      <c r="H5" s="416" t="s">
        <v>155</v>
      </c>
      <c r="I5" s="416" t="s">
        <v>156</v>
      </c>
      <c r="J5" s="446" t="s">
        <v>157</v>
      </c>
      <c r="K5" s="446" t="s">
        <v>158</v>
      </c>
      <c r="L5" s="446" t="s">
        <v>159</v>
      </c>
      <c r="M5" s="446" t="s">
        <v>160</v>
      </c>
      <c r="N5" s="446" t="s">
        <v>161</v>
      </c>
      <c r="O5" s="446" t="s">
        <v>162</v>
      </c>
      <c r="P5" s="446" t="s">
        <v>163</v>
      </c>
      <c r="Q5" s="416" t="s">
        <v>164</v>
      </c>
    </row>
    <row r="6" spans="4:17" ht="16.5" x14ac:dyDescent="0.3">
      <c r="D6" s="460" t="s">
        <v>165</v>
      </c>
      <c r="E6" s="177">
        <v>1</v>
      </c>
      <c r="F6" s="177">
        <v>0</v>
      </c>
      <c r="G6" s="177">
        <v>0</v>
      </c>
      <c r="H6" s="177">
        <v>0</v>
      </c>
      <c r="I6" s="177">
        <v>0</v>
      </c>
      <c r="J6" s="177">
        <v>0</v>
      </c>
      <c r="K6" s="177">
        <v>0</v>
      </c>
      <c r="L6" s="177">
        <v>0</v>
      </c>
      <c r="M6" s="177"/>
      <c r="N6" s="177"/>
      <c r="O6" s="177"/>
      <c r="P6" s="177"/>
      <c r="Q6" s="461">
        <f>SUM(E6:P6)</f>
        <v>1</v>
      </c>
    </row>
    <row r="7" spans="4:17" ht="16.5" x14ac:dyDescent="0.3">
      <c r="D7" s="458" t="s">
        <v>78</v>
      </c>
      <c r="E7" s="159">
        <v>2</v>
      </c>
      <c r="F7" s="159">
        <v>1</v>
      </c>
      <c r="G7" s="159">
        <v>0</v>
      </c>
      <c r="H7" s="159">
        <v>0</v>
      </c>
      <c r="I7" s="159">
        <v>0</v>
      </c>
      <c r="J7" s="159">
        <v>0</v>
      </c>
      <c r="K7" s="159">
        <v>3</v>
      </c>
      <c r="L7" s="159">
        <v>2</v>
      </c>
      <c r="M7" s="159"/>
      <c r="N7" s="159"/>
      <c r="O7" s="159"/>
      <c r="P7" s="159"/>
      <c r="Q7" s="459">
        <f>SUM(E7:P7)</f>
        <v>8</v>
      </c>
    </row>
    <row r="8" spans="4:17" ht="16.5" x14ac:dyDescent="0.3">
      <c r="D8" s="458" t="s">
        <v>24</v>
      </c>
      <c r="E8" s="159">
        <v>20</v>
      </c>
      <c r="F8" s="159">
        <v>17</v>
      </c>
      <c r="G8" s="159">
        <v>22</v>
      </c>
      <c r="H8" s="159">
        <v>20</v>
      </c>
      <c r="I8" s="159">
        <v>28</v>
      </c>
      <c r="J8" s="159">
        <v>15</v>
      </c>
      <c r="K8" s="159">
        <v>26</v>
      </c>
      <c r="L8" s="159">
        <v>21</v>
      </c>
      <c r="M8" s="159"/>
      <c r="N8" s="159"/>
      <c r="O8" s="159"/>
      <c r="P8" s="159"/>
      <c r="Q8" s="459">
        <f t="shared" ref="Q8:Q28" si="0">SUM(E8:P8)</f>
        <v>169</v>
      </c>
    </row>
    <row r="9" spans="4:17" ht="16.5" x14ac:dyDescent="0.3">
      <c r="D9" s="458" t="s">
        <v>166</v>
      </c>
      <c r="E9" s="159">
        <v>0</v>
      </c>
      <c r="F9" s="159">
        <v>1</v>
      </c>
      <c r="G9" s="159">
        <v>0</v>
      </c>
      <c r="H9" s="159">
        <v>0</v>
      </c>
      <c r="I9" s="159">
        <v>0</v>
      </c>
      <c r="J9" s="159">
        <v>0</v>
      </c>
      <c r="K9" s="159">
        <v>0</v>
      </c>
      <c r="L9" s="159">
        <v>0</v>
      </c>
      <c r="M9" s="159"/>
      <c r="N9" s="159"/>
      <c r="O9" s="159"/>
      <c r="P9" s="159"/>
      <c r="Q9" s="459">
        <f t="shared" si="0"/>
        <v>1</v>
      </c>
    </row>
    <row r="10" spans="4:17" ht="16.5" x14ac:dyDescent="0.3">
      <c r="D10" s="458" t="s">
        <v>80</v>
      </c>
      <c r="E10" s="159">
        <v>0</v>
      </c>
      <c r="F10" s="159">
        <v>0</v>
      </c>
      <c r="G10" s="159">
        <v>0</v>
      </c>
      <c r="H10" s="159">
        <v>0</v>
      </c>
      <c r="I10" s="159">
        <v>0</v>
      </c>
      <c r="J10" s="159">
        <v>0</v>
      </c>
      <c r="K10" s="159">
        <v>0</v>
      </c>
      <c r="L10" s="159">
        <v>0</v>
      </c>
      <c r="M10" s="159"/>
      <c r="N10" s="159"/>
      <c r="O10" s="159"/>
      <c r="P10" s="159"/>
      <c r="Q10" s="459">
        <f t="shared" si="0"/>
        <v>0</v>
      </c>
    </row>
    <row r="11" spans="4:17" ht="16.5" x14ac:dyDescent="0.3">
      <c r="D11" s="458" t="s">
        <v>555</v>
      </c>
      <c r="E11" s="159">
        <v>0</v>
      </c>
      <c r="F11" s="159">
        <v>0</v>
      </c>
      <c r="G11" s="159">
        <v>0</v>
      </c>
      <c r="H11" s="159">
        <v>0</v>
      </c>
      <c r="I11" s="159">
        <v>0</v>
      </c>
      <c r="J11" s="159">
        <v>1</v>
      </c>
      <c r="K11" s="159">
        <v>0</v>
      </c>
      <c r="L11" s="159">
        <v>0</v>
      </c>
      <c r="M11" s="159"/>
      <c r="N11" s="159"/>
      <c r="O11" s="159"/>
      <c r="P11" s="159"/>
      <c r="Q11" s="459">
        <f t="shared" si="0"/>
        <v>1</v>
      </c>
    </row>
    <row r="12" spans="4:17" ht="16.5" x14ac:dyDescent="0.3">
      <c r="D12" s="458" t="s">
        <v>496</v>
      </c>
      <c r="E12" s="159">
        <v>0</v>
      </c>
      <c r="F12" s="159">
        <v>0</v>
      </c>
      <c r="G12" s="159">
        <v>1</v>
      </c>
      <c r="H12" s="159">
        <v>0</v>
      </c>
      <c r="I12" s="159">
        <v>0</v>
      </c>
      <c r="J12" s="159">
        <v>0</v>
      </c>
      <c r="K12" s="159">
        <v>0</v>
      </c>
      <c r="L12" s="159">
        <v>2</v>
      </c>
      <c r="M12" s="159"/>
      <c r="N12" s="159"/>
      <c r="O12" s="159"/>
      <c r="P12" s="159"/>
      <c r="Q12" s="459">
        <f t="shared" si="0"/>
        <v>3</v>
      </c>
    </row>
    <row r="13" spans="4:17" ht="16.5" x14ac:dyDescent="0.3">
      <c r="D13" s="458" t="s">
        <v>327</v>
      </c>
      <c r="E13" s="159">
        <v>8</v>
      </c>
      <c r="F13" s="159">
        <v>0</v>
      </c>
      <c r="G13" s="159">
        <v>0</v>
      </c>
      <c r="H13" s="159">
        <v>8</v>
      </c>
      <c r="I13" s="159">
        <v>0</v>
      </c>
      <c r="J13" s="159">
        <v>0</v>
      </c>
      <c r="K13" s="159">
        <v>28</v>
      </c>
      <c r="L13" s="159">
        <v>1</v>
      </c>
      <c r="M13" s="159"/>
      <c r="N13" s="159"/>
      <c r="O13" s="159"/>
      <c r="P13" s="159"/>
      <c r="Q13" s="459">
        <f t="shared" si="0"/>
        <v>45</v>
      </c>
    </row>
    <row r="14" spans="4:17" ht="15" customHeight="1" x14ac:dyDescent="0.3">
      <c r="D14" s="458" t="s">
        <v>57</v>
      </c>
      <c r="E14" s="159">
        <v>9</v>
      </c>
      <c r="F14" s="159">
        <v>8</v>
      </c>
      <c r="G14" s="159">
        <v>6</v>
      </c>
      <c r="H14" s="159">
        <v>15</v>
      </c>
      <c r="I14" s="159">
        <v>7</v>
      </c>
      <c r="J14" s="159">
        <v>6</v>
      </c>
      <c r="K14" s="159">
        <v>13</v>
      </c>
      <c r="L14" s="159">
        <v>13</v>
      </c>
      <c r="M14" s="159"/>
      <c r="N14" s="159"/>
      <c r="O14" s="159"/>
      <c r="P14" s="159"/>
      <c r="Q14" s="459">
        <f t="shared" si="0"/>
        <v>77</v>
      </c>
    </row>
    <row r="15" spans="4:17" ht="14.25" customHeight="1" x14ac:dyDescent="0.3">
      <c r="D15" s="458" t="s">
        <v>46</v>
      </c>
      <c r="E15" s="159">
        <v>13</v>
      </c>
      <c r="F15" s="159">
        <v>15</v>
      </c>
      <c r="G15" s="159">
        <v>22</v>
      </c>
      <c r="H15" s="159">
        <v>13</v>
      </c>
      <c r="I15" s="159">
        <v>31</v>
      </c>
      <c r="J15" s="159">
        <v>22</v>
      </c>
      <c r="K15" s="159">
        <v>35</v>
      </c>
      <c r="L15" s="159">
        <v>15</v>
      </c>
      <c r="M15" s="159"/>
      <c r="N15" s="159"/>
      <c r="O15" s="159"/>
      <c r="P15" s="159"/>
      <c r="Q15" s="459">
        <f t="shared" si="0"/>
        <v>166</v>
      </c>
    </row>
    <row r="16" spans="4:17" ht="16.5" x14ac:dyDescent="0.3">
      <c r="D16" s="458" t="s">
        <v>167</v>
      </c>
      <c r="E16" s="159">
        <v>1</v>
      </c>
      <c r="F16" s="159">
        <v>0</v>
      </c>
      <c r="G16" s="159">
        <v>6</v>
      </c>
      <c r="H16" s="159">
        <v>7</v>
      </c>
      <c r="I16" s="159">
        <v>3</v>
      </c>
      <c r="J16" s="159">
        <v>2</v>
      </c>
      <c r="K16" s="159">
        <v>5</v>
      </c>
      <c r="L16" s="159">
        <v>3</v>
      </c>
      <c r="M16" s="159"/>
      <c r="N16" s="159"/>
      <c r="O16" s="159"/>
      <c r="P16" s="159"/>
      <c r="Q16" s="459">
        <f t="shared" si="0"/>
        <v>27</v>
      </c>
    </row>
    <row r="17" spans="4:17" ht="16.5" x14ac:dyDescent="0.3">
      <c r="D17" s="458" t="s">
        <v>54</v>
      </c>
      <c r="E17" s="159">
        <v>4</v>
      </c>
      <c r="F17" s="159">
        <v>3</v>
      </c>
      <c r="G17" s="159">
        <v>3</v>
      </c>
      <c r="H17" s="159">
        <v>8</v>
      </c>
      <c r="I17" s="159">
        <v>4</v>
      </c>
      <c r="J17" s="159">
        <v>3</v>
      </c>
      <c r="K17" s="159">
        <v>3</v>
      </c>
      <c r="L17" s="159">
        <v>1</v>
      </c>
      <c r="M17" s="159"/>
      <c r="N17" s="159"/>
      <c r="O17" s="159"/>
      <c r="P17" s="159"/>
      <c r="Q17" s="459">
        <f t="shared" si="0"/>
        <v>29</v>
      </c>
    </row>
    <row r="18" spans="4:17" ht="16.5" x14ac:dyDescent="0.3">
      <c r="D18" s="458" t="s">
        <v>168</v>
      </c>
      <c r="E18" s="159">
        <v>2</v>
      </c>
      <c r="F18" s="159">
        <v>3</v>
      </c>
      <c r="G18" s="159">
        <v>1</v>
      </c>
      <c r="H18" s="159">
        <v>0</v>
      </c>
      <c r="I18" s="159">
        <v>2</v>
      </c>
      <c r="J18" s="439">
        <v>0</v>
      </c>
      <c r="K18" s="159">
        <v>3</v>
      </c>
      <c r="L18" s="159">
        <v>0</v>
      </c>
      <c r="M18" s="159"/>
      <c r="N18" s="159"/>
      <c r="O18" s="159"/>
      <c r="P18" s="159"/>
      <c r="Q18" s="459">
        <f t="shared" si="0"/>
        <v>11</v>
      </c>
    </row>
    <row r="19" spans="4:17" ht="16.5" x14ac:dyDescent="0.3">
      <c r="D19" s="458" t="s">
        <v>517</v>
      </c>
      <c r="E19" s="159">
        <v>0</v>
      </c>
      <c r="F19" s="159">
        <v>0</v>
      </c>
      <c r="G19" s="159">
        <v>0</v>
      </c>
      <c r="H19" s="159">
        <v>1</v>
      </c>
      <c r="I19" s="159">
        <v>0</v>
      </c>
      <c r="J19" s="159">
        <v>0</v>
      </c>
      <c r="K19" s="159">
        <v>0</v>
      </c>
      <c r="L19" s="159">
        <v>0</v>
      </c>
      <c r="M19" s="159"/>
      <c r="N19" s="159"/>
      <c r="O19" s="159"/>
      <c r="P19" s="159"/>
      <c r="Q19" s="459">
        <f t="shared" si="0"/>
        <v>1</v>
      </c>
    </row>
    <row r="20" spans="4:17" ht="16.5" x14ac:dyDescent="0.3">
      <c r="D20" s="458" t="s">
        <v>601</v>
      </c>
      <c r="E20" s="159">
        <v>0</v>
      </c>
      <c r="F20" s="159">
        <v>0</v>
      </c>
      <c r="G20" s="159">
        <v>0</v>
      </c>
      <c r="H20" s="159">
        <v>0</v>
      </c>
      <c r="I20" s="159">
        <v>0</v>
      </c>
      <c r="J20" s="159">
        <v>0</v>
      </c>
      <c r="K20" s="159">
        <v>1</v>
      </c>
      <c r="L20" s="159">
        <v>0</v>
      </c>
      <c r="M20" s="159"/>
      <c r="N20" s="159"/>
      <c r="O20" s="159"/>
      <c r="P20" s="159"/>
      <c r="Q20" s="459">
        <f t="shared" si="0"/>
        <v>1</v>
      </c>
    </row>
    <row r="21" spans="4:17" ht="16.5" x14ac:dyDescent="0.3">
      <c r="D21" s="458" t="s">
        <v>169</v>
      </c>
      <c r="E21" s="159">
        <v>0</v>
      </c>
      <c r="F21" s="159">
        <v>4</v>
      </c>
      <c r="G21" s="159">
        <v>0</v>
      </c>
      <c r="H21" s="159">
        <v>1</v>
      </c>
      <c r="I21" s="159">
        <v>0</v>
      </c>
      <c r="J21" s="159">
        <v>1</v>
      </c>
      <c r="K21" s="159">
        <v>3</v>
      </c>
      <c r="L21" s="159">
        <v>0</v>
      </c>
      <c r="M21" s="159"/>
      <c r="N21" s="159"/>
      <c r="O21" s="159"/>
      <c r="P21" s="159"/>
      <c r="Q21" s="459">
        <f t="shared" si="0"/>
        <v>9</v>
      </c>
    </row>
    <row r="22" spans="4:17" ht="16.5" x14ac:dyDescent="0.3">
      <c r="D22" s="458" t="s">
        <v>56</v>
      </c>
      <c r="E22" s="159">
        <v>1</v>
      </c>
      <c r="F22" s="159">
        <v>2</v>
      </c>
      <c r="G22" s="159">
        <v>9</v>
      </c>
      <c r="H22" s="159">
        <v>7</v>
      </c>
      <c r="I22" s="159">
        <v>3</v>
      </c>
      <c r="J22" s="159">
        <v>2</v>
      </c>
      <c r="K22" s="159">
        <v>4</v>
      </c>
      <c r="L22" s="159">
        <v>3</v>
      </c>
      <c r="M22" s="159"/>
      <c r="N22" s="159"/>
      <c r="O22" s="159"/>
      <c r="P22" s="159"/>
      <c r="Q22" s="459">
        <f t="shared" si="0"/>
        <v>31</v>
      </c>
    </row>
    <row r="23" spans="4:17" ht="16.5" x14ac:dyDescent="0.3">
      <c r="D23" s="458" t="s">
        <v>170</v>
      </c>
      <c r="E23" s="159">
        <v>0</v>
      </c>
      <c r="F23" s="159">
        <v>0</v>
      </c>
      <c r="G23" s="159">
        <v>0</v>
      </c>
      <c r="H23" s="159">
        <v>0</v>
      </c>
      <c r="I23" s="159">
        <v>0</v>
      </c>
      <c r="J23" s="159">
        <v>0</v>
      </c>
      <c r="K23" s="159">
        <v>0</v>
      </c>
      <c r="L23" s="159">
        <v>0</v>
      </c>
      <c r="M23" s="159"/>
      <c r="N23" s="159"/>
      <c r="O23" s="159"/>
      <c r="P23" s="159"/>
      <c r="Q23" s="459">
        <f t="shared" si="0"/>
        <v>0</v>
      </c>
    </row>
    <row r="24" spans="4:17" ht="16.5" x14ac:dyDescent="0.3">
      <c r="D24" s="458" t="s">
        <v>171</v>
      </c>
      <c r="E24" s="159">
        <v>0</v>
      </c>
      <c r="F24" s="159">
        <v>0</v>
      </c>
      <c r="G24" s="159">
        <v>0</v>
      </c>
      <c r="H24" s="159">
        <v>0</v>
      </c>
      <c r="I24" s="159">
        <v>0</v>
      </c>
      <c r="J24" s="159">
        <v>0</v>
      </c>
      <c r="K24" s="159">
        <v>0</v>
      </c>
      <c r="L24" s="159">
        <v>0</v>
      </c>
      <c r="M24" s="159"/>
      <c r="N24" s="159"/>
      <c r="O24" s="159"/>
      <c r="P24" s="159"/>
      <c r="Q24" s="459">
        <f t="shared" si="0"/>
        <v>0</v>
      </c>
    </row>
    <row r="25" spans="4:17" ht="16.5" x14ac:dyDescent="0.3">
      <c r="D25" s="458" t="s">
        <v>55</v>
      </c>
      <c r="E25" s="159">
        <v>0</v>
      </c>
      <c r="F25" s="159">
        <v>0</v>
      </c>
      <c r="G25" s="159">
        <v>0</v>
      </c>
      <c r="H25" s="159">
        <v>0</v>
      </c>
      <c r="I25" s="159">
        <v>0</v>
      </c>
      <c r="J25" s="159">
        <v>0</v>
      </c>
      <c r="K25" s="159">
        <v>2</v>
      </c>
      <c r="L25" s="159">
        <v>0</v>
      </c>
      <c r="M25" s="159"/>
      <c r="N25" s="159"/>
      <c r="O25" s="159"/>
      <c r="P25" s="159"/>
      <c r="Q25" s="459">
        <f t="shared" si="0"/>
        <v>2</v>
      </c>
    </row>
    <row r="26" spans="4:17" ht="16.5" x14ac:dyDescent="0.3">
      <c r="D26" s="458" t="s">
        <v>172</v>
      </c>
      <c r="E26" s="159">
        <v>0</v>
      </c>
      <c r="F26" s="159">
        <v>0</v>
      </c>
      <c r="G26" s="159">
        <v>0</v>
      </c>
      <c r="H26" s="159">
        <v>0</v>
      </c>
      <c r="I26" s="159">
        <v>0</v>
      </c>
      <c r="J26" s="159">
        <v>0</v>
      </c>
      <c r="K26" s="159">
        <v>0</v>
      </c>
      <c r="L26" s="159">
        <v>0</v>
      </c>
      <c r="M26" s="159"/>
      <c r="N26" s="159"/>
      <c r="O26" s="159"/>
      <c r="P26" s="159"/>
      <c r="Q26" s="459">
        <f t="shared" si="0"/>
        <v>0</v>
      </c>
    </row>
    <row r="27" spans="4:17" ht="16.5" x14ac:dyDescent="0.3">
      <c r="D27" s="458" t="s">
        <v>173</v>
      </c>
      <c r="E27" s="159">
        <v>3</v>
      </c>
      <c r="F27" s="159">
        <v>6</v>
      </c>
      <c r="G27" s="159">
        <v>3</v>
      </c>
      <c r="H27" s="159">
        <v>9</v>
      </c>
      <c r="I27" s="159">
        <v>6</v>
      </c>
      <c r="J27" s="159">
        <v>1</v>
      </c>
      <c r="K27" s="159">
        <v>9</v>
      </c>
      <c r="L27" s="159">
        <v>6</v>
      </c>
      <c r="M27" s="159"/>
      <c r="N27" s="159"/>
      <c r="O27" s="159"/>
      <c r="P27" s="159"/>
      <c r="Q27" s="459">
        <f t="shared" si="0"/>
        <v>43</v>
      </c>
    </row>
    <row r="28" spans="4:17" ht="16.5" x14ac:dyDescent="0.3">
      <c r="D28" s="458" t="s">
        <v>86</v>
      </c>
      <c r="E28" s="159">
        <v>0</v>
      </c>
      <c r="F28" s="159">
        <v>0</v>
      </c>
      <c r="G28" s="159">
        <v>0</v>
      </c>
      <c r="H28" s="159">
        <v>0</v>
      </c>
      <c r="I28" s="159">
        <v>0</v>
      </c>
      <c r="J28" s="159">
        <v>0</v>
      </c>
      <c r="K28" s="159">
        <v>0</v>
      </c>
      <c r="L28" s="159">
        <v>0</v>
      </c>
      <c r="M28" s="159"/>
      <c r="N28" s="159"/>
      <c r="O28" s="159"/>
      <c r="P28" s="159"/>
      <c r="Q28" s="459">
        <f t="shared" si="0"/>
        <v>0</v>
      </c>
    </row>
    <row r="29" spans="4:17" ht="15.75" thickBot="1" x14ac:dyDescent="0.3">
      <c r="D29" s="435" t="s">
        <v>106</v>
      </c>
      <c r="E29" s="436">
        <f>SUM(E6:E28)</f>
        <v>64</v>
      </c>
      <c r="F29" s="436">
        <f>SUM(F6:F28)</f>
        <v>60</v>
      </c>
      <c r="G29" s="436">
        <f>SUM(G8:G28)</f>
        <v>73</v>
      </c>
      <c r="H29" s="436">
        <f t="shared" ref="H29:P29" si="1">SUM(H7:H28)</f>
        <v>89</v>
      </c>
      <c r="I29" s="436">
        <f t="shared" si="1"/>
        <v>84</v>
      </c>
      <c r="J29" s="436">
        <f t="shared" si="1"/>
        <v>53</v>
      </c>
      <c r="K29" s="436">
        <f t="shared" si="1"/>
        <v>135</v>
      </c>
      <c r="L29" s="436">
        <f t="shared" si="1"/>
        <v>67</v>
      </c>
      <c r="M29" s="436">
        <f t="shared" si="1"/>
        <v>0</v>
      </c>
      <c r="N29" s="436">
        <f t="shared" si="1"/>
        <v>0</v>
      </c>
      <c r="O29" s="436">
        <f t="shared" si="1"/>
        <v>0</v>
      </c>
      <c r="P29" s="436">
        <f t="shared" si="1"/>
        <v>0</v>
      </c>
      <c r="Q29" s="436">
        <f>SUM(E29:P29)</f>
        <v>625</v>
      </c>
    </row>
    <row r="30" spans="4:17" ht="16.5" x14ac:dyDescent="0.3">
      <c r="D30" s="391"/>
      <c r="E30" s="391"/>
      <c r="F30" s="391"/>
      <c r="G30" s="391"/>
      <c r="H30" s="391"/>
      <c r="I30" s="391"/>
      <c r="J30" s="391"/>
      <c r="K30" s="391"/>
      <c r="L30" s="391"/>
      <c r="M30" s="391"/>
      <c r="N30" s="391"/>
      <c r="O30" s="391"/>
      <c r="P30" s="391"/>
      <c r="Q30" s="437"/>
    </row>
    <row r="31" spans="4:17" ht="16.5" x14ac:dyDescent="0.3">
      <c r="D31" s="391"/>
      <c r="E31" s="391"/>
      <c r="F31" s="391"/>
      <c r="G31" s="391"/>
      <c r="H31" s="391"/>
      <c r="I31" s="391"/>
      <c r="J31" s="391"/>
      <c r="K31" s="391"/>
      <c r="L31" s="391"/>
      <c r="M31" s="391"/>
      <c r="N31" s="391"/>
      <c r="O31" s="391"/>
      <c r="P31" s="391"/>
      <c r="Q31" s="437"/>
    </row>
    <row r="32" spans="4:17" ht="16.5" x14ac:dyDescent="0.3">
      <c r="D32" s="391"/>
      <c r="E32" s="391"/>
      <c r="F32" s="391"/>
      <c r="G32" s="391"/>
      <c r="H32" s="391"/>
      <c r="I32" s="391"/>
      <c r="J32" s="391"/>
      <c r="K32" s="391"/>
      <c r="L32" s="391"/>
      <c r="M32" s="391"/>
      <c r="N32" s="391"/>
      <c r="O32" s="391"/>
      <c r="P32" s="391"/>
      <c r="Q32" s="437"/>
    </row>
    <row r="33" spans="4:17" ht="16.5" x14ac:dyDescent="0.3">
      <c r="D33" s="391"/>
      <c r="E33" s="391"/>
      <c r="F33" s="391"/>
      <c r="G33" s="391"/>
      <c r="H33" s="391"/>
      <c r="I33" s="391"/>
      <c r="J33" s="391"/>
      <c r="K33" s="391"/>
      <c r="L33" s="391"/>
      <c r="M33" s="391"/>
      <c r="N33" s="391"/>
      <c r="O33" s="391"/>
      <c r="P33" s="391"/>
      <c r="Q33" s="437"/>
    </row>
    <row r="34" spans="4:17" ht="17.25" thickBot="1" x14ac:dyDescent="0.35">
      <c r="D34" s="391"/>
      <c r="E34" s="391"/>
      <c r="F34" s="391"/>
      <c r="G34" s="391"/>
      <c r="H34" s="391"/>
      <c r="I34" s="391"/>
      <c r="J34" s="391"/>
      <c r="K34" s="391"/>
      <c r="L34" s="391"/>
      <c r="M34" s="391"/>
      <c r="N34" s="391"/>
      <c r="O34" s="391"/>
      <c r="P34" s="391"/>
      <c r="Q34" s="437"/>
    </row>
    <row r="35" spans="4:17" ht="21" thickBot="1" x14ac:dyDescent="0.35">
      <c r="D35" s="720" t="s">
        <v>109</v>
      </c>
      <c r="E35" s="721"/>
      <c r="F35" s="721"/>
      <c r="G35" s="721"/>
      <c r="H35" s="721"/>
      <c r="I35" s="721"/>
      <c r="J35" s="721"/>
      <c r="K35" s="721"/>
      <c r="L35" s="721"/>
      <c r="M35" s="721"/>
      <c r="N35" s="721"/>
      <c r="O35" s="721"/>
      <c r="P35" s="721"/>
      <c r="Q35" s="723"/>
    </row>
    <row r="36" spans="4:17" s="91" customFormat="1" ht="15.75" thickBot="1" x14ac:dyDescent="0.3">
      <c r="D36" s="438" t="s">
        <v>151</v>
      </c>
      <c r="E36" s="438" t="s">
        <v>152</v>
      </c>
      <c r="F36" s="438" t="s">
        <v>153</v>
      </c>
      <c r="G36" s="438" t="s">
        <v>154</v>
      </c>
      <c r="H36" s="438" t="s">
        <v>155</v>
      </c>
      <c r="I36" s="438" t="s">
        <v>156</v>
      </c>
      <c r="J36" s="433" t="s">
        <v>157</v>
      </c>
      <c r="K36" s="433" t="s">
        <v>158</v>
      </c>
      <c r="L36" s="433" t="s">
        <v>159</v>
      </c>
      <c r="M36" s="433" t="s">
        <v>160</v>
      </c>
      <c r="N36" s="433" t="s">
        <v>161</v>
      </c>
      <c r="O36" s="433" t="s">
        <v>162</v>
      </c>
      <c r="P36" s="433" t="s">
        <v>163</v>
      </c>
      <c r="Q36" s="438" t="s">
        <v>164</v>
      </c>
    </row>
    <row r="37" spans="4:17" s="91" customFormat="1" ht="16.5" x14ac:dyDescent="0.3">
      <c r="D37" s="382" t="s">
        <v>165</v>
      </c>
      <c r="E37" s="207">
        <v>1</v>
      </c>
      <c r="F37" s="207">
        <v>0</v>
      </c>
      <c r="G37" s="207">
        <v>0</v>
      </c>
      <c r="H37" s="207">
        <v>0</v>
      </c>
      <c r="I37" s="207">
        <v>0</v>
      </c>
      <c r="J37" s="207">
        <v>0</v>
      </c>
      <c r="K37" s="207">
        <v>0</v>
      </c>
      <c r="L37" s="207">
        <v>0</v>
      </c>
      <c r="M37" s="207"/>
      <c r="N37" s="207"/>
      <c r="O37" s="207"/>
      <c r="P37" s="207"/>
      <c r="Q37" s="612">
        <f t="shared" ref="Q37:Q55" si="2">SUM(E37:P37)</f>
        <v>1</v>
      </c>
    </row>
    <row r="38" spans="4:17" s="91" customFormat="1" ht="16.5" x14ac:dyDescent="0.3">
      <c r="D38" s="384" t="s">
        <v>174</v>
      </c>
      <c r="E38" s="159">
        <v>3</v>
      </c>
      <c r="F38" s="159">
        <v>1</v>
      </c>
      <c r="G38" s="159">
        <v>0</v>
      </c>
      <c r="H38" s="159">
        <v>0</v>
      </c>
      <c r="I38" s="159">
        <v>0</v>
      </c>
      <c r="J38" s="159">
        <v>1</v>
      </c>
      <c r="K38" s="159">
        <v>2</v>
      </c>
      <c r="L38" s="159">
        <v>2</v>
      </c>
      <c r="M38" s="159"/>
      <c r="N38" s="159"/>
      <c r="O38" s="159"/>
      <c r="P38" s="159"/>
      <c r="Q38" s="161">
        <f t="shared" si="2"/>
        <v>9</v>
      </c>
    </row>
    <row r="39" spans="4:17" s="91" customFormat="1" ht="16.5" x14ac:dyDescent="0.3">
      <c r="D39" s="384" t="s">
        <v>80</v>
      </c>
      <c r="E39" s="159">
        <v>0</v>
      </c>
      <c r="F39" s="159">
        <v>0</v>
      </c>
      <c r="G39" s="159">
        <v>0</v>
      </c>
      <c r="H39" s="159">
        <v>0</v>
      </c>
      <c r="I39" s="159">
        <v>0</v>
      </c>
      <c r="J39" s="159">
        <v>0</v>
      </c>
      <c r="K39" s="159">
        <v>0</v>
      </c>
      <c r="L39" s="159">
        <v>0</v>
      </c>
      <c r="M39" s="159"/>
      <c r="N39" s="159"/>
      <c r="O39" s="159"/>
      <c r="P39" s="159"/>
      <c r="Q39" s="434">
        <f t="shared" si="2"/>
        <v>0</v>
      </c>
    </row>
    <row r="40" spans="4:17" s="91" customFormat="1" ht="16.5" x14ac:dyDescent="0.3">
      <c r="D40" s="384" t="s">
        <v>496</v>
      </c>
      <c r="E40" s="159">
        <v>0</v>
      </c>
      <c r="F40" s="159">
        <v>0</v>
      </c>
      <c r="G40" s="159">
        <v>1</v>
      </c>
      <c r="H40" s="159">
        <v>0</v>
      </c>
      <c r="I40" s="159">
        <v>0</v>
      </c>
      <c r="J40" s="159">
        <v>0</v>
      </c>
      <c r="K40" s="159">
        <v>0</v>
      </c>
      <c r="L40" s="159">
        <v>2</v>
      </c>
      <c r="M40" s="159"/>
      <c r="N40" s="159"/>
      <c r="O40" s="159"/>
      <c r="P40" s="159"/>
      <c r="Q40" s="434">
        <f t="shared" si="2"/>
        <v>3</v>
      </c>
    </row>
    <row r="41" spans="4:17" s="91" customFormat="1" ht="16.5" x14ac:dyDescent="0.3">
      <c r="D41" s="384" t="s">
        <v>326</v>
      </c>
      <c r="E41" s="159">
        <v>0</v>
      </c>
      <c r="F41" s="159">
        <v>0</v>
      </c>
      <c r="G41" s="159">
        <v>0</v>
      </c>
      <c r="H41" s="159">
        <v>0</v>
      </c>
      <c r="I41" s="159">
        <v>0</v>
      </c>
      <c r="J41" s="159">
        <v>0</v>
      </c>
      <c r="K41" s="159">
        <v>0</v>
      </c>
      <c r="L41" s="159">
        <v>0</v>
      </c>
      <c r="M41" s="159"/>
      <c r="N41" s="159"/>
      <c r="O41" s="159"/>
      <c r="P41" s="159"/>
      <c r="Q41" s="434">
        <f t="shared" si="2"/>
        <v>0</v>
      </c>
    </row>
    <row r="42" spans="4:17" ht="14.25" customHeight="1" x14ac:dyDescent="0.3">
      <c r="D42" s="384" t="s">
        <v>175</v>
      </c>
      <c r="E42" s="159">
        <v>3</v>
      </c>
      <c r="F42" s="159">
        <v>12</v>
      </c>
      <c r="G42" s="159">
        <v>5</v>
      </c>
      <c r="H42" s="159">
        <v>14</v>
      </c>
      <c r="I42" s="159">
        <v>6</v>
      </c>
      <c r="J42" s="159">
        <v>7</v>
      </c>
      <c r="K42" s="159">
        <v>21</v>
      </c>
      <c r="L42" s="159">
        <v>14</v>
      </c>
      <c r="M42" s="159"/>
      <c r="N42" s="159"/>
      <c r="O42" s="159"/>
      <c r="P42" s="159"/>
      <c r="Q42" s="434">
        <f t="shared" si="2"/>
        <v>82</v>
      </c>
    </row>
    <row r="43" spans="4:17" ht="16.5" x14ac:dyDescent="0.3">
      <c r="D43" s="384" t="s">
        <v>57</v>
      </c>
      <c r="E43" s="159">
        <v>10</v>
      </c>
      <c r="F43" s="159">
        <v>5</v>
      </c>
      <c r="G43" s="159">
        <v>5</v>
      </c>
      <c r="H43" s="159">
        <v>14</v>
      </c>
      <c r="I43" s="159">
        <v>7</v>
      </c>
      <c r="J43" s="159">
        <v>6</v>
      </c>
      <c r="K43" s="159">
        <v>13</v>
      </c>
      <c r="L43" s="159">
        <v>12</v>
      </c>
      <c r="M43" s="159"/>
      <c r="N43" s="159"/>
      <c r="O43" s="159"/>
      <c r="P43" s="159"/>
      <c r="Q43" s="161">
        <f t="shared" si="2"/>
        <v>72</v>
      </c>
    </row>
    <row r="44" spans="4:17" ht="16.5" x14ac:dyDescent="0.3">
      <c r="D44" s="384" t="s">
        <v>176</v>
      </c>
      <c r="E44" s="159">
        <v>1</v>
      </c>
      <c r="F44" s="159">
        <v>0</v>
      </c>
      <c r="G44" s="159">
        <v>5</v>
      </c>
      <c r="H44" s="159">
        <v>7</v>
      </c>
      <c r="I44" s="159">
        <v>3</v>
      </c>
      <c r="J44" s="159">
        <v>2</v>
      </c>
      <c r="K44" s="159">
        <v>4</v>
      </c>
      <c r="L44" s="159">
        <v>3</v>
      </c>
      <c r="M44" s="159"/>
      <c r="N44" s="159"/>
      <c r="O44" s="159"/>
      <c r="P44" s="159"/>
      <c r="Q44" s="161">
        <f t="shared" si="2"/>
        <v>25</v>
      </c>
    </row>
    <row r="45" spans="4:17" ht="16.5" x14ac:dyDescent="0.3">
      <c r="D45" s="384" t="s">
        <v>177</v>
      </c>
      <c r="E45" s="159">
        <v>3</v>
      </c>
      <c r="F45" s="159">
        <v>4</v>
      </c>
      <c r="G45" s="159">
        <v>3</v>
      </c>
      <c r="H45" s="159">
        <v>8</v>
      </c>
      <c r="I45" s="159">
        <v>4</v>
      </c>
      <c r="J45" s="159">
        <v>3</v>
      </c>
      <c r="K45" s="159">
        <v>2</v>
      </c>
      <c r="L45" s="159">
        <v>1</v>
      </c>
      <c r="M45" s="159"/>
      <c r="N45" s="159"/>
      <c r="O45" s="159"/>
      <c r="P45" s="159"/>
      <c r="Q45" s="161">
        <f t="shared" si="2"/>
        <v>28</v>
      </c>
    </row>
    <row r="46" spans="4:17" ht="16.5" x14ac:dyDescent="0.3">
      <c r="D46" s="384" t="s">
        <v>178</v>
      </c>
      <c r="E46" s="159">
        <v>0</v>
      </c>
      <c r="F46" s="159">
        <v>0</v>
      </c>
      <c r="G46" s="159">
        <v>0</v>
      </c>
      <c r="H46" s="159">
        <v>0</v>
      </c>
      <c r="I46" s="159">
        <v>0</v>
      </c>
      <c r="J46" s="159">
        <v>0</v>
      </c>
      <c r="K46" s="159">
        <v>0</v>
      </c>
      <c r="L46" s="159">
        <v>0</v>
      </c>
      <c r="M46" s="159"/>
      <c r="N46" s="159"/>
      <c r="O46" s="159"/>
      <c r="P46" s="159"/>
      <c r="Q46" s="161">
        <f t="shared" si="2"/>
        <v>0</v>
      </c>
    </row>
    <row r="47" spans="4:17" ht="16.5" x14ac:dyDescent="0.3">
      <c r="D47" s="384" t="s">
        <v>62</v>
      </c>
      <c r="E47" s="159">
        <v>10</v>
      </c>
      <c r="F47" s="159">
        <v>10</v>
      </c>
      <c r="G47" s="159">
        <v>8</v>
      </c>
      <c r="H47" s="159">
        <v>9</v>
      </c>
      <c r="I47" s="159">
        <v>10</v>
      </c>
      <c r="J47" s="159">
        <v>10</v>
      </c>
      <c r="K47" s="159">
        <v>15</v>
      </c>
      <c r="L47" s="159">
        <v>4</v>
      </c>
      <c r="M47" s="159"/>
      <c r="N47" s="159"/>
      <c r="O47" s="159"/>
      <c r="P47" s="159"/>
      <c r="Q47" s="161">
        <f t="shared" si="2"/>
        <v>76</v>
      </c>
    </row>
    <row r="48" spans="4:17" ht="16.5" x14ac:dyDescent="0.3">
      <c r="D48" s="384" t="s">
        <v>179</v>
      </c>
      <c r="E48" s="159">
        <v>0</v>
      </c>
      <c r="F48" s="159">
        <v>0</v>
      </c>
      <c r="G48" s="159">
        <v>1</v>
      </c>
      <c r="H48" s="159">
        <v>0</v>
      </c>
      <c r="I48" s="159">
        <v>0</v>
      </c>
      <c r="J48" s="159">
        <v>0</v>
      </c>
      <c r="K48" s="159">
        <v>1</v>
      </c>
      <c r="L48" s="159">
        <v>0</v>
      </c>
      <c r="M48" s="159"/>
      <c r="N48" s="159"/>
      <c r="O48" s="159"/>
      <c r="P48" s="159"/>
      <c r="Q48" s="161">
        <f t="shared" si="2"/>
        <v>2</v>
      </c>
    </row>
    <row r="49" spans="4:17" ht="13.5" customHeight="1" x14ac:dyDescent="0.3">
      <c r="D49" s="384" t="s">
        <v>169</v>
      </c>
      <c r="E49" s="159">
        <v>0</v>
      </c>
      <c r="F49" s="159">
        <v>5</v>
      </c>
      <c r="G49" s="159">
        <v>9</v>
      </c>
      <c r="H49" s="159">
        <v>1</v>
      </c>
      <c r="I49" s="159">
        <v>0</v>
      </c>
      <c r="J49" s="159">
        <v>1</v>
      </c>
      <c r="K49" s="159">
        <v>3</v>
      </c>
      <c r="L49" s="159">
        <v>3</v>
      </c>
      <c r="M49" s="159"/>
      <c r="N49" s="159"/>
      <c r="O49" s="159"/>
      <c r="P49" s="159"/>
      <c r="Q49" s="161">
        <f t="shared" si="2"/>
        <v>22</v>
      </c>
    </row>
    <row r="50" spans="4:17" ht="16.5" x14ac:dyDescent="0.3">
      <c r="D50" s="384" t="s">
        <v>56</v>
      </c>
      <c r="E50" s="159">
        <v>1</v>
      </c>
      <c r="F50" s="159">
        <v>2</v>
      </c>
      <c r="G50" s="159">
        <v>0</v>
      </c>
      <c r="H50" s="159">
        <v>7</v>
      </c>
      <c r="I50" s="159">
        <v>3</v>
      </c>
      <c r="J50" s="159">
        <v>1</v>
      </c>
      <c r="K50" s="159">
        <v>4</v>
      </c>
      <c r="L50" s="159">
        <v>0</v>
      </c>
      <c r="M50" s="159"/>
      <c r="N50" s="159"/>
      <c r="O50" s="159"/>
      <c r="P50" s="159"/>
      <c r="Q50" s="161">
        <f t="shared" si="2"/>
        <v>18</v>
      </c>
    </row>
    <row r="51" spans="4:17" ht="16.5" x14ac:dyDescent="0.3">
      <c r="D51" s="384" t="s">
        <v>537</v>
      </c>
      <c r="E51" s="159">
        <v>0</v>
      </c>
      <c r="F51" s="159">
        <v>0</v>
      </c>
      <c r="G51" s="159">
        <v>0</v>
      </c>
      <c r="H51" s="159">
        <v>0</v>
      </c>
      <c r="I51" s="159">
        <v>1</v>
      </c>
      <c r="J51" s="159">
        <v>0</v>
      </c>
      <c r="K51" s="159">
        <v>0</v>
      </c>
      <c r="L51" s="159">
        <v>0</v>
      </c>
      <c r="M51" s="159"/>
      <c r="N51" s="159"/>
      <c r="O51" s="159"/>
      <c r="P51" s="159"/>
      <c r="Q51" s="161">
        <f t="shared" si="2"/>
        <v>1</v>
      </c>
    </row>
    <row r="52" spans="4:17" ht="16.5" x14ac:dyDescent="0.3">
      <c r="D52" s="384" t="s">
        <v>556</v>
      </c>
      <c r="E52" s="159">
        <v>0</v>
      </c>
      <c r="F52" s="159">
        <v>0</v>
      </c>
      <c r="G52" s="159">
        <v>0</v>
      </c>
      <c r="H52" s="159">
        <v>0</v>
      </c>
      <c r="I52" s="159">
        <v>0</v>
      </c>
      <c r="J52" s="159">
        <v>1</v>
      </c>
      <c r="K52" s="159">
        <v>0</v>
      </c>
      <c r="L52" s="159">
        <v>0</v>
      </c>
      <c r="M52" s="159"/>
      <c r="N52" s="159"/>
      <c r="O52" s="159"/>
      <c r="P52" s="159"/>
      <c r="Q52" s="161">
        <f t="shared" si="2"/>
        <v>1</v>
      </c>
    </row>
    <row r="53" spans="4:17" ht="16.5" x14ac:dyDescent="0.3">
      <c r="D53" s="384" t="s">
        <v>173</v>
      </c>
      <c r="E53" s="159">
        <v>1</v>
      </c>
      <c r="F53" s="159">
        <v>8</v>
      </c>
      <c r="G53" s="159">
        <v>6</v>
      </c>
      <c r="H53" s="439">
        <v>12</v>
      </c>
      <c r="I53" s="159">
        <v>9</v>
      </c>
      <c r="J53" s="159">
        <v>4</v>
      </c>
      <c r="K53" s="159">
        <v>10</v>
      </c>
      <c r="L53" s="159">
        <v>10</v>
      </c>
      <c r="M53" s="159"/>
      <c r="N53" s="159"/>
      <c r="O53" s="159"/>
      <c r="P53" s="159"/>
      <c r="Q53" s="161">
        <f t="shared" si="2"/>
        <v>60</v>
      </c>
    </row>
    <row r="54" spans="4:17" ht="17.25" thickBot="1" x14ac:dyDescent="0.35">
      <c r="D54" s="386" t="s">
        <v>86</v>
      </c>
      <c r="E54" s="164">
        <v>0</v>
      </c>
      <c r="F54" s="164">
        <v>0</v>
      </c>
      <c r="G54" s="164">
        <v>0</v>
      </c>
      <c r="H54" s="164">
        <v>0</v>
      </c>
      <c r="I54" s="164">
        <v>0</v>
      </c>
      <c r="J54" s="164">
        <v>0</v>
      </c>
      <c r="K54" s="164">
        <v>0</v>
      </c>
      <c r="L54" s="164">
        <v>0</v>
      </c>
      <c r="M54" s="164"/>
      <c r="N54" s="164"/>
      <c r="O54" s="164"/>
      <c r="P54" s="164"/>
      <c r="Q54" s="319">
        <f t="shared" si="2"/>
        <v>0</v>
      </c>
    </row>
    <row r="55" spans="4:17" ht="15.75" thickBot="1" x14ac:dyDescent="0.3">
      <c r="D55" s="440" t="s">
        <v>106</v>
      </c>
      <c r="E55" s="416">
        <f t="shared" ref="E55:N55" si="3">SUM(E37:E54)</f>
        <v>33</v>
      </c>
      <c r="F55" s="416">
        <f t="shared" si="3"/>
        <v>47</v>
      </c>
      <c r="G55" s="416">
        <f t="shared" si="3"/>
        <v>43</v>
      </c>
      <c r="H55" s="416">
        <f t="shared" si="3"/>
        <v>72</v>
      </c>
      <c r="I55" s="416">
        <f t="shared" si="3"/>
        <v>43</v>
      </c>
      <c r="J55" s="416">
        <f t="shared" si="3"/>
        <v>36</v>
      </c>
      <c r="K55" s="416">
        <f t="shared" si="3"/>
        <v>75</v>
      </c>
      <c r="L55" s="416">
        <f t="shared" si="3"/>
        <v>51</v>
      </c>
      <c r="M55" s="416">
        <f t="shared" si="3"/>
        <v>0</v>
      </c>
      <c r="N55" s="416">
        <f t="shared" si="3"/>
        <v>0</v>
      </c>
      <c r="O55" s="416"/>
      <c r="P55" s="416"/>
      <c r="Q55" s="416">
        <f t="shared" si="2"/>
        <v>400</v>
      </c>
    </row>
    <row r="56" spans="4:17" x14ac:dyDescent="0.25">
      <c r="D56" s="441"/>
      <c r="E56" s="442"/>
      <c r="F56" s="442"/>
      <c r="G56" s="442"/>
      <c r="H56" s="442"/>
      <c r="I56" s="442"/>
      <c r="J56" s="442"/>
      <c r="K56" s="442"/>
      <c r="L56" s="442"/>
      <c r="M56" s="442"/>
      <c r="N56" s="442"/>
      <c r="O56" s="442"/>
      <c r="P56" s="442"/>
      <c r="Q56" s="442"/>
    </row>
    <row r="57" spans="4:17" x14ac:dyDescent="0.25">
      <c r="D57" s="441"/>
      <c r="E57" s="442"/>
      <c r="F57" s="442"/>
      <c r="G57" s="442"/>
      <c r="H57" s="442"/>
      <c r="I57" s="442"/>
      <c r="J57" s="442"/>
      <c r="K57" s="442"/>
      <c r="L57" s="442"/>
      <c r="M57" s="442"/>
      <c r="N57" s="442"/>
      <c r="O57" s="442"/>
      <c r="P57" s="442"/>
      <c r="Q57" s="442"/>
    </row>
    <row r="58" spans="4:17" ht="15.75" thickBot="1" x14ac:dyDescent="0.3">
      <c r="D58" s="441"/>
      <c r="E58" s="442"/>
      <c r="F58" s="442"/>
      <c r="G58" s="442"/>
      <c r="H58" s="442"/>
      <c r="I58" s="442"/>
      <c r="J58" s="442"/>
      <c r="K58" s="442"/>
      <c r="L58" s="442"/>
      <c r="M58" s="442"/>
      <c r="N58" s="442"/>
      <c r="O58" s="442"/>
      <c r="P58" s="442"/>
      <c r="Q58" s="442"/>
    </row>
    <row r="59" spans="4:17" ht="21" thickBot="1" x14ac:dyDescent="0.35">
      <c r="D59" s="720" t="s">
        <v>193</v>
      </c>
      <c r="E59" s="721"/>
      <c r="F59" s="721"/>
      <c r="G59" s="721"/>
      <c r="H59" s="721"/>
      <c r="I59" s="721"/>
      <c r="J59" s="721"/>
      <c r="K59" s="721"/>
      <c r="L59" s="721"/>
      <c r="M59" s="721"/>
      <c r="N59" s="721"/>
      <c r="O59" s="721"/>
      <c r="P59" s="721"/>
      <c r="Q59" s="723"/>
    </row>
    <row r="60" spans="4:17" ht="15.75" thickBot="1" x14ac:dyDescent="0.3">
      <c r="D60" s="443" t="s">
        <v>151</v>
      </c>
      <c r="E60" s="443" t="s">
        <v>152</v>
      </c>
      <c r="F60" s="443" t="s">
        <v>153</v>
      </c>
      <c r="G60" s="444" t="s">
        <v>154</v>
      </c>
      <c r="H60" s="443" t="s">
        <v>155</v>
      </c>
      <c r="I60" s="445" t="s">
        <v>156</v>
      </c>
      <c r="J60" s="446" t="s">
        <v>157</v>
      </c>
      <c r="K60" s="446" t="s">
        <v>158</v>
      </c>
      <c r="L60" s="446" t="s">
        <v>159</v>
      </c>
      <c r="M60" s="446" t="s">
        <v>160</v>
      </c>
      <c r="N60" s="446" t="s">
        <v>161</v>
      </c>
      <c r="O60" s="446" t="s">
        <v>162</v>
      </c>
      <c r="P60" s="446" t="s">
        <v>163</v>
      </c>
      <c r="Q60" s="443" t="s">
        <v>164</v>
      </c>
    </row>
    <row r="61" spans="4:17" ht="16.5" x14ac:dyDescent="0.3">
      <c r="D61" s="397" t="s">
        <v>292</v>
      </c>
      <c r="E61" s="399">
        <v>2</v>
      </c>
      <c r="F61" s="135">
        <v>0</v>
      </c>
      <c r="G61" s="398">
        <v>0</v>
      </c>
      <c r="H61" s="399">
        <v>0</v>
      </c>
      <c r="I61" s="135">
        <v>0</v>
      </c>
      <c r="J61" s="398">
        <v>0</v>
      </c>
      <c r="K61" s="135">
        <v>0</v>
      </c>
      <c r="L61" s="398">
        <v>0</v>
      </c>
      <c r="M61" s="135"/>
      <c r="N61" s="398"/>
      <c r="O61" s="135"/>
      <c r="P61" s="180"/>
      <c r="Q61" s="447">
        <f>SUM(E61:P61)</f>
        <v>2</v>
      </c>
    </row>
    <row r="62" spans="4:17" ht="16.5" x14ac:dyDescent="0.3">
      <c r="D62" s="397" t="s">
        <v>65</v>
      </c>
      <c r="E62" s="399">
        <v>0</v>
      </c>
      <c r="F62" s="136">
        <v>1</v>
      </c>
      <c r="G62" s="401">
        <v>1</v>
      </c>
      <c r="H62" s="136">
        <v>0</v>
      </c>
      <c r="I62" s="136">
        <v>1</v>
      </c>
      <c r="J62" s="401">
        <v>0</v>
      </c>
      <c r="K62" s="136">
        <v>0</v>
      </c>
      <c r="L62" s="401">
        <v>0</v>
      </c>
      <c r="M62" s="136"/>
      <c r="N62" s="401"/>
      <c r="O62" s="136"/>
      <c r="P62" s="181"/>
      <c r="Q62" s="447">
        <f t="shared" ref="Q62:Q79" si="4">SUM(E62:P62)</f>
        <v>3</v>
      </c>
    </row>
    <row r="63" spans="4:17" ht="16.5" x14ac:dyDescent="0.3">
      <c r="D63" s="397" t="s">
        <v>293</v>
      </c>
      <c r="E63" s="399">
        <v>0</v>
      </c>
      <c r="F63" s="136">
        <v>0</v>
      </c>
      <c r="G63" s="401">
        <v>0</v>
      </c>
      <c r="H63" s="136">
        <v>0</v>
      </c>
      <c r="I63" s="136">
        <v>0</v>
      </c>
      <c r="J63" s="401">
        <v>0</v>
      </c>
      <c r="K63" s="136">
        <v>2</v>
      </c>
      <c r="L63" s="401">
        <v>0</v>
      </c>
      <c r="M63" s="136"/>
      <c r="N63" s="401"/>
      <c r="O63" s="136"/>
      <c r="P63" s="181"/>
      <c r="Q63" s="447">
        <f t="shared" si="4"/>
        <v>2</v>
      </c>
    </row>
    <row r="64" spans="4:17" ht="16.5" x14ac:dyDescent="0.3">
      <c r="D64" s="397" t="s">
        <v>383</v>
      </c>
      <c r="E64" s="399">
        <v>0</v>
      </c>
      <c r="F64" s="136">
        <v>0</v>
      </c>
      <c r="G64" s="401">
        <v>0</v>
      </c>
      <c r="H64" s="136">
        <v>0</v>
      </c>
      <c r="I64" s="399">
        <v>0</v>
      </c>
      <c r="J64" s="401">
        <v>0</v>
      </c>
      <c r="K64" s="136">
        <v>0</v>
      </c>
      <c r="L64" s="401">
        <v>0</v>
      </c>
      <c r="M64" s="136"/>
      <c r="N64" s="401"/>
      <c r="O64" s="136"/>
      <c r="P64" s="181"/>
      <c r="Q64" s="447">
        <f t="shared" si="4"/>
        <v>0</v>
      </c>
    </row>
    <row r="65" spans="4:17" ht="16.5" x14ac:dyDescent="0.3">
      <c r="D65" s="397" t="s">
        <v>348</v>
      </c>
      <c r="E65" s="399">
        <v>0</v>
      </c>
      <c r="F65" s="136">
        <v>0</v>
      </c>
      <c r="G65" s="401">
        <v>0</v>
      </c>
      <c r="H65" s="136">
        <v>0</v>
      </c>
      <c r="I65" s="136">
        <v>0</v>
      </c>
      <c r="J65" s="401">
        <v>0</v>
      </c>
      <c r="K65" s="136">
        <v>0</v>
      </c>
      <c r="L65" s="401">
        <v>0</v>
      </c>
      <c r="M65" s="136"/>
      <c r="N65" s="401"/>
      <c r="O65" s="136"/>
      <c r="P65" s="181"/>
      <c r="Q65" s="447">
        <f t="shared" si="4"/>
        <v>0</v>
      </c>
    </row>
    <row r="66" spans="4:17" ht="16.5" x14ac:dyDescent="0.3">
      <c r="D66" s="397" t="s">
        <v>395</v>
      </c>
      <c r="E66" s="399">
        <v>0</v>
      </c>
      <c r="F66" s="136">
        <v>1</v>
      </c>
      <c r="G66" s="401">
        <v>1</v>
      </c>
      <c r="H66" s="136">
        <v>1</v>
      </c>
      <c r="I66" s="399">
        <v>0</v>
      </c>
      <c r="J66" s="136">
        <v>0</v>
      </c>
      <c r="K66" s="401">
        <v>3</v>
      </c>
      <c r="L66" s="136">
        <v>0</v>
      </c>
      <c r="M66" s="136"/>
      <c r="N66" s="401"/>
      <c r="O66" s="136"/>
      <c r="P66" s="181"/>
      <c r="Q66" s="447">
        <f t="shared" si="4"/>
        <v>6</v>
      </c>
    </row>
    <row r="67" spans="4:17" ht="16.5" x14ac:dyDescent="0.3">
      <c r="D67" s="400" t="s">
        <v>73</v>
      </c>
      <c r="E67" s="136">
        <v>0</v>
      </c>
      <c r="F67" s="136">
        <v>1</v>
      </c>
      <c r="G67" s="401">
        <v>1</v>
      </c>
      <c r="H67" s="136">
        <v>0</v>
      </c>
      <c r="I67" s="136">
        <v>0</v>
      </c>
      <c r="J67" s="401">
        <v>0</v>
      </c>
      <c r="K67" s="136">
        <v>0</v>
      </c>
      <c r="L67" s="401">
        <v>0</v>
      </c>
      <c r="M67" s="136"/>
      <c r="N67" s="401"/>
      <c r="O67" s="136"/>
      <c r="P67" s="181"/>
      <c r="Q67" s="447">
        <f t="shared" si="4"/>
        <v>2</v>
      </c>
    </row>
    <row r="68" spans="4:17" ht="16.5" x14ac:dyDescent="0.3">
      <c r="D68" s="400" t="s">
        <v>294</v>
      </c>
      <c r="E68" s="136">
        <v>0</v>
      </c>
      <c r="F68" s="136">
        <v>0</v>
      </c>
      <c r="G68" s="401">
        <v>0</v>
      </c>
      <c r="H68" s="136">
        <v>0</v>
      </c>
      <c r="I68" s="136">
        <v>0</v>
      </c>
      <c r="J68" s="401">
        <v>0</v>
      </c>
      <c r="K68" s="136">
        <v>0</v>
      </c>
      <c r="L68" s="401">
        <v>0</v>
      </c>
      <c r="M68" s="136"/>
      <c r="N68" s="401"/>
      <c r="O68" s="136"/>
      <c r="P68" s="181"/>
      <c r="Q68" s="447">
        <f t="shared" si="4"/>
        <v>0</v>
      </c>
    </row>
    <row r="69" spans="4:17" ht="16.5" x14ac:dyDescent="0.3">
      <c r="D69" s="400" t="s">
        <v>283</v>
      </c>
      <c r="E69" s="136">
        <v>3</v>
      </c>
      <c r="F69" s="136">
        <v>2</v>
      </c>
      <c r="G69" s="401">
        <v>4</v>
      </c>
      <c r="H69" s="136">
        <v>1</v>
      </c>
      <c r="I69" s="136">
        <v>2</v>
      </c>
      <c r="J69" s="401">
        <v>1</v>
      </c>
      <c r="K69" s="136">
        <v>3</v>
      </c>
      <c r="L69" s="401">
        <v>5</v>
      </c>
      <c r="M69" s="136"/>
      <c r="N69" s="401"/>
      <c r="O69" s="136"/>
      <c r="P69" s="181"/>
      <c r="Q69" s="447">
        <f t="shared" si="4"/>
        <v>21</v>
      </c>
    </row>
    <row r="70" spans="4:17" ht="16.5" x14ac:dyDescent="0.3">
      <c r="D70" s="400" t="s">
        <v>72</v>
      </c>
      <c r="E70" s="399">
        <v>6</v>
      </c>
      <c r="F70" s="136">
        <v>3</v>
      </c>
      <c r="G70" s="401">
        <v>6</v>
      </c>
      <c r="H70" s="136">
        <v>2</v>
      </c>
      <c r="I70" s="136">
        <v>0</v>
      </c>
      <c r="J70" s="401">
        <v>2</v>
      </c>
      <c r="K70" s="136">
        <v>8</v>
      </c>
      <c r="L70" s="401">
        <v>3</v>
      </c>
      <c r="M70" s="136"/>
      <c r="N70" s="401"/>
      <c r="O70" s="136"/>
      <c r="P70" s="181"/>
      <c r="Q70" s="447">
        <f t="shared" si="4"/>
        <v>30</v>
      </c>
    </row>
    <row r="71" spans="4:17" ht="16.5" x14ac:dyDescent="0.3">
      <c r="D71" s="425" t="s">
        <v>368</v>
      </c>
      <c r="E71" s="136">
        <v>0</v>
      </c>
      <c r="F71" s="136">
        <v>0</v>
      </c>
      <c r="G71" s="401">
        <v>0</v>
      </c>
      <c r="H71" s="136">
        <v>0</v>
      </c>
      <c r="I71" s="136">
        <v>0</v>
      </c>
      <c r="J71" s="401">
        <v>0</v>
      </c>
      <c r="K71" s="403">
        <v>0</v>
      </c>
      <c r="L71" s="426">
        <v>0</v>
      </c>
      <c r="M71" s="403"/>
      <c r="N71" s="426"/>
      <c r="O71" s="403"/>
      <c r="P71" s="182"/>
      <c r="Q71" s="447">
        <f t="shared" si="4"/>
        <v>0</v>
      </c>
    </row>
    <row r="72" spans="4:17" ht="16.5" x14ac:dyDescent="0.3">
      <c r="D72" s="425" t="s">
        <v>87</v>
      </c>
      <c r="E72" s="136">
        <v>1</v>
      </c>
      <c r="F72" s="403">
        <v>4</v>
      </c>
      <c r="G72" s="426">
        <v>0</v>
      </c>
      <c r="H72" s="403">
        <v>1</v>
      </c>
      <c r="I72" s="403">
        <v>2</v>
      </c>
      <c r="J72" s="426">
        <v>3</v>
      </c>
      <c r="K72" s="403">
        <v>2</v>
      </c>
      <c r="L72" s="426">
        <v>2</v>
      </c>
      <c r="M72" s="403"/>
      <c r="N72" s="426"/>
      <c r="O72" s="403"/>
      <c r="P72" s="182"/>
      <c r="Q72" s="447">
        <f t="shared" si="4"/>
        <v>15</v>
      </c>
    </row>
    <row r="73" spans="4:17" ht="15.75" customHeight="1" x14ac:dyDescent="0.3">
      <c r="D73" s="425" t="s">
        <v>538</v>
      </c>
      <c r="E73" s="136">
        <v>0</v>
      </c>
      <c r="F73" s="136">
        <v>0</v>
      </c>
      <c r="G73" s="401">
        <v>0</v>
      </c>
      <c r="H73" s="136">
        <v>0</v>
      </c>
      <c r="I73" s="136">
        <v>1</v>
      </c>
      <c r="J73" s="401">
        <v>0</v>
      </c>
      <c r="K73" s="136">
        <v>0</v>
      </c>
      <c r="L73" s="401">
        <v>0</v>
      </c>
      <c r="M73" s="403"/>
      <c r="N73" s="426"/>
      <c r="O73" s="403"/>
      <c r="P73" s="182"/>
      <c r="Q73" s="447">
        <f t="shared" si="4"/>
        <v>1</v>
      </c>
    </row>
    <row r="74" spans="4:17" ht="15.75" customHeight="1" x14ac:dyDescent="0.3">
      <c r="D74" s="425" t="s">
        <v>658</v>
      </c>
      <c r="E74" s="136"/>
      <c r="F74" s="136"/>
      <c r="G74" s="401"/>
      <c r="H74" s="136"/>
      <c r="I74" s="136"/>
      <c r="J74" s="426"/>
      <c r="K74" s="403"/>
      <c r="L74" s="426">
        <v>2</v>
      </c>
      <c r="M74" s="403"/>
      <c r="N74" s="426"/>
      <c r="O74" s="403"/>
      <c r="P74" s="182"/>
      <c r="Q74" s="447"/>
    </row>
    <row r="75" spans="4:17" ht="16.5" x14ac:dyDescent="0.3">
      <c r="D75" s="425" t="s">
        <v>349</v>
      </c>
      <c r="E75" s="136">
        <v>0</v>
      </c>
      <c r="F75" s="136">
        <v>0</v>
      </c>
      <c r="G75" s="401">
        <v>0</v>
      </c>
      <c r="H75" s="136">
        <v>0</v>
      </c>
      <c r="I75" s="136">
        <v>0</v>
      </c>
      <c r="J75" s="426">
        <v>0</v>
      </c>
      <c r="K75" s="403">
        <v>0</v>
      </c>
      <c r="L75" s="426">
        <v>0</v>
      </c>
      <c r="M75" s="403"/>
      <c r="N75" s="426"/>
      <c r="O75" s="403"/>
      <c r="P75" s="182"/>
      <c r="Q75" s="447">
        <f>SUM(E75:P75)</f>
        <v>0</v>
      </c>
    </row>
    <row r="76" spans="4:17" ht="16.5" x14ac:dyDescent="0.3">
      <c r="D76" s="425" t="s">
        <v>350</v>
      </c>
      <c r="E76" s="399">
        <v>0</v>
      </c>
      <c r="F76" s="136">
        <v>0</v>
      </c>
      <c r="G76" s="401">
        <v>0</v>
      </c>
      <c r="H76" s="136">
        <v>0</v>
      </c>
      <c r="I76" s="136">
        <v>0</v>
      </c>
      <c r="J76" s="426">
        <v>0</v>
      </c>
      <c r="K76" s="403">
        <v>0</v>
      </c>
      <c r="L76" s="426">
        <v>0</v>
      </c>
      <c r="M76" s="403"/>
      <c r="N76" s="426"/>
      <c r="O76" s="403"/>
      <c r="P76" s="182"/>
      <c r="Q76" s="447">
        <f>SUM(E76:P76)</f>
        <v>0</v>
      </c>
    </row>
    <row r="77" spans="4:17" ht="16.5" x14ac:dyDescent="0.3">
      <c r="D77" s="425" t="s">
        <v>315</v>
      </c>
      <c r="E77" s="403">
        <v>0</v>
      </c>
      <c r="F77" s="403">
        <v>0</v>
      </c>
      <c r="G77" s="426">
        <v>0</v>
      </c>
      <c r="H77" s="403">
        <v>1</v>
      </c>
      <c r="I77" s="403">
        <v>0</v>
      </c>
      <c r="J77" s="426">
        <v>0</v>
      </c>
      <c r="K77" s="403">
        <v>1</v>
      </c>
      <c r="L77" s="426">
        <v>0</v>
      </c>
      <c r="M77" s="403"/>
      <c r="N77" s="426"/>
      <c r="O77" s="403"/>
      <c r="P77" s="182"/>
      <c r="Q77" s="447">
        <f>SUM(E77:P77)</f>
        <v>2</v>
      </c>
    </row>
    <row r="78" spans="4:17" ht="16.5" x14ac:dyDescent="0.3">
      <c r="D78" s="425" t="s">
        <v>317</v>
      </c>
      <c r="E78" s="403">
        <v>0</v>
      </c>
      <c r="F78" s="403">
        <v>0</v>
      </c>
      <c r="G78" s="426">
        <v>0</v>
      </c>
      <c r="H78" s="403">
        <v>0</v>
      </c>
      <c r="I78" s="403">
        <v>0</v>
      </c>
      <c r="J78" s="426">
        <v>0</v>
      </c>
      <c r="K78" s="403">
        <v>0</v>
      </c>
      <c r="L78" s="426">
        <v>0</v>
      </c>
      <c r="M78" s="403"/>
      <c r="N78" s="426"/>
      <c r="O78" s="403"/>
      <c r="P78" s="182"/>
      <c r="Q78" s="447">
        <f>SUM(E78:P78)</f>
        <v>0</v>
      </c>
    </row>
    <row r="79" spans="4:17" ht="17.25" thickBot="1" x14ac:dyDescent="0.35">
      <c r="D79" s="425" t="s">
        <v>316</v>
      </c>
      <c r="E79" s="403">
        <v>0</v>
      </c>
      <c r="F79" s="403">
        <v>0</v>
      </c>
      <c r="G79" s="426">
        <v>0</v>
      </c>
      <c r="H79" s="403">
        <v>0</v>
      </c>
      <c r="I79" s="137">
        <v>0</v>
      </c>
      <c r="J79" s="426">
        <v>0</v>
      </c>
      <c r="K79" s="137">
        <v>0</v>
      </c>
      <c r="L79" s="426">
        <v>0</v>
      </c>
      <c r="M79" s="137"/>
      <c r="N79" s="426"/>
      <c r="O79" s="137"/>
      <c r="P79" s="182"/>
      <c r="Q79" s="447">
        <f t="shared" si="4"/>
        <v>0</v>
      </c>
    </row>
    <row r="80" spans="4:17" s="86" customFormat="1" ht="15.75" thickBot="1" x14ac:dyDescent="0.3">
      <c r="D80" s="440" t="s">
        <v>106</v>
      </c>
      <c r="E80" s="416">
        <f>SUM(E61:E79)</f>
        <v>12</v>
      </c>
      <c r="F80" s="416">
        <f t="shared" ref="F80:N80" si="5">SUM(F61:F79)</f>
        <v>12</v>
      </c>
      <c r="G80" s="448">
        <f t="shared" si="5"/>
        <v>13</v>
      </c>
      <c r="H80" s="416">
        <f t="shared" si="5"/>
        <v>6</v>
      </c>
      <c r="I80" s="449">
        <f t="shared" si="5"/>
        <v>6</v>
      </c>
      <c r="J80" s="449">
        <f t="shared" si="5"/>
        <v>6</v>
      </c>
      <c r="K80" s="449">
        <f t="shared" si="5"/>
        <v>19</v>
      </c>
      <c r="L80" s="449">
        <f t="shared" si="5"/>
        <v>12</v>
      </c>
      <c r="M80" s="449">
        <f t="shared" si="5"/>
        <v>0</v>
      </c>
      <c r="N80" s="449">
        <f t="shared" si="5"/>
        <v>0</v>
      </c>
      <c r="O80" s="416"/>
      <c r="P80" s="416"/>
      <c r="Q80" s="416">
        <f>SUM(E80:P80)</f>
        <v>86</v>
      </c>
    </row>
    <row r="81" spans="4:17" s="86" customFormat="1" x14ac:dyDescent="0.25">
      <c r="D81" s="441"/>
      <c r="E81" s="442"/>
      <c r="F81" s="442"/>
      <c r="G81" s="442"/>
      <c r="H81" s="442"/>
      <c r="I81" s="442"/>
      <c r="J81" s="442"/>
      <c r="K81" s="442"/>
      <c r="L81" s="442"/>
      <c r="M81" s="442"/>
      <c r="N81" s="442"/>
      <c r="O81" s="442"/>
      <c r="P81" s="442"/>
      <c r="Q81" s="442"/>
    </row>
    <row r="82" spans="4:17" s="86" customFormat="1" x14ac:dyDescent="0.25">
      <c r="D82" s="441"/>
      <c r="E82" s="442"/>
      <c r="F82" s="442"/>
      <c r="G82" s="442"/>
      <c r="H82" s="442"/>
      <c r="I82" s="442"/>
      <c r="J82" s="442"/>
      <c r="K82" s="442"/>
      <c r="L82" s="442"/>
      <c r="M82" s="442"/>
      <c r="N82" s="442"/>
      <c r="O82" s="442"/>
      <c r="P82" s="442"/>
      <c r="Q82" s="442"/>
    </row>
    <row r="83" spans="4:17" s="86" customFormat="1" x14ac:dyDescent="0.25">
      <c r="D83" s="441"/>
      <c r="E83" s="442"/>
      <c r="F83" s="442"/>
      <c r="G83" s="442"/>
      <c r="H83" s="442"/>
      <c r="I83" s="442"/>
      <c r="J83" s="442"/>
      <c r="K83" s="442"/>
      <c r="L83" s="442"/>
      <c r="M83" s="442"/>
      <c r="N83" s="442"/>
      <c r="O83" s="442"/>
      <c r="P83" s="442"/>
      <c r="Q83" s="442"/>
    </row>
    <row r="84" spans="4:17" s="86" customFormat="1" ht="15.75" thickBot="1" x14ac:dyDescent="0.3">
      <c r="D84" s="441"/>
      <c r="E84" s="442"/>
      <c r="F84" s="442"/>
      <c r="G84" s="442"/>
      <c r="H84" s="442"/>
      <c r="I84" s="442"/>
      <c r="J84" s="442"/>
      <c r="K84" s="442"/>
      <c r="L84" s="442"/>
      <c r="M84" s="442"/>
      <c r="N84" s="442"/>
      <c r="O84" s="442"/>
      <c r="P84" s="442"/>
      <c r="Q84" s="442"/>
    </row>
    <row r="85" spans="4:17" s="86" customFormat="1" ht="21" thickBot="1" x14ac:dyDescent="0.35">
      <c r="D85" s="720" t="s">
        <v>180</v>
      </c>
      <c r="E85" s="721"/>
      <c r="F85" s="721"/>
      <c r="G85" s="721"/>
      <c r="H85" s="721"/>
      <c r="I85" s="721"/>
      <c r="J85" s="721"/>
      <c r="K85" s="721"/>
      <c r="L85" s="721"/>
      <c r="M85" s="721"/>
      <c r="N85" s="721"/>
      <c r="O85" s="721"/>
      <c r="P85" s="721"/>
      <c r="Q85" s="723"/>
    </row>
    <row r="86" spans="4:17" s="86" customFormat="1" ht="15.75" thickBot="1" x14ac:dyDescent="0.3">
      <c r="D86" s="416" t="s">
        <v>151</v>
      </c>
      <c r="E86" s="416" t="s">
        <v>152</v>
      </c>
      <c r="F86" s="449" t="s">
        <v>153</v>
      </c>
      <c r="G86" s="416" t="s">
        <v>154</v>
      </c>
      <c r="H86" s="416" t="s">
        <v>155</v>
      </c>
      <c r="I86" s="416" t="s">
        <v>156</v>
      </c>
      <c r="J86" s="446" t="s">
        <v>157</v>
      </c>
      <c r="K86" s="446" t="s">
        <v>158</v>
      </c>
      <c r="L86" s="446" t="s">
        <v>159</v>
      </c>
      <c r="M86" s="446" t="s">
        <v>160</v>
      </c>
      <c r="N86" s="446" t="s">
        <v>161</v>
      </c>
      <c r="O86" s="446" t="s">
        <v>162</v>
      </c>
      <c r="P86" s="446" t="s">
        <v>163</v>
      </c>
      <c r="Q86" s="443" t="s">
        <v>164</v>
      </c>
    </row>
    <row r="87" spans="4:17" s="86" customFormat="1" ht="16.5" x14ac:dyDescent="0.3">
      <c r="D87" s="423" t="s">
        <v>518</v>
      </c>
      <c r="E87" s="450">
        <v>0</v>
      </c>
      <c r="F87" s="451">
        <v>0</v>
      </c>
      <c r="G87" s="177">
        <v>0</v>
      </c>
      <c r="H87" s="177">
        <v>1</v>
      </c>
      <c r="I87" s="177">
        <v>0</v>
      </c>
      <c r="J87" s="177">
        <v>0</v>
      </c>
      <c r="K87" s="177">
        <v>0</v>
      </c>
      <c r="L87" s="177">
        <v>0</v>
      </c>
      <c r="M87" s="177"/>
      <c r="N87" s="177"/>
      <c r="O87" s="177"/>
      <c r="P87" s="177"/>
      <c r="Q87" s="177">
        <v>0</v>
      </c>
    </row>
    <row r="88" spans="4:17" s="86" customFormat="1" ht="16.5" x14ac:dyDescent="0.3">
      <c r="D88" s="397" t="s">
        <v>181</v>
      </c>
      <c r="E88" s="450">
        <v>0</v>
      </c>
      <c r="F88" s="452">
        <v>0</v>
      </c>
      <c r="G88" s="452">
        <v>0</v>
      </c>
      <c r="H88" s="452">
        <v>0</v>
      </c>
      <c r="I88" s="452">
        <v>0</v>
      </c>
      <c r="J88" s="452">
        <v>0</v>
      </c>
      <c r="K88" s="452">
        <v>0</v>
      </c>
      <c r="L88" s="452">
        <v>0</v>
      </c>
      <c r="M88" s="452"/>
      <c r="N88" s="452"/>
      <c r="O88" s="452"/>
      <c r="P88" s="452"/>
      <c r="Q88" s="159">
        <f t="shared" ref="Q88:Q109" si="6">SUM(E88:P88)</f>
        <v>0</v>
      </c>
    </row>
    <row r="89" spans="4:17" s="86" customFormat="1" ht="16.5" x14ac:dyDescent="0.3">
      <c r="D89" s="425" t="s">
        <v>480</v>
      </c>
      <c r="E89" s="450">
        <v>0</v>
      </c>
      <c r="F89" s="452">
        <v>1</v>
      </c>
      <c r="G89" s="452">
        <v>0</v>
      </c>
      <c r="H89" s="452">
        <v>0</v>
      </c>
      <c r="I89" s="452">
        <v>0</v>
      </c>
      <c r="J89" s="452">
        <v>1</v>
      </c>
      <c r="K89" s="452">
        <v>0</v>
      </c>
      <c r="L89" s="452">
        <v>0</v>
      </c>
      <c r="M89" s="452"/>
      <c r="N89" s="452"/>
      <c r="O89" s="452"/>
      <c r="P89" s="452"/>
      <c r="Q89" s="159"/>
    </row>
    <row r="90" spans="4:17" s="86" customFormat="1" ht="16.5" x14ac:dyDescent="0.3">
      <c r="D90" s="400" t="s">
        <v>74</v>
      </c>
      <c r="E90" s="453">
        <v>2</v>
      </c>
      <c r="F90" s="159">
        <v>9</v>
      </c>
      <c r="G90" s="159">
        <v>2</v>
      </c>
      <c r="H90" s="159">
        <v>4</v>
      </c>
      <c r="I90" s="159">
        <v>1</v>
      </c>
      <c r="J90" s="159">
        <v>1</v>
      </c>
      <c r="K90" s="159">
        <v>1</v>
      </c>
      <c r="L90" s="159">
        <v>1</v>
      </c>
      <c r="M90" s="159"/>
      <c r="N90" s="159"/>
      <c r="O90" s="159"/>
      <c r="P90" s="159"/>
      <c r="Q90" s="159">
        <f t="shared" si="6"/>
        <v>21</v>
      </c>
    </row>
    <row r="91" spans="4:17" s="86" customFormat="1" ht="16.5" x14ac:dyDescent="0.3">
      <c r="D91" s="400" t="s">
        <v>182</v>
      </c>
      <c r="E91" s="453">
        <v>0</v>
      </c>
      <c r="F91" s="159">
        <v>0</v>
      </c>
      <c r="G91" s="159">
        <v>0</v>
      </c>
      <c r="H91" s="89">
        <v>0</v>
      </c>
      <c r="I91" s="159">
        <v>0</v>
      </c>
      <c r="J91" s="159">
        <v>0</v>
      </c>
      <c r="K91" s="159">
        <v>0</v>
      </c>
      <c r="L91" s="159">
        <v>0</v>
      </c>
      <c r="M91" s="159"/>
      <c r="N91" s="159"/>
      <c r="O91" s="159"/>
      <c r="P91" s="159"/>
      <c r="Q91" s="159">
        <f t="shared" si="6"/>
        <v>0</v>
      </c>
    </row>
    <row r="92" spans="4:17" s="86" customFormat="1" ht="14.25" customHeight="1" x14ac:dyDescent="0.3">
      <c r="D92" s="400" t="s">
        <v>75</v>
      </c>
      <c r="E92" s="453">
        <v>8</v>
      </c>
      <c r="F92" s="159">
        <v>9</v>
      </c>
      <c r="G92" s="159">
        <v>9</v>
      </c>
      <c r="H92" s="159">
        <v>5</v>
      </c>
      <c r="I92" s="159">
        <v>8</v>
      </c>
      <c r="J92" s="159">
        <v>11</v>
      </c>
      <c r="K92" s="159">
        <v>7</v>
      </c>
      <c r="L92" s="159">
        <v>14</v>
      </c>
      <c r="M92" s="159"/>
      <c r="N92" s="159"/>
      <c r="O92" s="159"/>
      <c r="P92" s="159"/>
      <c r="Q92" s="159">
        <f t="shared" si="6"/>
        <v>71</v>
      </c>
    </row>
    <row r="93" spans="4:17" s="86" customFormat="1" ht="16.5" x14ac:dyDescent="0.3">
      <c r="D93" s="400" t="s">
        <v>66</v>
      </c>
      <c r="E93" s="453">
        <v>0</v>
      </c>
      <c r="F93" s="159">
        <v>0</v>
      </c>
      <c r="G93" s="159">
        <v>0</v>
      </c>
      <c r="H93" s="159">
        <v>0</v>
      </c>
      <c r="I93" s="159">
        <v>0</v>
      </c>
      <c r="J93" s="159">
        <v>0</v>
      </c>
      <c r="K93" s="159">
        <v>0</v>
      </c>
      <c r="L93" s="159">
        <v>0</v>
      </c>
      <c r="M93" s="159"/>
      <c r="N93" s="159"/>
      <c r="O93" s="159"/>
      <c r="P93" s="159"/>
      <c r="Q93" s="159">
        <f t="shared" si="6"/>
        <v>0</v>
      </c>
    </row>
    <row r="94" spans="4:17" s="86" customFormat="1" ht="16.5" x14ac:dyDescent="0.3">
      <c r="D94" s="400" t="s">
        <v>183</v>
      </c>
      <c r="E94" s="453">
        <v>0</v>
      </c>
      <c r="F94" s="159">
        <v>0</v>
      </c>
      <c r="G94" s="159">
        <v>0</v>
      </c>
      <c r="H94" s="159">
        <v>0</v>
      </c>
      <c r="I94" s="159">
        <v>0</v>
      </c>
      <c r="J94" s="159">
        <v>0</v>
      </c>
      <c r="K94" s="159">
        <v>1</v>
      </c>
      <c r="L94" s="159">
        <v>1</v>
      </c>
      <c r="M94" s="159"/>
      <c r="N94" s="159"/>
      <c r="O94" s="159"/>
      <c r="P94" s="159"/>
      <c r="Q94" s="159">
        <f t="shared" si="6"/>
        <v>2</v>
      </c>
    </row>
    <row r="95" spans="4:17" s="86" customFormat="1" ht="16.5" x14ac:dyDescent="0.3">
      <c r="D95" s="400" t="s">
        <v>370</v>
      </c>
      <c r="E95" s="159">
        <v>0</v>
      </c>
      <c r="F95" s="159">
        <v>0</v>
      </c>
      <c r="G95" s="159">
        <v>0</v>
      </c>
      <c r="H95" s="159">
        <v>0</v>
      </c>
      <c r="I95" s="159">
        <v>0</v>
      </c>
      <c r="J95" s="159">
        <v>0</v>
      </c>
      <c r="K95" s="159">
        <v>0</v>
      </c>
      <c r="L95" s="159">
        <v>0</v>
      </c>
      <c r="M95" s="159"/>
      <c r="N95" s="159"/>
      <c r="O95" s="159"/>
      <c r="P95" s="159"/>
      <c r="Q95" s="159">
        <f t="shared" si="6"/>
        <v>0</v>
      </c>
    </row>
    <row r="96" spans="4:17" s="86" customFormat="1" ht="16.5" x14ac:dyDescent="0.3">
      <c r="D96" s="400" t="s">
        <v>295</v>
      </c>
      <c r="E96" s="453">
        <v>0</v>
      </c>
      <c r="F96" s="159">
        <v>0</v>
      </c>
      <c r="G96" s="159">
        <v>0</v>
      </c>
      <c r="H96" s="159">
        <v>0</v>
      </c>
      <c r="I96" s="159">
        <v>0</v>
      </c>
      <c r="J96" s="159">
        <v>0</v>
      </c>
      <c r="K96" s="159">
        <v>0</v>
      </c>
      <c r="L96" s="159">
        <v>0</v>
      </c>
      <c r="M96" s="159"/>
      <c r="N96" s="159"/>
      <c r="O96" s="159"/>
      <c r="P96" s="159"/>
      <c r="Q96" s="159">
        <f t="shared" si="6"/>
        <v>0</v>
      </c>
    </row>
    <row r="97" spans="4:17" s="86" customFormat="1" ht="16.5" x14ac:dyDescent="0.3">
      <c r="D97" s="400" t="s">
        <v>379</v>
      </c>
      <c r="E97" s="453">
        <v>0</v>
      </c>
      <c r="F97" s="159">
        <v>0</v>
      </c>
      <c r="G97" s="159">
        <v>0</v>
      </c>
      <c r="H97" s="159">
        <v>0</v>
      </c>
      <c r="I97" s="159">
        <v>0</v>
      </c>
      <c r="J97" s="159">
        <v>0</v>
      </c>
      <c r="K97" s="159">
        <v>0</v>
      </c>
      <c r="L97" s="159">
        <v>1</v>
      </c>
      <c r="M97" s="159"/>
      <c r="N97" s="159"/>
      <c r="O97" s="159"/>
      <c r="P97" s="159"/>
      <c r="Q97" s="159">
        <f t="shared" si="6"/>
        <v>1</v>
      </c>
    </row>
    <row r="98" spans="4:17" s="86" customFormat="1" ht="16.5" x14ac:dyDescent="0.3">
      <c r="D98" s="400" t="s">
        <v>184</v>
      </c>
      <c r="E98" s="453">
        <v>0</v>
      </c>
      <c r="F98" s="159">
        <v>0</v>
      </c>
      <c r="G98" s="159">
        <v>0</v>
      </c>
      <c r="H98" s="159">
        <v>0</v>
      </c>
      <c r="I98" s="159">
        <v>0</v>
      </c>
      <c r="J98" s="159">
        <v>0</v>
      </c>
      <c r="K98" s="159">
        <v>0</v>
      </c>
      <c r="L98" s="159">
        <v>0</v>
      </c>
      <c r="M98" s="159"/>
      <c r="N98" s="159"/>
      <c r="O98" s="159"/>
      <c r="P98" s="159"/>
      <c r="Q98" s="159">
        <f t="shared" si="6"/>
        <v>0</v>
      </c>
    </row>
    <row r="99" spans="4:17" s="86" customFormat="1" ht="16.5" x14ac:dyDescent="0.3">
      <c r="D99" s="400" t="s">
        <v>554</v>
      </c>
      <c r="E99" s="453">
        <v>0</v>
      </c>
      <c r="F99" s="159">
        <v>0</v>
      </c>
      <c r="G99" s="159">
        <v>0</v>
      </c>
      <c r="H99" s="159">
        <v>0</v>
      </c>
      <c r="I99" s="159">
        <v>0</v>
      </c>
      <c r="J99" s="159">
        <v>1</v>
      </c>
      <c r="K99" s="159">
        <v>0</v>
      </c>
      <c r="L99" s="159">
        <v>0</v>
      </c>
      <c r="M99" s="159"/>
      <c r="N99" s="159"/>
      <c r="O99" s="159"/>
      <c r="P99" s="159"/>
      <c r="Q99" s="159">
        <f t="shared" si="6"/>
        <v>1</v>
      </c>
    </row>
    <row r="100" spans="4:17" s="86" customFormat="1" ht="16.5" x14ac:dyDescent="0.3">
      <c r="D100" s="400" t="s">
        <v>476</v>
      </c>
      <c r="E100" s="453">
        <v>0</v>
      </c>
      <c r="F100" s="159">
        <v>0</v>
      </c>
      <c r="G100" s="159">
        <v>0</v>
      </c>
      <c r="H100" s="159">
        <v>0</v>
      </c>
      <c r="I100" s="159">
        <v>0</v>
      </c>
      <c r="J100" s="159">
        <v>1</v>
      </c>
      <c r="K100" s="159">
        <v>0</v>
      </c>
      <c r="L100" s="159">
        <v>0</v>
      </c>
      <c r="M100" s="159"/>
      <c r="N100" s="159"/>
      <c r="O100" s="159"/>
      <c r="P100" s="159"/>
      <c r="Q100" s="159">
        <f t="shared" si="6"/>
        <v>1</v>
      </c>
    </row>
    <row r="101" spans="4:17" s="86" customFormat="1" ht="16.5" x14ac:dyDescent="0.3">
      <c r="D101" s="400" t="s">
        <v>185</v>
      </c>
      <c r="E101" s="453">
        <v>0</v>
      </c>
      <c r="F101" s="159">
        <v>0</v>
      </c>
      <c r="G101" s="159">
        <v>0</v>
      </c>
      <c r="H101" s="159">
        <v>0</v>
      </c>
      <c r="I101" s="159">
        <v>0</v>
      </c>
      <c r="J101" s="159">
        <v>0</v>
      </c>
      <c r="K101" s="159">
        <v>0</v>
      </c>
      <c r="L101" s="159">
        <v>0</v>
      </c>
      <c r="M101" s="159"/>
      <c r="N101" s="159"/>
      <c r="O101" s="159"/>
      <c r="P101" s="159"/>
      <c r="Q101" s="159">
        <f t="shared" si="6"/>
        <v>0</v>
      </c>
    </row>
    <row r="102" spans="4:17" s="86" customFormat="1" ht="16.5" x14ac:dyDescent="0.3">
      <c r="D102" s="425" t="s">
        <v>481</v>
      </c>
      <c r="E102" s="454">
        <v>0</v>
      </c>
      <c r="F102" s="159">
        <v>0</v>
      </c>
      <c r="G102" s="159">
        <v>0</v>
      </c>
      <c r="H102" s="159">
        <v>0</v>
      </c>
      <c r="I102" s="159">
        <v>0</v>
      </c>
      <c r="J102" s="159">
        <v>0</v>
      </c>
      <c r="K102" s="159">
        <v>0</v>
      </c>
      <c r="L102" s="159">
        <v>0</v>
      </c>
      <c r="M102" s="159"/>
      <c r="N102" s="159"/>
      <c r="O102" s="159"/>
      <c r="P102" s="159"/>
      <c r="Q102" s="159">
        <f t="shared" si="6"/>
        <v>0</v>
      </c>
    </row>
    <row r="103" spans="4:17" s="86" customFormat="1" ht="16.5" x14ac:dyDescent="0.3">
      <c r="D103" s="425" t="s">
        <v>367</v>
      </c>
      <c r="E103" s="159">
        <v>0</v>
      </c>
      <c r="F103" s="159">
        <v>1</v>
      </c>
      <c r="G103" s="159">
        <v>0</v>
      </c>
      <c r="H103" s="159">
        <v>0</v>
      </c>
      <c r="I103" s="159">
        <v>0</v>
      </c>
      <c r="J103" s="159">
        <v>0</v>
      </c>
      <c r="K103" s="159">
        <v>0</v>
      </c>
      <c r="L103" s="159">
        <v>0</v>
      </c>
      <c r="M103" s="159"/>
      <c r="N103" s="159"/>
      <c r="O103" s="159"/>
      <c r="P103" s="159"/>
      <c r="Q103" s="159">
        <f t="shared" si="6"/>
        <v>1</v>
      </c>
    </row>
    <row r="104" spans="4:17" s="86" customFormat="1" ht="16.5" x14ac:dyDescent="0.3">
      <c r="D104" s="425" t="s">
        <v>599</v>
      </c>
      <c r="E104" s="159">
        <v>0</v>
      </c>
      <c r="F104" s="159">
        <v>0</v>
      </c>
      <c r="G104" s="159">
        <v>0</v>
      </c>
      <c r="H104" s="159">
        <v>0</v>
      </c>
      <c r="I104" s="159">
        <v>0</v>
      </c>
      <c r="J104" s="159">
        <v>0</v>
      </c>
      <c r="K104" s="159">
        <v>1</v>
      </c>
      <c r="L104" s="159">
        <v>0</v>
      </c>
      <c r="M104" s="159"/>
      <c r="N104" s="159"/>
      <c r="O104" s="159"/>
      <c r="P104" s="159"/>
      <c r="Q104" s="159">
        <f t="shared" si="6"/>
        <v>1</v>
      </c>
    </row>
    <row r="105" spans="4:17" s="86" customFormat="1" ht="16.5" x14ac:dyDescent="0.3">
      <c r="D105" s="425" t="s">
        <v>344</v>
      </c>
      <c r="E105" s="454">
        <v>0</v>
      </c>
      <c r="F105" s="159">
        <v>0</v>
      </c>
      <c r="G105" s="159">
        <v>1</v>
      </c>
      <c r="H105" s="159">
        <v>0</v>
      </c>
      <c r="I105" s="159">
        <v>0</v>
      </c>
      <c r="J105" s="159">
        <v>0</v>
      </c>
      <c r="K105" s="159">
        <v>0</v>
      </c>
      <c r="L105" s="159">
        <v>0</v>
      </c>
      <c r="M105" s="159"/>
      <c r="N105" s="159"/>
      <c r="O105" s="159"/>
      <c r="P105" s="159"/>
      <c r="Q105" s="159">
        <f t="shared" si="6"/>
        <v>1</v>
      </c>
    </row>
    <row r="106" spans="4:17" s="86" customFormat="1" ht="16.5" x14ac:dyDescent="0.3">
      <c r="D106" s="425" t="s">
        <v>186</v>
      </c>
      <c r="E106" s="454">
        <v>0</v>
      </c>
      <c r="F106" s="159">
        <v>0</v>
      </c>
      <c r="G106" s="159">
        <v>0</v>
      </c>
      <c r="H106" s="159">
        <v>0</v>
      </c>
      <c r="I106" s="159">
        <v>0</v>
      </c>
      <c r="J106" s="159">
        <v>0</v>
      </c>
      <c r="K106" s="159">
        <v>0</v>
      </c>
      <c r="L106" s="159">
        <v>0</v>
      </c>
      <c r="M106" s="159"/>
      <c r="N106" s="159"/>
      <c r="O106" s="159"/>
      <c r="P106" s="159"/>
      <c r="Q106" s="159">
        <f t="shared" si="6"/>
        <v>0</v>
      </c>
    </row>
    <row r="107" spans="4:17" s="86" customFormat="1" ht="16.5" x14ac:dyDescent="0.3">
      <c r="D107" s="425" t="s">
        <v>521</v>
      </c>
      <c r="E107" s="454">
        <v>0</v>
      </c>
      <c r="F107" s="178">
        <v>0</v>
      </c>
      <c r="G107" s="178">
        <v>0</v>
      </c>
      <c r="H107" s="178">
        <v>1</v>
      </c>
      <c r="I107" s="178">
        <v>0</v>
      </c>
      <c r="J107" s="178">
        <v>0</v>
      </c>
      <c r="K107" s="178">
        <v>0</v>
      </c>
      <c r="L107" s="178">
        <v>0</v>
      </c>
      <c r="M107" s="178"/>
      <c r="N107" s="178"/>
      <c r="O107" s="178"/>
      <c r="P107" s="178"/>
      <c r="Q107" s="178">
        <f t="shared" si="6"/>
        <v>1</v>
      </c>
    </row>
    <row r="108" spans="4:17" s="86" customFormat="1" ht="17.25" thickBot="1" x14ac:dyDescent="0.35">
      <c r="D108" s="414" t="s">
        <v>585</v>
      </c>
      <c r="E108" s="454">
        <v>0</v>
      </c>
      <c r="F108" s="178">
        <v>0</v>
      </c>
      <c r="G108" s="178">
        <v>0</v>
      </c>
      <c r="H108" s="178">
        <v>0</v>
      </c>
      <c r="I108" s="178">
        <v>0</v>
      </c>
      <c r="J108" s="178">
        <v>0</v>
      </c>
      <c r="K108" s="178">
        <v>2</v>
      </c>
      <c r="L108" s="178">
        <v>0</v>
      </c>
      <c r="M108" s="178"/>
      <c r="N108" s="178"/>
      <c r="O108" s="178"/>
      <c r="P108" s="178"/>
      <c r="Q108" s="178">
        <f t="shared" si="6"/>
        <v>2</v>
      </c>
    </row>
    <row r="109" spans="4:17" s="86" customFormat="1" ht="15.75" thickBot="1" x14ac:dyDescent="0.3">
      <c r="D109" s="435" t="s">
        <v>105</v>
      </c>
      <c r="E109" s="416">
        <f t="shared" ref="E109:P109" si="7">SUM(E88:E108)</f>
        <v>10</v>
      </c>
      <c r="F109" s="416">
        <f t="shared" si="7"/>
        <v>20</v>
      </c>
      <c r="G109" s="416">
        <f>SUM(G87:G108)</f>
        <v>12</v>
      </c>
      <c r="H109" s="416">
        <f t="shared" si="7"/>
        <v>10</v>
      </c>
      <c r="I109" s="416">
        <f t="shared" si="7"/>
        <v>9</v>
      </c>
      <c r="J109" s="416">
        <f t="shared" si="7"/>
        <v>15</v>
      </c>
      <c r="K109" s="416">
        <f t="shared" si="7"/>
        <v>12</v>
      </c>
      <c r="L109" s="416">
        <f t="shared" si="7"/>
        <v>17</v>
      </c>
      <c r="M109" s="416">
        <f t="shared" si="7"/>
        <v>0</v>
      </c>
      <c r="N109" s="416">
        <f t="shared" si="7"/>
        <v>0</v>
      </c>
      <c r="O109" s="416">
        <f t="shared" si="7"/>
        <v>0</v>
      </c>
      <c r="P109" s="416">
        <f t="shared" si="7"/>
        <v>0</v>
      </c>
      <c r="Q109" s="416">
        <f t="shared" si="6"/>
        <v>105</v>
      </c>
    </row>
    <row r="110" spans="4:17" ht="16.5" x14ac:dyDescent="0.3">
      <c r="D110" s="391"/>
      <c r="E110" s="391"/>
      <c r="F110" s="391"/>
      <c r="G110" s="391"/>
      <c r="H110" s="391"/>
      <c r="I110" s="391"/>
      <c r="J110" s="391"/>
      <c r="K110" s="391"/>
      <c r="L110" s="391"/>
      <c r="M110" s="391"/>
      <c r="N110" s="391"/>
      <c r="O110" s="391"/>
      <c r="P110" s="391"/>
      <c r="Q110" s="437"/>
    </row>
    <row r="111" spans="4:17" ht="16.5" x14ac:dyDescent="0.3">
      <c r="D111" s="391"/>
      <c r="E111" s="391"/>
      <c r="F111" s="391"/>
      <c r="G111" s="391"/>
      <c r="H111" s="391"/>
      <c r="I111" s="391"/>
      <c r="J111" s="391"/>
      <c r="K111" s="391"/>
      <c r="L111" s="391"/>
      <c r="M111" s="391"/>
      <c r="N111" s="391"/>
      <c r="O111" s="391"/>
      <c r="P111" s="391"/>
      <c r="Q111" s="437"/>
    </row>
    <row r="112" spans="4:17" ht="16.5" x14ac:dyDescent="0.3">
      <c r="D112" s="391"/>
      <c r="E112" s="391"/>
      <c r="F112" s="391"/>
      <c r="G112" s="391"/>
      <c r="H112" s="391"/>
      <c r="I112" s="391"/>
      <c r="J112" s="391"/>
      <c r="K112" s="391"/>
      <c r="L112" s="391"/>
      <c r="M112" s="391"/>
      <c r="N112" s="391"/>
      <c r="O112" s="391"/>
      <c r="P112" s="391"/>
      <c r="Q112" s="437"/>
    </row>
    <row r="113" spans="4:17" ht="17.25" thickBot="1" x14ac:dyDescent="0.35">
      <c r="D113" s="391"/>
      <c r="E113" s="391"/>
      <c r="F113" s="391"/>
      <c r="G113" s="391"/>
      <c r="H113" s="391"/>
      <c r="I113" s="391"/>
      <c r="J113" s="391"/>
      <c r="K113" s="391"/>
      <c r="L113" s="391"/>
      <c r="M113" s="391"/>
      <c r="N113" s="391"/>
      <c r="O113" s="391"/>
      <c r="P113" s="391"/>
      <c r="Q113" s="437"/>
    </row>
    <row r="114" spans="4:17" ht="21" thickBot="1" x14ac:dyDescent="0.35">
      <c r="D114" s="720" t="s">
        <v>187</v>
      </c>
      <c r="E114" s="721"/>
      <c r="F114" s="721"/>
      <c r="G114" s="721"/>
      <c r="H114" s="721"/>
      <c r="I114" s="721"/>
      <c r="J114" s="721"/>
      <c r="K114" s="721"/>
      <c r="L114" s="721"/>
      <c r="M114" s="721"/>
      <c r="N114" s="721"/>
      <c r="O114" s="721"/>
      <c r="P114" s="721"/>
      <c r="Q114" s="723"/>
    </row>
    <row r="115" spans="4:17" ht="15.75" thickBot="1" x14ac:dyDescent="0.3">
      <c r="D115" s="416" t="s">
        <v>151</v>
      </c>
      <c r="E115" s="416" t="s">
        <v>152</v>
      </c>
      <c r="F115" s="416" t="s">
        <v>153</v>
      </c>
      <c r="G115" s="416" t="s">
        <v>154</v>
      </c>
      <c r="H115" s="416" t="s">
        <v>155</v>
      </c>
      <c r="I115" s="432" t="s">
        <v>156</v>
      </c>
      <c r="J115" s="433" t="s">
        <v>157</v>
      </c>
      <c r="K115" s="433" t="s">
        <v>158</v>
      </c>
      <c r="L115" s="433" t="s">
        <v>159</v>
      </c>
      <c r="M115" s="433" t="s">
        <v>160</v>
      </c>
      <c r="N115" s="433" t="s">
        <v>161</v>
      </c>
      <c r="O115" s="433" t="s">
        <v>162</v>
      </c>
      <c r="P115" s="433" t="s">
        <v>163</v>
      </c>
      <c r="Q115" s="432" t="s">
        <v>164</v>
      </c>
    </row>
    <row r="116" spans="4:17" ht="16.5" x14ac:dyDescent="0.3">
      <c r="D116" s="423" t="s">
        <v>188</v>
      </c>
      <c r="E116" s="135"/>
      <c r="F116" s="398"/>
      <c r="G116" s="135"/>
      <c r="H116" s="455"/>
      <c r="I116" s="135"/>
      <c r="J116" s="135"/>
      <c r="K116" s="135"/>
      <c r="L116" s="135"/>
      <c r="M116" s="135"/>
      <c r="N116" s="135"/>
      <c r="O116" s="135"/>
      <c r="P116" s="135"/>
      <c r="Q116" s="135">
        <f t="shared" ref="Q116:Q121" si="8">SUM(E116:P116)</f>
        <v>0</v>
      </c>
    </row>
    <row r="117" spans="4:17" ht="16.5" x14ac:dyDescent="0.3">
      <c r="D117" s="397" t="s">
        <v>189</v>
      </c>
      <c r="E117" s="399"/>
      <c r="F117" s="398"/>
      <c r="G117" s="399"/>
      <c r="H117" s="456"/>
      <c r="I117" s="136"/>
      <c r="J117" s="399"/>
      <c r="K117" s="399"/>
      <c r="L117" s="399"/>
      <c r="M117" s="399"/>
      <c r="N117" s="399"/>
      <c r="O117" s="399"/>
      <c r="P117" s="399"/>
      <c r="Q117" s="136">
        <f t="shared" si="8"/>
        <v>0</v>
      </c>
    </row>
    <row r="118" spans="4:17" ht="16.5" x14ac:dyDescent="0.3">
      <c r="D118" s="400" t="s">
        <v>190</v>
      </c>
      <c r="E118" s="136"/>
      <c r="F118" s="401"/>
      <c r="G118" s="136"/>
      <c r="H118" s="453"/>
      <c r="I118" s="136"/>
      <c r="J118" s="136"/>
      <c r="K118" s="136"/>
      <c r="L118" s="136"/>
      <c r="M118" s="136"/>
      <c r="N118" s="136"/>
      <c r="O118" s="136"/>
      <c r="P118" s="136"/>
      <c r="Q118" s="136">
        <f t="shared" si="8"/>
        <v>0</v>
      </c>
    </row>
    <row r="119" spans="4:17" ht="16.5" x14ac:dyDescent="0.3">
      <c r="D119" s="400" t="s">
        <v>191</v>
      </c>
      <c r="E119" s="136"/>
      <c r="F119" s="401"/>
      <c r="G119" s="136"/>
      <c r="H119" s="453"/>
      <c r="I119" s="136"/>
      <c r="J119" s="136"/>
      <c r="K119" s="136"/>
      <c r="L119" s="136"/>
      <c r="M119" s="136"/>
      <c r="N119" s="136"/>
      <c r="O119" s="136"/>
      <c r="P119" s="136"/>
      <c r="Q119" s="136">
        <f t="shared" si="8"/>
        <v>0</v>
      </c>
    </row>
    <row r="120" spans="4:17" ht="17.25" thickBot="1" x14ac:dyDescent="0.35">
      <c r="D120" s="414" t="s">
        <v>192</v>
      </c>
      <c r="E120" s="137"/>
      <c r="F120" s="426"/>
      <c r="G120" s="137"/>
      <c r="H120" s="457"/>
      <c r="I120" s="137"/>
      <c r="J120" s="137"/>
      <c r="K120" s="137"/>
      <c r="L120" s="137"/>
      <c r="M120" s="137"/>
      <c r="N120" s="137"/>
      <c r="O120" s="137"/>
      <c r="P120" s="403"/>
      <c r="Q120" s="136">
        <f t="shared" si="8"/>
        <v>0</v>
      </c>
    </row>
    <row r="121" spans="4:17" ht="15.75" thickBot="1" x14ac:dyDescent="0.3">
      <c r="D121" s="440" t="s">
        <v>106</v>
      </c>
      <c r="E121" s="416"/>
      <c r="F121" s="416"/>
      <c r="G121" s="416"/>
      <c r="H121" s="416"/>
      <c r="I121" s="436"/>
      <c r="J121" s="436"/>
      <c r="K121" s="436"/>
      <c r="L121" s="416"/>
      <c r="M121" s="416"/>
      <c r="N121" s="416"/>
      <c r="O121" s="416"/>
      <c r="P121" s="416"/>
      <c r="Q121" s="436">
        <f t="shared" si="8"/>
        <v>0</v>
      </c>
    </row>
  </sheetData>
  <mergeCells count="5">
    <mergeCell ref="D4:Q4"/>
    <mergeCell ref="D35:Q35"/>
    <mergeCell ref="D85:Q85"/>
    <mergeCell ref="D114:Q114"/>
    <mergeCell ref="D59:Q59"/>
  </mergeCells>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929DE-28AD-41E6-9AFA-B3965079CB01}">
  <dimension ref="D4:AX146"/>
  <sheetViews>
    <sheetView topLeftCell="A49" workbookViewId="0">
      <selection activeCell="T153" sqref="T153"/>
    </sheetView>
  </sheetViews>
  <sheetFormatPr baseColWidth="10" defaultRowHeight="15" x14ac:dyDescent="0.25"/>
  <cols>
    <col min="4" max="4" width="28.7109375" customWidth="1"/>
    <col min="5" max="5" width="13.5703125" customWidth="1"/>
    <col min="7" max="7" width="13" customWidth="1"/>
    <col min="9" max="9" width="12.42578125" customWidth="1"/>
    <col min="13" max="13" width="10.7109375" bestFit="1" customWidth="1"/>
    <col min="14" max="14" width="11.140625" customWidth="1"/>
    <col min="15" max="15" width="10" customWidth="1"/>
    <col min="16" max="16" width="13.140625" customWidth="1"/>
    <col min="17" max="17" width="8.5703125" bestFit="1" customWidth="1"/>
    <col min="18" max="18" width="11.5703125" customWidth="1"/>
    <col min="19" max="19" width="7.7109375" bestFit="1" customWidth="1"/>
    <col min="20" max="20" width="7" bestFit="1" customWidth="1"/>
    <col min="21" max="21" width="8" bestFit="1" customWidth="1"/>
    <col min="22" max="22" width="8.28515625" customWidth="1"/>
    <col min="23" max="24" width="6.85546875" bestFit="1" customWidth="1"/>
    <col min="25" max="25" width="6.85546875" customWidth="1"/>
    <col min="26" max="26" width="6.28515625" bestFit="1" customWidth="1"/>
    <col min="27" max="30" width="7.28515625" bestFit="1" customWidth="1"/>
    <col min="31" max="31" width="7.28515625" customWidth="1"/>
  </cols>
  <sheetData>
    <row r="4" spans="4:50" x14ac:dyDescent="0.25">
      <c r="M4">
        <f>M10+O10+Q10+S10+U10+W10+Y10+AA10</f>
        <v>1759</v>
      </c>
      <c r="N4">
        <f>N10+P10+R10+T10+V10+X10+Z10+AB10</f>
        <v>1660</v>
      </c>
      <c r="O4">
        <f>M4-N4</f>
        <v>99</v>
      </c>
    </row>
    <row r="5" spans="4:50" x14ac:dyDescent="0.25">
      <c r="M5">
        <f t="shared" ref="M5:M7" si="0">M11+O11+Q11+S11+U11+W11+Y11+AA11</f>
        <v>1103</v>
      </c>
      <c r="N5">
        <f t="shared" ref="N5:N7" si="1">N11+P11+R11+T11+V11+X11+Z11+AB11</f>
        <v>1101</v>
      </c>
      <c r="O5">
        <f>M5-N5</f>
        <v>2</v>
      </c>
    </row>
    <row r="6" spans="4:50" x14ac:dyDescent="0.25">
      <c r="M6">
        <f t="shared" si="0"/>
        <v>222</v>
      </c>
      <c r="N6">
        <f t="shared" si="1"/>
        <v>464</v>
      </c>
      <c r="O6">
        <f>M6-N6</f>
        <v>-242</v>
      </c>
    </row>
    <row r="7" spans="4:50" x14ac:dyDescent="0.25">
      <c r="M7">
        <f t="shared" si="0"/>
        <v>3084</v>
      </c>
      <c r="N7">
        <f t="shared" si="1"/>
        <v>3225</v>
      </c>
      <c r="O7">
        <f>M7-N7</f>
        <v>-141</v>
      </c>
    </row>
    <row r="8" spans="4:50" ht="15.75" thickBot="1" x14ac:dyDescent="0.3"/>
    <row r="9" spans="4:50" ht="16.5" thickBot="1" x14ac:dyDescent="0.3">
      <c r="D9" s="732" t="s">
        <v>202</v>
      </c>
      <c r="E9" s="733"/>
      <c r="F9" s="733"/>
      <c r="G9" s="733"/>
      <c r="H9" s="733"/>
      <c r="I9" s="734"/>
      <c r="L9" s="152" t="s">
        <v>206</v>
      </c>
      <c r="M9" s="244">
        <v>45658</v>
      </c>
      <c r="N9" s="244">
        <v>46023</v>
      </c>
      <c r="O9" s="158" t="s">
        <v>356</v>
      </c>
      <c r="P9" s="158" t="s">
        <v>482</v>
      </c>
      <c r="Q9" s="158" t="s">
        <v>357</v>
      </c>
      <c r="R9" s="158" t="s">
        <v>507</v>
      </c>
      <c r="S9" s="153">
        <v>45748</v>
      </c>
      <c r="T9" s="153">
        <v>46113</v>
      </c>
      <c r="U9" s="42">
        <v>45778</v>
      </c>
      <c r="V9" s="42">
        <v>46143</v>
      </c>
      <c r="W9" s="42">
        <v>45809</v>
      </c>
      <c r="X9" s="42">
        <v>46174</v>
      </c>
      <c r="Y9" s="42">
        <v>45839</v>
      </c>
      <c r="Z9" s="42">
        <v>46204</v>
      </c>
      <c r="AA9" s="42">
        <v>45870</v>
      </c>
      <c r="AB9" s="42">
        <v>46235</v>
      </c>
      <c r="AC9" s="42">
        <v>45536</v>
      </c>
      <c r="AD9" s="42">
        <v>45901</v>
      </c>
      <c r="AE9" s="42">
        <v>45566</v>
      </c>
      <c r="AF9" s="42">
        <v>45931</v>
      </c>
      <c r="AG9" s="42">
        <v>45962</v>
      </c>
      <c r="AH9" s="42">
        <v>45992</v>
      </c>
      <c r="AI9" s="17" t="s">
        <v>106</v>
      </c>
      <c r="AM9" s="152" t="s">
        <v>206</v>
      </c>
      <c r="AN9" s="244">
        <v>46023</v>
      </c>
      <c r="AO9" s="244">
        <v>46054</v>
      </c>
      <c r="AP9" s="244">
        <v>46082</v>
      </c>
      <c r="AQ9" s="244">
        <v>46113</v>
      </c>
      <c r="AR9" s="244">
        <v>46143</v>
      </c>
      <c r="AS9" s="244">
        <v>46174</v>
      </c>
      <c r="AT9" s="244">
        <v>46204</v>
      </c>
      <c r="AU9" s="244">
        <v>46235</v>
      </c>
      <c r="AV9" s="244">
        <v>46266</v>
      </c>
      <c r="AW9" s="244">
        <v>46296</v>
      </c>
      <c r="AX9" s="17" t="s">
        <v>106</v>
      </c>
    </row>
    <row r="10" spans="4:50" ht="15.75" thickBot="1" x14ac:dyDescent="0.3">
      <c r="D10" s="494" t="s">
        <v>203</v>
      </c>
      <c r="E10" s="495" t="s">
        <v>150</v>
      </c>
      <c r="F10" s="496" t="s">
        <v>148</v>
      </c>
      <c r="G10" s="495" t="s">
        <v>149</v>
      </c>
      <c r="H10" s="496" t="s">
        <v>164</v>
      </c>
      <c r="I10" s="494" t="s">
        <v>204</v>
      </c>
      <c r="L10" s="154" t="s">
        <v>150</v>
      </c>
      <c r="M10" s="34">
        <v>188</v>
      </c>
      <c r="N10" s="34">
        <v>195</v>
      </c>
      <c r="O10" s="50">
        <v>188</v>
      </c>
      <c r="P10" s="50">
        <v>240</v>
      </c>
      <c r="Q10" s="34">
        <v>179</v>
      </c>
      <c r="R10" s="25">
        <v>180</v>
      </c>
      <c r="S10" s="37">
        <v>495</v>
      </c>
      <c r="T10" s="60">
        <v>239</v>
      </c>
      <c r="U10" s="60">
        <v>179</v>
      </c>
      <c r="V10" s="109">
        <v>178</v>
      </c>
      <c r="W10" s="109">
        <v>163</v>
      </c>
      <c r="X10" s="109">
        <v>194</v>
      </c>
      <c r="Y10" s="109">
        <v>172</v>
      </c>
      <c r="Z10" s="109">
        <v>254</v>
      </c>
      <c r="AA10" s="109">
        <v>195</v>
      </c>
      <c r="AB10" s="109">
        <v>180</v>
      </c>
      <c r="AC10" s="109"/>
      <c r="AD10" s="109"/>
      <c r="AE10" s="109"/>
      <c r="AF10" s="109"/>
      <c r="AG10" s="109"/>
      <c r="AH10" s="109"/>
      <c r="AI10" s="55">
        <f>SUM(M10:AH10)</f>
        <v>3419</v>
      </c>
      <c r="AM10" s="154" t="s">
        <v>150</v>
      </c>
      <c r="AN10" s="34">
        <v>195</v>
      </c>
      <c r="AO10" s="50">
        <v>240</v>
      </c>
      <c r="AP10" s="25">
        <v>180</v>
      </c>
      <c r="AQ10" s="60">
        <v>239</v>
      </c>
      <c r="AR10" s="47">
        <v>178</v>
      </c>
      <c r="AS10" s="47">
        <v>194</v>
      </c>
      <c r="AT10" s="55">
        <v>254</v>
      </c>
      <c r="AU10" s="47">
        <v>180</v>
      </c>
      <c r="AV10" s="55"/>
      <c r="AW10" s="47"/>
      <c r="AX10" s="55">
        <f>SUM(AN10:AW10)</f>
        <v>1660</v>
      </c>
    </row>
    <row r="11" spans="4:50" x14ac:dyDescent="0.25">
      <c r="D11" s="110" t="s">
        <v>141</v>
      </c>
      <c r="E11" s="37">
        <v>55</v>
      </c>
      <c r="F11" s="37">
        <v>88</v>
      </c>
      <c r="G11" s="95">
        <v>50</v>
      </c>
      <c r="H11" s="37">
        <f>SUM(E11:G11)</f>
        <v>193</v>
      </c>
      <c r="I11" s="500">
        <f>H11/H18</f>
        <v>0.34280639431616339</v>
      </c>
      <c r="L11" s="155" t="s">
        <v>148</v>
      </c>
      <c r="M11" s="25">
        <v>105</v>
      </c>
      <c r="N11" s="25">
        <v>105</v>
      </c>
      <c r="O11" s="51">
        <v>165</v>
      </c>
      <c r="P11" s="51">
        <v>131</v>
      </c>
      <c r="Q11" s="25">
        <v>189</v>
      </c>
      <c r="R11" s="25">
        <v>131</v>
      </c>
      <c r="S11" s="25">
        <v>115</v>
      </c>
      <c r="T11" s="60">
        <v>143</v>
      </c>
      <c r="U11" s="60">
        <v>112</v>
      </c>
      <c r="V11" s="109">
        <v>136</v>
      </c>
      <c r="W11" s="109">
        <v>122</v>
      </c>
      <c r="X11" s="109">
        <v>99</v>
      </c>
      <c r="Y11" s="109">
        <v>178</v>
      </c>
      <c r="Z11" s="109">
        <v>214</v>
      </c>
      <c r="AA11" s="109">
        <v>117</v>
      </c>
      <c r="AB11" s="109">
        <v>142</v>
      </c>
      <c r="AC11" s="109"/>
      <c r="AD11" s="109"/>
      <c r="AE11" s="109"/>
      <c r="AF11" s="109"/>
      <c r="AG11" s="109"/>
      <c r="AH11" s="109"/>
      <c r="AI11" s="47">
        <f>SUM(M11:AH11)</f>
        <v>2204</v>
      </c>
      <c r="AM11" s="155" t="s">
        <v>148</v>
      </c>
      <c r="AN11" s="25">
        <v>105</v>
      </c>
      <c r="AO11" s="51">
        <v>131</v>
      </c>
      <c r="AP11" s="25">
        <v>131</v>
      </c>
      <c r="AQ11" s="60">
        <v>143</v>
      </c>
      <c r="AR11" s="47">
        <v>136</v>
      </c>
      <c r="AS11" s="47">
        <v>99</v>
      </c>
      <c r="AT11" s="55">
        <v>214</v>
      </c>
      <c r="AU11" s="47">
        <v>142</v>
      </c>
      <c r="AV11" s="55"/>
      <c r="AW11" s="47"/>
      <c r="AX11" s="55">
        <f>SUM(AN11:AW11)</f>
        <v>1101</v>
      </c>
    </row>
    <row r="12" spans="4:50" ht="15.75" thickBot="1" x14ac:dyDescent="0.3">
      <c r="D12" s="107" t="s">
        <v>142</v>
      </c>
      <c r="E12" s="25">
        <v>56</v>
      </c>
      <c r="F12" s="25">
        <v>55</v>
      </c>
      <c r="G12" s="93">
        <v>47</v>
      </c>
      <c r="H12" s="25">
        <f t="shared" ref="H12:H17" si="2">SUM(E12:G12)</f>
        <v>158</v>
      </c>
      <c r="I12" s="501">
        <f>H12/H18</f>
        <v>0.28063943161634103</v>
      </c>
      <c r="L12" s="156" t="s">
        <v>207</v>
      </c>
      <c r="M12" s="28">
        <v>31</v>
      </c>
      <c r="N12" s="28">
        <v>40</v>
      </c>
      <c r="O12" s="84">
        <v>20</v>
      </c>
      <c r="P12" s="84">
        <v>32</v>
      </c>
      <c r="Q12" s="28">
        <v>23</v>
      </c>
      <c r="R12" s="28">
        <v>58</v>
      </c>
      <c r="S12" s="28">
        <v>16</v>
      </c>
      <c r="T12" s="61">
        <v>81</v>
      </c>
      <c r="U12" s="61">
        <v>38</v>
      </c>
      <c r="V12" s="112">
        <v>58</v>
      </c>
      <c r="W12" s="112">
        <v>31</v>
      </c>
      <c r="X12" s="112">
        <v>54</v>
      </c>
      <c r="Y12" s="112">
        <v>44</v>
      </c>
      <c r="Z12" s="112">
        <v>86</v>
      </c>
      <c r="AA12" s="112">
        <v>19</v>
      </c>
      <c r="AB12" s="112">
        <v>55</v>
      </c>
      <c r="AC12" s="112"/>
      <c r="AD12" s="112"/>
      <c r="AE12" s="112"/>
      <c r="AF12" s="112"/>
      <c r="AG12" s="112"/>
      <c r="AH12" s="112"/>
      <c r="AI12" s="54">
        <f>SUM(M12:AH12)</f>
        <v>686</v>
      </c>
      <c r="AM12" s="156" t="s">
        <v>207</v>
      </c>
      <c r="AN12" s="28">
        <v>40</v>
      </c>
      <c r="AO12" s="84">
        <v>32</v>
      </c>
      <c r="AP12" s="28">
        <v>58</v>
      </c>
      <c r="AQ12" s="61">
        <v>81</v>
      </c>
      <c r="AR12" s="54">
        <v>58</v>
      </c>
      <c r="AS12" s="54">
        <v>54</v>
      </c>
      <c r="AT12" s="202">
        <v>86</v>
      </c>
      <c r="AU12" s="54">
        <v>55</v>
      </c>
      <c r="AV12" s="202"/>
      <c r="AW12" s="54"/>
      <c r="AX12" s="55">
        <f>SUM(AN12:AW12)</f>
        <v>464</v>
      </c>
    </row>
    <row r="13" spans="4:50" ht="15.75" thickBot="1" x14ac:dyDescent="0.3">
      <c r="D13" s="107" t="s">
        <v>110</v>
      </c>
      <c r="E13" s="25">
        <v>141</v>
      </c>
      <c r="F13" s="25">
        <v>19</v>
      </c>
      <c r="G13" s="93">
        <v>12</v>
      </c>
      <c r="H13" s="25">
        <f t="shared" si="2"/>
        <v>172</v>
      </c>
      <c r="I13" s="501">
        <f>H13/H18</f>
        <v>0.30550621669626998</v>
      </c>
      <c r="L13" s="36" t="s">
        <v>164</v>
      </c>
      <c r="M13" s="36">
        <f>SUM(M10:M12)</f>
        <v>324</v>
      </c>
      <c r="N13" s="36">
        <f t="shared" ref="N13:AH13" si="3">SUM(N10:N12)</f>
        <v>340</v>
      </c>
      <c r="O13" s="36">
        <f>SUM(O10:O12)</f>
        <v>373</v>
      </c>
      <c r="P13" s="157">
        <f t="shared" si="3"/>
        <v>403</v>
      </c>
      <c r="Q13" s="36">
        <v>391</v>
      </c>
      <c r="R13" s="36">
        <f t="shared" si="3"/>
        <v>369</v>
      </c>
      <c r="S13" s="36">
        <f t="shared" si="3"/>
        <v>626</v>
      </c>
      <c r="T13" s="203">
        <f t="shared" si="3"/>
        <v>463</v>
      </c>
      <c r="U13" s="203">
        <f t="shared" si="3"/>
        <v>329</v>
      </c>
      <c r="V13" s="113">
        <f t="shared" si="3"/>
        <v>372</v>
      </c>
      <c r="W13" s="113">
        <f t="shared" si="3"/>
        <v>316</v>
      </c>
      <c r="X13" s="113">
        <f>SUM(X10:X12)</f>
        <v>347</v>
      </c>
      <c r="Y13" s="113">
        <f>SUM(Y10:Y12)</f>
        <v>394</v>
      </c>
      <c r="Z13" s="113">
        <f t="shared" si="3"/>
        <v>554</v>
      </c>
      <c r="AA13" s="113">
        <f t="shared" si="3"/>
        <v>331</v>
      </c>
      <c r="AB13" s="113">
        <f>SUM(AB10:AB12)</f>
        <v>377</v>
      </c>
      <c r="AC13" s="113">
        <f>SUM(AC10:AC12)</f>
        <v>0</v>
      </c>
      <c r="AD13" s="113">
        <f t="shared" si="3"/>
        <v>0</v>
      </c>
      <c r="AE13" s="113">
        <f t="shared" si="3"/>
        <v>0</v>
      </c>
      <c r="AF13" s="113">
        <f t="shared" si="3"/>
        <v>0</v>
      </c>
      <c r="AG13" s="113">
        <f t="shared" si="3"/>
        <v>0</v>
      </c>
      <c r="AH13" s="113">
        <f t="shared" si="3"/>
        <v>0</v>
      </c>
      <c r="AI13" s="35">
        <f>SUM(M13:AH13)</f>
        <v>6309</v>
      </c>
      <c r="AM13" s="36" t="s">
        <v>164</v>
      </c>
      <c r="AN13" s="36">
        <f t="shared" ref="AN13:AU13" si="4">SUM(AN10:AN12)</f>
        <v>340</v>
      </c>
      <c r="AO13" s="36">
        <f t="shared" si="4"/>
        <v>403</v>
      </c>
      <c r="AP13" s="36">
        <f t="shared" si="4"/>
        <v>369</v>
      </c>
      <c r="AQ13" s="36">
        <f t="shared" si="4"/>
        <v>463</v>
      </c>
      <c r="AR13" s="36">
        <f t="shared" si="4"/>
        <v>372</v>
      </c>
      <c r="AS13" s="36">
        <f t="shared" si="4"/>
        <v>347</v>
      </c>
      <c r="AT13" s="36">
        <f t="shared" si="4"/>
        <v>554</v>
      </c>
      <c r="AU13" s="36">
        <f t="shared" si="4"/>
        <v>377</v>
      </c>
      <c r="AV13" s="229"/>
      <c r="AW13" s="229"/>
      <c r="AX13" s="35">
        <f>SUM(AX10:AX12)</f>
        <v>3225</v>
      </c>
    </row>
    <row r="14" spans="4:50" x14ac:dyDescent="0.25">
      <c r="D14" s="107" t="s">
        <v>143</v>
      </c>
      <c r="E14" s="25">
        <v>1</v>
      </c>
      <c r="F14" s="25">
        <v>17</v>
      </c>
      <c r="G14" s="93">
        <v>1</v>
      </c>
      <c r="H14" s="25">
        <f t="shared" si="2"/>
        <v>19</v>
      </c>
      <c r="I14" s="501">
        <f>H14/H18</f>
        <v>3.3747779751332148E-2</v>
      </c>
    </row>
    <row r="15" spans="4:50" x14ac:dyDescent="0.25">
      <c r="D15" s="107" t="s">
        <v>144</v>
      </c>
      <c r="E15" s="25">
        <v>6</v>
      </c>
      <c r="F15" s="25">
        <v>1</v>
      </c>
      <c r="G15" s="93">
        <v>0</v>
      </c>
      <c r="H15" s="25">
        <f t="shared" si="2"/>
        <v>7</v>
      </c>
      <c r="I15" s="501">
        <f>H15/H18</f>
        <v>1.2433392539964476E-2</v>
      </c>
      <c r="M15">
        <f>M13+O13+Q13+S13+U13+W13+Y13+AA13</f>
        <v>3084</v>
      </c>
      <c r="N15">
        <f>N13+P13+R13+T13+V13+X13+Z13+AB13</f>
        <v>3225</v>
      </c>
    </row>
    <row r="16" spans="4:50" x14ac:dyDescent="0.25">
      <c r="D16" s="107" t="s">
        <v>145</v>
      </c>
      <c r="E16" s="25">
        <v>7</v>
      </c>
      <c r="F16" s="25">
        <v>0</v>
      </c>
      <c r="G16" s="93">
        <v>0</v>
      </c>
      <c r="H16" s="25">
        <f t="shared" si="2"/>
        <v>7</v>
      </c>
      <c r="I16" s="501">
        <f>H16/H18</f>
        <v>1.2433392539964476E-2</v>
      </c>
    </row>
    <row r="17" spans="4:25" ht="15.75" thickBot="1" x14ac:dyDescent="0.3">
      <c r="D17" s="111" t="s">
        <v>205</v>
      </c>
      <c r="E17" s="83">
        <v>7</v>
      </c>
      <c r="F17" s="83">
        <v>0</v>
      </c>
      <c r="G17" s="94">
        <v>0</v>
      </c>
      <c r="H17" s="83">
        <f t="shared" si="2"/>
        <v>7</v>
      </c>
      <c r="I17" s="576">
        <f>H17/H18</f>
        <v>1.2433392539964476E-2</v>
      </c>
      <c r="N17">
        <f>N15-M15</f>
        <v>141</v>
      </c>
    </row>
    <row r="18" spans="4:25" ht="15.75" thickBot="1" x14ac:dyDescent="0.3">
      <c r="D18" s="497" t="s">
        <v>164</v>
      </c>
      <c r="E18" s="498">
        <f>SUM(E11:E17)</f>
        <v>273</v>
      </c>
      <c r="F18" s="498">
        <f>SUM(F11:F17)</f>
        <v>180</v>
      </c>
      <c r="G18" s="499">
        <f>SUM(G11:G17)</f>
        <v>110</v>
      </c>
      <c r="H18" s="498">
        <f>SUM(E18:G18)</f>
        <v>563</v>
      </c>
      <c r="I18" s="577">
        <f>SUM(I11:I17)</f>
        <v>0.99999999999999989</v>
      </c>
      <c r="L18" s="727" t="s">
        <v>206</v>
      </c>
      <c r="M18" s="724" t="s">
        <v>400</v>
      </c>
      <c r="N18" s="725"/>
      <c r="O18" s="724" t="s">
        <v>401</v>
      </c>
      <c r="P18" s="725"/>
      <c r="Q18" s="724" t="s">
        <v>402</v>
      </c>
      <c r="R18" s="725"/>
      <c r="S18" s="724" t="s">
        <v>161</v>
      </c>
      <c r="T18" s="725"/>
      <c r="U18" s="724" t="s">
        <v>403</v>
      </c>
      <c r="V18" s="725"/>
      <c r="W18" s="724" t="s">
        <v>163</v>
      </c>
      <c r="X18" s="726"/>
      <c r="Y18" s="727" t="s">
        <v>164</v>
      </c>
    </row>
    <row r="19" spans="4:25" ht="15.75" thickBot="1" x14ac:dyDescent="0.3">
      <c r="I19" s="108"/>
      <c r="L19" s="728"/>
      <c r="M19" s="346">
        <v>2025</v>
      </c>
      <c r="N19" s="346">
        <v>2026</v>
      </c>
      <c r="O19" s="346">
        <v>2025</v>
      </c>
      <c r="P19" s="346">
        <v>2026</v>
      </c>
      <c r="Q19" s="346">
        <v>2025</v>
      </c>
      <c r="R19" s="346">
        <v>2026</v>
      </c>
      <c r="S19" s="346">
        <v>2025</v>
      </c>
      <c r="T19" s="346">
        <v>2026</v>
      </c>
      <c r="U19" s="346">
        <v>2025</v>
      </c>
      <c r="V19" s="346">
        <v>2026</v>
      </c>
      <c r="W19" s="346">
        <v>2025</v>
      </c>
      <c r="X19" s="346">
        <v>2026</v>
      </c>
      <c r="Y19" s="728"/>
    </row>
    <row r="20" spans="4:25" x14ac:dyDescent="0.25">
      <c r="L20" s="154" t="s">
        <v>150</v>
      </c>
      <c r="M20" s="33">
        <f>M10+O10+Q10</f>
        <v>555</v>
      </c>
      <c r="N20" s="34">
        <f>N10+P10+R10</f>
        <v>615</v>
      </c>
      <c r="O20" s="34">
        <f>S10+U10+W10</f>
        <v>837</v>
      </c>
      <c r="P20" s="50">
        <f>T10+V10+X10</f>
        <v>611</v>
      </c>
      <c r="Q20" s="34">
        <f>Y10+AA10</f>
        <v>367</v>
      </c>
      <c r="R20" s="25">
        <f>Z10+AB10</f>
        <v>434</v>
      </c>
      <c r="S20" s="47"/>
      <c r="T20" s="47"/>
      <c r="U20" s="109"/>
      <c r="V20" s="109"/>
      <c r="W20" s="109"/>
      <c r="X20" s="347"/>
      <c r="Y20" s="25">
        <f>SUM(M20:X20)</f>
        <v>3419</v>
      </c>
    </row>
    <row r="21" spans="4:25" x14ac:dyDescent="0.25">
      <c r="L21" s="155" t="s">
        <v>148</v>
      </c>
      <c r="M21" s="33">
        <f>M11+O11+Q11</f>
        <v>459</v>
      </c>
      <c r="N21" s="34">
        <f t="shared" ref="M21:N23" si="5">N11+P11+R11</f>
        <v>367</v>
      </c>
      <c r="O21" s="34">
        <f t="shared" ref="O21:P23" si="6">S11+U11+W11</f>
        <v>349</v>
      </c>
      <c r="P21" s="50">
        <f t="shared" si="6"/>
        <v>378</v>
      </c>
      <c r="Q21" s="34">
        <f t="shared" ref="Q21:R21" si="7">Y11+AA11</f>
        <v>295</v>
      </c>
      <c r="R21" s="25">
        <f t="shared" si="7"/>
        <v>356</v>
      </c>
      <c r="S21" s="47"/>
      <c r="T21" s="47"/>
      <c r="U21" s="109"/>
      <c r="V21" s="109"/>
      <c r="W21" s="109"/>
      <c r="X21" s="347"/>
      <c r="Y21" s="25">
        <f>SUM(M21:X21)</f>
        <v>2204</v>
      </c>
    </row>
    <row r="22" spans="4:25" ht="15.75" thickBot="1" x14ac:dyDescent="0.3">
      <c r="L22" s="156" t="s">
        <v>207</v>
      </c>
      <c r="M22" s="33">
        <f>M12+O12+Q12</f>
        <v>74</v>
      </c>
      <c r="N22" s="34">
        <f t="shared" si="5"/>
        <v>130</v>
      </c>
      <c r="O22" s="34">
        <f t="shared" si="6"/>
        <v>85</v>
      </c>
      <c r="P22" s="50">
        <f t="shared" si="6"/>
        <v>193</v>
      </c>
      <c r="Q22" s="34">
        <f t="shared" ref="Q22:R22" si="8">Y12+AA12</f>
        <v>63</v>
      </c>
      <c r="R22" s="25">
        <f t="shared" si="8"/>
        <v>141</v>
      </c>
      <c r="S22" s="54"/>
      <c r="T22" s="54"/>
      <c r="U22" s="112"/>
      <c r="V22" s="112"/>
      <c r="W22" s="112"/>
      <c r="X22" s="348"/>
      <c r="Y22" s="28">
        <f>SUM(M22:X22)</f>
        <v>686</v>
      </c>
    </row>
    <row r="23" spans="4:25" ht="15.75" thickBot="1" x14ac:dyDescent="0.3">
      <c r="L23" s="36" t="s">
        <v>164</v>
      </c>
      <c r="M23" s="36">
        <f t="shared" si="5"/>
        <v>1088</v>
      </c>
      <c r="N23" s="157">
        <f t="shared" si="5"/>
        <v>1112</v>
      </c>
      <c r="O23" s="36">
        <f t="shared" si="6"/>
        <v>1271</v>
      </c>
      <c r="P23" s="157">
        <f t="shared" si="6"/>
        <v>1182</v>
      </c>
      <c r="Q23" s="36">
        <f t="shared" ref="Q23:R23" si="9">Y13+AA13+AC13</f>
        <v>725</v>
      </c>
      <c r="R23" s="157">
        <f t="shared" si="9"/>
        <v>931</v>
      </c>
      <c r="S23" s="229">
        <f>SUM(S20:S22)</f>
        <v>0</v>
      </c>
      <c r="T23" s="229">
        <f>SUM(T20:T22)</f>
        <v>0</v>
      </c>
      <c r="U23" s="113">
        <f>SUM(U20:U22)</f>
        <v>0</v>
      </c>
      <c r="V23" s="113">
        <f>SUM(V20:V22)</f>
        <v>0</v>
      </c>
      <c r="W23" s="113"/>
      <c r="X23" s="349"/>
      <c r="Y23" s="36">
        <f>SUM(M23:X23)</f>
        <v>6309</v>
      </c>
    </row>
    <row r="24" spans="4:25" x14ac:dyDescent="0.25">
      <c r="D24" s="16"/>
    </row>
    <row r="25" spans="4:25" ht="15.75" thickBot="1" x14ac:dyDescent="0.3">
      <c r="D25" s="16"/>
      <c r="M25" s="19">
        <f>M20+O20-N20-P20</f>
        <v>166</v>
      </c>
    </row>
    <row r="26" spans="4:25" ht="15.75" thickBot="1" x14ac:dyDescent="0.3">
      <c r="D26" s="732" t="s">
        <v>281</v>
      </c>
      <c r="E26" s="733"/>
      <c r="F26" s="733"/>
      <c r="G26" s="733"/>
      <c r="H26" s="734"/>
      <c r="M26" s="19">
        <f>(M21+O21)-(N21+P21)</f>
        <v>63</v>
      </c>
    </row>
    <row r="27" spans="4:25" ht="15.75" thickBot="1" x14ac:dyDescent="0.3">
      <c r="D27" s="502" t="s">
        <v>2</v>
      </c>
      <c r="E27" s="503" t="s">
        <v>150</v>
      </c>
      <c r="F27" s="504" t="s">
        <v>148</v>
      </c>
      <c r="G27" s="504" t="s">
        <v>149</v>
      </c>
      <c r="H27" s="504" t="s">
        <v>164</v>
      </c>
      <c r="M27" s="19">
        <f>(M22+O22)-(N22+P22)</f>
        <v>-164</v>
      </c>
    </row>
    <row r="28" spans="4:25" x14ac:dyDescent="0.25">
      <c r="D28" s="32" t="s">
        <v>28</v>
      </c>
      <c r="E28" s="33">
        <v>46</v>
      </c>
      <c r="F28" s="34">
        <v>17</v>
      </c>
      <c r="G28" s="33">
        <v>10</v>
      </c>
      <c r="H28" s="34">
        <f t="shared" ref="H28:H33" si="10">SUM(E28:G28)</f>
        <v>73</v>
      </c>
      <c r="I28" s="91">
        <f>H28/H33</f>
        <v>0.19363395225464192</v>
      </c>
    </row>
    <row r="29" spans="4:25" x14ac:dyDescent="0.25">
      <c r="D29" s="21" t="s">
        <v>33</v>
      </c>
      <c r="E29" s="24">
        <v>45</v>
      </c>
      <c r="F29" s="25">
        <v>17</v>
      </c>
      <c r="G29" s="24">
        <v>22</v>
      </c>
      <c r="H29" s="25">
        <f t="shared" si="10"/>
        <v>84</v>
      </c>
      <c r="I29" s="91">
        <f>H29/H33</f>
        <v>0.22281167108753316</v>
      </c>
    </row>
    <row r="30" spans="4:25" x14ac:dyDescent="0.25">
      <c r="D30" s="21" t="s">
        <v>76</v>
      </c>
      <c r="E30" s="24">
        <v>2</v>
      </c>
      <c r="F30" s="25">
        <v>2</v>
      </c>
      <c r="G30" s="24">
        <v>0</v>
      </c>
      <c r="H30" s="25">
        <f t="shared" si="10"/>
        <v>4</v>
      </c>
      <c r="I30" s="91">
        <f>H30/H33</f>
        <v>1.0610079575596816E-2</v>
      </c>
    </row>
    <row r="31" spans="4:25" x14ac:dyDescent="0.25">
      <c r="D31" s="26" t="s">
        <v>103</v>
      </c>
      <c r="E31" s="27">
        <v>6</v>
      </c>
      <c r="F31" s="28">
        <v>8</v>
      </c>
      <c r="G31" s="27">
        <v>0</v>
      </c>
      <c r="H31" s="28">
        <f t="shared" si="10"/>
        <v>14</v>
      </c>
      <c r="I31" s="91">
        <f>H31/H33</f>
        <v>3.7135278514588858E-2</v>
      </c>
    </row>
    <row r="32" spans="4:25" ht="15.75" thickBot="1" x14ac:dyDescent="0.3">
      <c r="D32" s="26" t="s">
        <v>19</v>
      </c>
      <c r="E32" s="27">
        <v>81</v>
      </c>
      <c r="F32" s="28">
        <v>98</v>
      </c>
      <c r="G32" s="27">
        <v>23</v>
      </c>
      <c r="H32" s="28">
        <f t="shared" si="10"/>
        <v>202</v>
      </c>
      <c r="I32" s="91">
        <f>H32/H33</f>
        <v>0.53580901856763929</v>
      </c>
    </row>
    <row r="33" spans="4:12" ht="15.75" thickBot="1" x14ac:dyDescent="0.3">
      <c r="D33" s="505" t="s">
        <v>105</v>
      </c>
      <c r="E33" s="506">
        <f>SUM(E28:E32)</f>
        <v>180</v>
      </c>
      <c r="F33" s="507">
        <f>SUM(F28:F32)</f>
        <v>142</v>
      </c>
      <c r="G33" s="506">
        <f>SUM(G28:G32)</f>
        <v>55</v>
      </c>
      <c r="H33" s="507">
        <f t="shared" si="10"/>
        <v>377</v>
      </c>
      <c r="I33" s="91"/>
    </row>
    <row r="35" spans="4:12" ht="19.5" customHeight="1" x14ac:dyDescent="0.25"/>
    <row r="38" spans="4:12" ht="15.75" thickBot="1" x14ac:dyDescent="0.3"/>
    <row r="39" spans="4:12" ht="15.75" thickBot="1" x14ac:dyDescent="0.3">
      <c r="D39" s="735" t="s">
        <v>319</v>
      </c>
      <c r="E39" s="737" t="s">
        <v>150</v>
      </c>
      <c r="F39" s="738"/>
      <c r="G39" s="738" t="s">
        <v>300</v>
      </c>
      <c r="H39" s="738"/>
      <c r="I39" s="738" t="s">
        <v>149</v>
      </c>
      <c r="J39" s="739"/>
      <c r="K39" s="729" t="s">
        <v>358</v>
      </c>
      <c r="L39" s="730"/>
    </row>
    <row r="40" spans="4:12" ht="15.75" thickBot="1" x14ac:dyDescent="0.3">
      <c r="D40" s="736"/>
      <c r="E40" s="564">
        <v>2025</v>
      </c>
      <c r="F40" s="564">
        <v>2026</v>
      </c>
      <c r="G40" s="564">
        <v>2025</v>
      </c>
      <c r="H40" s="564">
        <v>2026</v>
      </c>
      <c r="I40" s="564">
        <v>2025</v>
      </c>
      <c r="J40" s="564">
        <v>2026</v>
      </c>
      <c r="K40" s="564">
        <v>2025</v>
      </c>
      <c r="L40" s="564">
        <v>2026</v>
      </c>
    </row>
    <row r="41" spans="4:12" ht="16.5" x14ac:dyDescent="0.3">
      <c r="D41" s="201" t="s">
        <v>152</v>
      </c>
      <c r="E41" s="181">
        <v>188</v>
      </c>
      <c r="F41" s="159">
        <v>195</v>
      </c>
      <c r="G41" s="590">
        <v>105</v>
      </c>
      <c r="H41" s="590">
        <v>105</v>
      </c>
      <c r="I41" s="590">
        <v>31</v>
      </c>
      <c r="J41" s="590">
        <v>40</v>
      </c>
      <c r="K41" s="47">
        <f>+E41+G41+I41</f>
        <v>324</v>
      </c>
      <c r="L41" s="47">
        <f>+F41+H41+J41</f>
        <v>340</v>
      </c>
    </row>
    <row r="42" spans="4:12" ht="16.5" x14ac:dyDescent="0.3">
      <c r="D42" s="184" t="s">
        <v>301</v>
      </c>
      <c r="E42" s="181">
        <v>188</v>
      </c>
      <c r="F42" s="159">
        <v>240</v>
      </c>
      <c r="G42" s="590">
        <v>165</v>
      </c>
      <c r="H42" s="590">
        <v>131</v>
      </c>
      <c r="I42" s="590">
        <v>20</v>
      </c>
      <c r="J42" s="590">
        <v>32</v>
      </c>
      <c r="K42" s="47">
        <f t="shared" ref="K42:K48" si="11">+E42+G42+I42</f>
        <v>373</v>
      </c>
      <c r="L42" s="47">
        <f t="shared" ref="L42:L48" si="12">+F42+H42+J42</f>
        <v>403</v>
      </c>
    </row>
    <row r="43" spans="4:12" ht="16.5" x14ac:dyDescent="0.3">
      <c r="D43" s="184" t="s">
        <v>363</v>
      </c>
      <c r="E43" s="181">
        <v>179</v>
      </c>
      <c r="F43" s="159">
        <v>180</v>
      </c>
      <c r="G43" s="590">
        <v>189</v>
      </c>
      <c r="H43" s="590">
        <v>131</v>
      </c>
      <c r="I43" s="590">
        <v>23</v>
      </c>
      <c r="J43" s="590">
        <v>58</v>
      </c>
      <c r="K43" s="47">
        <f t="shared" si="11"/>
        <v>391</v>
      </c>
      <c r="L43" s="47">
        <f t="shared" si="12"/>
        <v>369</v>
      </c>
    </row>
    <row r="44" spans="4:12" ht="16.5" x14ac:dyDescent="0.3">
      <c r="D44" s="184" t="s">
        <v>155</v>
      </c>
      <c r="E44" s="181">
        <v>495</v>
      </c>
      <c r="F44" s="159">
        <v>239</v>
      </c>
      <c r="G44" s="590">
        <v>115</v>
      </c>
      <c r="H44" s="590">
        <v>143</v>
      </c>
      <c r="I44" s="590">
        <v>16</v>
      </c>
      <c r="J44" s="590">
        <v>81</v>
      </c>
      <c r="K44" s="47">
        <f t="shared" si="11"/>
        <v>626</v>
      </c>
      <c r="L44" s="47">
        <f t="shared" si="12"/>
        <v>463</v>
      </c>
    </row>
    <row r="45" spans="4:12" ht="16.5" x14ac:dyDescent="0.3">
      <c r="D45" s="184" t="s">
        <v>354</v>
      </c>
      <c r="E45" s="182">
        <v>179</v>
      </c>
      <c r="F45" s="178">
        <v>178</v>
      </c>
      <c r="G45" s="601">
        <v>112</v>
      </c>
      <c r="H45" s="601">
        <v>136</v>
      </c>
      <c r="I45" s="601">
        <v>38</v>
      </c>
      <c r="J45" s="601">
        <v>58</v>
      </c>
      <c r="K45" s="47">
        <f t="shared" si="11"/>
        <v>329</v>
      </c>
      <c r="L45" s="47">
        <f t="shared" si="12"/>
        <v>372</v>
      </c>
    </row>
    <row r="46" spans="4:12" ht="16.5" x14ac:dyDescent="0.3">
      <c r="D46" s="184" t="s">
        <v>157</v>
      </c>
      <c r="E46" s="182">
        <v>163</v>
      </c>
      <c r="F46" s="178">
        <v>194</v>
      </c>
      <c r="G46" s="601">
        <v>122</v>
      </c>
      <c r="H46" s="601">
        <v>99</v>
      </c>
      <c r="I46" s="601">
        <v>31</v>
      </c>
      <c r="J46" s="601">
        <v>54</v>
      </c>
      <c r="K46" s="47">
        <f t="shared" si="11"/>
        <v>316</v>
      </c>
      <c r="L46" s="47">
        <f t="shared" si="12"/>
        <v>347</v>
      </c>
    </row>
    <row r="47" spans="4:12" ht="16.5" x14ac:dyDescent="0.3">
      <c r="D47" s="184" t="s">
        <v>602</v>
      </c>
      <c r="E47" s="182">
        <v>172</v>
      </c>
      <c r="F47" s="178">
        <v>254</v>
      </c>
      <c r="G47" s="601">
        <v>178</v>
      </c>
      <c r="H47" s="601">
        <v>214</v>
      </c>
      <c r="I47" s="601">
        <v>44</v>
      </c>
      <c r="J47" s="601">
        <v>86</v>
      </c>
      <c r="K47" s="47">
        <f t="shared" ref="K47" si="13">+E47+G47+I47</f>
        <v>394</v>
      </c>
      <c r="L47" s="47">
        <f t="shared" ref="L47" si="14">+F47+H47+J47</f>
        <v>554</v>
      </c>
    </row>
    <row r="48" spans="4:12" ht="17.25" thickBot="1" x14ac:dyDescent="0.35">
      <c r="D48" s="613" t="s">
        <v>384</v>
      </c>
      <c r="E48" s="182">
        <v>195</v>
      </c>
      <c r="F48" s="178">
        <v>180</v>
      </c>
      <c r="G48" s="601">
        <v>117</v>
      </c>
      <c r="H48" s="601">
        <v>142</v>
      </c>
      <c r="I48" s="601">
        <v>19</v>
      </c>
      <c r="J48" s="601">
        <v>55</v>
      </c>
      <c r="K48" s="47">
        <f t="shared" si="11"/>
        <v>331</v>
      </c>
      <c r="L48" s="47">
        <f t="shared" si="12"/>
        <v>377</v>
      </c>
    </row>
    <row r="49" spans="4:13" ht="17.25" thickBot="1" x14ac:dyDescent="0.35">
      <c r="D49" s="602" t="s">
        <v>164</v>
      </c>
      <c r="E49" s="591">
        <f t="shared" ref="E49:J49" si="15">SUM(E41:E48)</f>
        <v>1759</v>
      </c>
      <c r="F49" s="599">
        <f t="shared" si="15"/>
        <v>1660</v>
      </c>
      <c r="G49" s="599">
        <f t="shared" si="15"/>
        <v>1103</v>
      </c>
      <c r="H49" s="599">
        <f t="shared" si="15"/>
        <v>1101</v>
      </c>
      <c r="I49" s="599">
        <f t="shared" si="15"/>
        <v>222</v>
      </c>
      <c r="J49" s="599">
        <f t="shared" si="15"/>
        <v>464</v>
      </c>
      <c r="K49" s="599">
        <f>SUM(K41:K48)</f>
        <v>3084</v>
      </c>
      <c r="L49" s="192">
        <f>SUM(L41:L48)</f>
        <v>3225</v>
      </c>
    </row>
    <row r="51" spans="4:13" x14ac:dyDescent="0.25">
      <c r="E51">
        <f>F49+-E49</f>
        <v>-99</v>
      </c>
      <c r="G51">
        <f>H49-G49</f>
        <v>-2</v>
      </c>
      <c r="J51">
        <f>J49-I49</f>
        <v>242</v>
      </c>
      <c r="L51">
        <f>E49+G49+I49</f>
        <v>3084</v>
      </c>
      <c r="M51">
        <f>F49+H49+J49</f>
        <v>3225</v>
      </c>
    </row>
    <row r="53" spans="4:13" x14ac:dyDescent="0.25">
      <c r="G53">
        <v>394</v>
      </c>
      <c r="H53">
        <v>100</v>
      </c>
      <c r="M53">
        <f>M51-L51</f>
        <v>141</v>
      </c>
    </row>
    <row r="54" spans="4:13" x14ac:dyDescent="0.25">
      <c r="G54">
        <v>65</v>
      </c>
    </row>
    <row r="56" spans="4:13" x14ac:dyDescent="0.25">
      <c r="H56">
        <f>(G54*H53)/G53</f>
        <v>16.497461928934012</v>
      </c>
    </row>
    <row r="59" spans="4:13" x14ac:dyDescent="0.25">
      <c r="E59" s="731"/>
      <c r="F59" s="731"/>
      <c r="G59" s="731"/>
    </row>
    <row r="60" spans="4:13" x14ac:dyDescent="0.25">
      <c r="F60" s="19"/>
      <c r="G60" s="19"/>
    </row>
    <row r="61" spans="4:13" ht="16.5" x14ac:dyDescent="0.3">
      <c r="E61" s="187"/>
      <c r="F61" s="188"/>
      <c r="G61" s="188"/>
    </row>
    <row r="62" spans="4:13" ht="16.5" x14ac:dyDescent="0.3">
      <c r="E62" s="187"/>
      <c r="F62" s="19"/>
      <c r="G62" s="188"/>
    </row>
    <row r="63" spans="4:13" ht="16.5" x14ac:dyDescent="0.3">
      <c r="E63" s="187"/>
      <c r="F63" s="188"/>
      <c r="G63" s="188"/>
    </row>
    <row r="64" spans="4:13" ht="16.5" x14ac:dyDescent="0.3">
      <c r="E64" s="187"/>
      <c r="F64" s="188"/>
      <c r="G64" s="188"/>
    </row>
    <row r="65" spans="5:7" ht="16.5" x14ac:dyDescent="0.3">
      <c r="E65" s="187"/>
      <c r="F65" s="188"/>
      <c r="G65" s="188"/>
    </row>
    <row r="118" spans="4:15" ht="15.75" thickBot="1" x14ac:dyDescent="0.3"/>
    <row r="119" spans="4:15" ht="15.75" thickBot="1" x14ac:dyDescent="0.3">
      <c r="D119" s="96"/>
    </row>
    <row r="120" spans="4:15" x14ac:dyDescent="0.25">
      <c r="N120">
        <v>188</v>
      </c>
      <c r="O120">
        <v>240</v>
      </c>
    </row>
    <row r="121" spans="4:15" x14ac:dyDescent="0.25">
      <c r="N121">
        <v>165</v>
      </c>
      <c r="O121">
        <v>131</v>
      </c>
    </row>
    <row r="122" spans="4:15" x14ac:dyDescent="0.25">
      <c r="N122">
        <v>20</v>
      </c>
      <c r="O122">
        <v>32</v>
      </c>
    </row>
    <row r="125" spans="4:15" ht="15.75" thickBot="1" x14ac:dyDescent="0.3"/>
    <row r="126" spans="4:15" ht="15.75" thickBot="1" x14ac:dyDescent="0.3">
      <c r="D126" s="735" t="s">
        <v>319</v>
      </c>
      <c r="E126" s="737" t="s">
        <v>150</v>
      </c>
      <c r="F126" s="738"/>
      <c r="G126" s="738" t="s">
        <v>300</v>
      </c>
      <c r="H126" s="738"/>
      <c r="I126" s="738" t="s">
        <v>149</v>
      </c>
      <c r="J126" s="739"/>
      <c r="K126" s="729" t="s">
        <v>358</v>
      </c>
      <c r="L126" s="730"/>
    </row>
    <row r="127" spans="4:15" ht="15.75" thickBot="1" x14ac:dyDescent="0.3">
      <c r="D127" s="736"/>
      <c r="E127" s="346">
        <v>2025</v>
      </c>
      <c r="F127" s="614">
        <v>2026</v>
      </c>
      <c r="G127" s="346">
        <v>2025</v>
      </c>
      <c r="H127" s="346">
        <v>2026</v>
      </c>
      <c r="I127" s="346">
        <v>2025</v>
      </c>
      <c r="J127" s="346">
        <v>2026</v>
      </c>
      <c r="K127" s="346">
        <v>2025</v>
      </c>
      <c r="L127" s="346">
        <v>2026</v>
      </c>
    </row>
    <row r="128" spans="4:15" ht="17.25" thickBot="1" x14ac:dyDescent="0.35">
      <c r="D128" s="326" t="s">
        <v>152</v>
      </c>
      <c r="E128" s="179">
        <v>188</v>
      </c>
      <c r="F128" s="463">
        <v>195</v>
      </c>
      <c r="G128" s="619">
        <v>105</v>
      </c>
      <c r="H128" s="618">
        <v>105</v>
      </c>
      <c r="I128" s="619">
        <v>31</v>
      </c>
      <c r="J128" s="618">
        <v>40</v>
      </c>
      <c r="K128" s="69">
        <f t="shared" ref="K128" si="16">+E128+G128+I128</f>
        <v>324</v>
      </c>
      <c r="L128" s="69">
        <f>+F128+H128+J128</f>
        <v>340</v>
      </c>
    </row>
    <row r="129" spans="4:12" ht="17.25" thickBot="1" x14ac:dyDescent="0.35">
      <c r="D129" s="637" t="s">
        <v>153</v>
      </c>
      <c r="E129" s="140">
        <v>188</v>
      </c>
      <c r="F129" s="188">
        <v>240</v>
      </c>
      <c r="G129" s="636">
        <v>165</v>
      </c>
      <c r="H129" s="323">
        <v>131</v>
      </c>
      <c r="I129" s="636">
        <v>20</v>
      </c>
      <c r="J129" s="323">
        <v>32</v>
      </c>
      <c r="K129" s="41">
        <f t="shared" ref="K129:K135" si="17">+E129+G129+I129</f>
        <v>373</v>
      </c>
      <c r="L129" s="41">
        <f t="shared" ref="L129:L135" si="18">+F129+H129+J129</f>
        <v>403</v>
      </c>
    </row>
    <row r="130" spans="4:12" ht="17.25" thickBot="1" x14ac:dyDescent="0.35">
      <c r="D130" s="326" t="s">
        <v>154</v>
      </c>
      <c r="E130" s="179">
        <v>179</v>
      </c>
      <c r="F130" s="463">
        <v>180</v>
      </c>
      <c r="G130" s="619">
        <v>189</v>
      </c>
      <c r="H130" s="618">
        <v>131</v>
      </c>
      <c r="I130" s="619">
        <v>23</v>
      </c>
      <c r="J130" s="618">
        <v>58</v>
      </c>
      <c r="K130" s="69">
        <f t="shared" si="17"/>
        <v>391</v>
      </c>
      <c r="L130" s="69">
        <f t="shared" si="18"/>
        <v>369</v>
      </c>
    </row>
    <row r="131" spans="4:12" ht="17.25" thickBot="1" x14ac:dyDescent="0.35">
      <c r="D131" s="637" t="s">
        <v>155</v>
      </c>
      <c r="E131" s="140">
        <v>495</v>
      </c>
      <c r="F131" s="188">
        <v>239</v>
      </c>
      <c r="G131" s="636">
        <v>115</v>
      </c>
      <c r="H131" s="323">
        <v>143</v>
      </c>
      <c r="I131" s="636">
        <v>16</v>
      </c>
      <c r="J131" s="323">
        <v>81</v>
      </c>
      <c r="K131" s="41">
        <f t="shared" si="17"/>
        <v>626</v>
      </c>
      <c r="L131" s="41">
        <f t="shared" si="18"/>
        <v>463</v>
      </c>
    </row>
    <row r="132" spans="4:12" ht="17.25" thickBot="1" x14ac:dyDescent="0.35">
      <c r="D132" s="326" t="s">
        <v>354</v>
      </c>
      <c r="E132" s="179">
        <v>179</v>
      </c>
      <c r="F132" s="463">
        <v>178</v>
      </c>
      <c r="G132" s="619">
        <v>112</v>
      </c>
      <c r="H132" s="618">
        <v>136</v>
      </c>
      <c r="I132" s="619">
        <v>38</v>
      </c>
      <c r="J132" s="618">
        <v>58</v>
      </c>
      <c r="K132" s="69">
        <f t="shared" si="17"/>
        <v>329</v>
      </c>
      <c r="L132" s="69">
        <f t="shared" si="18"/>
        <v>372</v>
      </c>
    </row>
    <row r="133" spans="4:12" ht="16.5" x14ac:dyDescent="0.3">
      <c r="D133" s="637" t="s">
        <v>157</v>
      </c>
      <c r="E133" s="140">
        <v>163</v>
      </c>
      <c r="F133" s="188">
        <v>194</v>
      </c>
      <c r="G133" s="636">
        <v>122</v>
      </c>
      <c r="H133" s="323">
        <v>99</v>
      </c>
      <c r="I133" s="636">
        <v>31</v>
      </c>
      <c r="J133" s="323">
        <v>54</v>
      </c>
      <c r="K133" s="41">
        <f t="shared" si="17"/>
        <v>316</v>
      </c>
      <c r="L133" s="41">
        <f t="shared" si="18"/>
        <v>347</v>
      </c>
    </row>
    <row r="134" spans="4:12" ht="16.5" x14ac:dyDescent="0.3">
      <c r="D134" s="184" t="s">
        <v>602</v>
      </c>
      <c r="E134" s="182">
        <v>172</v>
      </c>
      <c r="F134" s="178">
        <v>254</v>
      </c>
      <c r="G134" s="601">
        <v>178</v>
      </c>
      <c r="H134" s="601">
        <v>214</v>
      </c>
      <c r="I134" s="601">
        <v>44</v>
      </c>
      <c r="J134" s="601">
        <v>86</v>
      </c>
      <c r="K134" s="47">
        <f t="shared" si="17"/>
        <v>394</v>
      </c>
      <c r="L134" s="47">
        <f t="shared" si="18"/>
        <v>554</v>
      </c>
    </row>
    <row r="135" spans="4:12" ht="17.25" thickBot="1" x14ac:dyDescent="0.35">
      <c r="D135" s="613" t="s">
        <v>384</v>
      </c>
      <c r="E135" s="182">
        <v>195</v>
      </c>
      <c r="F135" s="178">
        <v>180</v>
      </c>
      <c r="G135" s="601">
        <v>117</v>
      </c>
      <c r="H135" s="601">
        <v>142</v>
      </c>
      <c r="I135" s="601">
        <v>19</v>
      </c>
      <c r="J135" s="601">
        <v>55</v>
      </c>
      <c r="K135" s="47">
        <f t="shared" si="17"/>
        <v>331</v>
      </c>
      <c r="L135" s="47">
        <f t="shared" si="18"/>
        <v>377</v>
      </c>
    </row>
    <row r="136" spans="4:12" ht="17.25" thickBot="1" x14ac:dyDescent="0.35">
      <c r="D136" s="326" t="s">
        <v>164</v>
      </c>
      <c r="E136" s="179">
        <f>SUM(E128:E135)</f>
        <v>1759</v>
      </c>
      <c r="F136" s="463">
        <f t="shared" ref="F136:L136" si="19">SUM(F128:F135)</f>
        <v>1660</v>
      </c>
      <c r="G136" s="179">
        <f t="shared" si="19"/>
        <v>1103</v>
      </c>
      <c r="H136" s="463">
        <f t="shared" si="19"/>
        <v>1101</v>
      </c>
      <c r="I136" s="179">
        <f t="shared" si="19"/>
        <v>222</v>
      </c>
      <c r="J136" s="463">
        <f t="shared" si="19"/>
        <v>464</v>
      </c>
      <c r="K136" s="179">
        <f t="shared" si="19"/>
        <v>3084</v>
      </c>
      <c r="L136" s="179">
        <f t="shared" si="19"/>
        <v>3225</v>
      </c>
    </row>
    <row r="139" spans="4:12" ht="15.75" thickBot="1" x14ac:dyDescent="0.3"/>
    <row r="140" spans="4:12" ht="29.25" thickBot="1" x14ac:dyDescent="0.3">
      <c r="D140" s="214" t="s">
        <v>319</v>
      </c>
      <c r="E140" s="617" t="s">
        <v>150</v>
      </c>
      <c r="F140" s="617" t="s">
        <v>300</v>
      </c>
      <c r="G140" s="617" t="s">
        <v>149</v>
      </c>
      <c r="H140" s="617" t="s">
        <v>358</v>
      </c>
    </row>
    <row r="141" spans="4:12" ht="16.5" x14ac:dyDescent="0.3">
      <c r="D141" s="615">
        <v>2025</v>
      </c>
      <c r="E141" s="399">
        <f>E136</f>
        <v>1759</v>
      </c>
      <c r="F141" s="616">
        <f>G136</f>
        <v>1103</v>
      </c>
      <c r="G141" s="616">
        <f>I136</f>
        <v>222</v>
      </c>
      <c r="H141" s="399">
        <f>SUM(E141:G141)</f>
        <v>3084</v>
      </c>
    </row>
    <row r="142" spans="4:12" ht="17.25" thickBot="1" x14ac:dyDescent="0.35">
      <c r="D142" s="560">
        <v>2026</v>
      </c>
      <c r="E142" s="403">
        <f>F136</f>
        <v>1660</v>
      </c>
      <c r="F142" s="403">
        <f>H136</f>
        <v>1101</v>
      </c>
      <c r="G142" s="403">
        <f>J136</f>
        <v>464</v>
      </c>
      <c r="H142" s="403">
        <f>SUM(E142:G142)</f>
        <v>3225</v>
      </c>
      <c r="I142">
        <f>H142-H141</f>
        <v>141</v>
      </c>
    </row>
    <row r="143" spans="4:12" ht="17.25" thickBot="1" x14ac:dyDescent="0.35">
      <c r="D143" s="561" t="s">
        <v>459</v>
      </c>
      <c r="E143" s="592">
        <f>(E142/E141)-100%</f>
        <v>-5.6281978396816368E-2</v>
      </c>
      <c r="F143" s="592">
        <f>(F142/F141)-100%</f>
        <v>-1.8132366273798661E-3</v>
      </c>
      <c r="G143" s="592">
        <f>(G142/G141)-100%</f>
        <v>1.0900900900900901</v>
      </c>
      <c r="H143" s="592">
        <f>(H142/H141)-100%</f>
        <v>4.5719844357976713E-2</v>
      </c>
    </row>
    <row r="146" spans="5:8" x14ac:dyDescent="0.25">
      <c r="E146" s="108"/>
      <c r="F146" s="108"/>
      <c r="G146">
        <f>G142-G141</f>
        <v>242</v>
      </c>
      <c r="H146" s="108"/>
    </row>
  </sheetData>
  <mergeCells count="21">
    <mergeCell ref="D126:D127"/>
    <mergeCell ref="E126:F126"/>
    <mergeCell ref="G126:H126"/>
    <mergeCell ref="I126:J126"/>
    <mergeCell ref="K126:L126"/>
    <mergeCell ref="D9:I9"/>
    <mergeCell ref="D26:H26"/>
    <mergeCell ref="D39:D40"/>
    <mergeCell ref="E39:F39"/>
    <mergeCell ref="G39:H39"/>
    <mergeCell ref="I39:J39"/>
    <mergeCell ref="L18:L19"/>
    <mergeCell ref="O18:P18"/>
    <mergeCell ref="Q18:R18"/>
    <mergeCell ref="K39:L39"/>
    <mergeCell ref="E59:G59"/>
    <mergeCell ref="S18:T18"/>
    <mergeCell ref="U18:V18"/>
    <mergeCell ref="W18:X18"/>
    <mergeCell ref="Y18:Y19"/>
    <mergeCell ref="M18:N18"/>
  </mergeCells>
  <phoneticPr fontId="19" type="noConversion"/>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9E18-45A9-453A-B824-65CB56304A79}">
  <sheetPr>
    <tabColor rgb="FFFFFF00"/>
  </sheetPr>
  <dimension ref="E5:BS44"/>
  <sheetViews>
    <sheetView topLeftCell="A21" workbookViewId="0">
      <selection activeCell="H40" sqref="H40"/>
    </sheetView>
  </sheetViews>
  <sheetFormatPr baseColWidth="10" defaultRowHeight="15" x14ac:dyDescent="0.25"/>
  <cols>
    <col min="5" max="5" width="14.42578125" customWidth="1"/>
    <col min="6" max="6" width="22.42578125" customWidth="1"/>
    <col min="7" max="7" width="10" customWidth="1"/>
    <col min="8" max="8" width="9.85546875" customWidth="1"/>
    <col min="9" max="9" width="7.140625" customWidth="1"/>
    <col min="10" max="10" width="12.28515625" customWidth="1"/>
    <col min="11" max="11" width="9" hidden="1" customWidth="1"/>
    <col min="12" max="12" width="10.140625" hidden="1" customWidth="1"/>
    <col min="13" max="13" width="7.140625" customWidth="1"/>
    <col min="14" max="14" width="6.42578125" customWidth="1"/>
    <col min="15" max="18" width="7.5703125" customWidth="1"/>
    <col min="19" max="22" width="7.42578125" customWidth="1"/>
    <col min="23" max="23" width="8.42578125" customWidth="1"/>
    <col min="24" max="24" width="8" bestFit="1" customWidth="1"/>
    <col min="27" max="27" width="13.28515625" bestFit="1" customWidth="1"/>
    <col min="28" max="28" width="23.5703125" customWidth="1"/>
    <col min="29" max="29" width="10.28515625" customWidth="1"/>
    <col min="30" max="36" width="10.7109375" customWidth="1"/>
    <col min="37" max="37" width="10.140625" customWidth="1"/>
    <col min="38" max="49" width="8.7109375" customWidth="1"/>
    <col min="53" max="53" width="20.42578125" bestFit="1" customWidth="1"/>
  </cols>
  <sheetData>
    <row r="5" spans="5:71" ht="15.75" thickBot="1" x14ac:dyDescent="0.3"/>
    <row r="6" spans="5:71" ht="16.5" thickBot="1" x14ac:dyDescent="0.3">
      <c r="E6" s="754" t="s">
        <v>194</v>
      </c>
      <c r="F6" s="755"/>
      <c r="G6" s="755"/>
      <c r="H6" s="755"/>
      <c r="I6" s="755"/>
      <c r="J6" s="755"/>
      <c r="K6" s="755"/>
      <c r="L6" s="755"/>
      <c r="M6" s="755"/>
      <c r="N6" s="755"/>
      <c r="O6" s="755"/>
      <c r="P6" s="755"/>
      <c r="Q6" s="755"/>
      <c r="R6" s="755"/>
      <c r="S6" s="755"/>
      <c r="T6" s="755"/>
      <c r="U6" s="755"/>
      <c r="V6" s="755"/>
      <c r="W6" s="755"/>
      <c r="X6" s="756"/>
      <c r="AA6" s="746" t="s">
        <v>194</v>
      </c>
      <c r="AB6" s="747"/>
      <c r="AC6" s="747"/>
      <c r="AD6" s="747"/>
      <c r="AE6" s="747"/>
      <c r="AF6" s="747"/>
      <c r="AG6" s="747"/>
      <c r="AH6" s="747"/>
      <c r="AI6" s="747"/>
      <c r="AJ6" s="747"/>
      <c r="AK6" s="747"/>
      <c r="AL6" s="747"/>
      <c r="AM6" s="747"/>
      <c r="AN6" s="747"/>
      <c r="AO6" s="747"/>
      <c r="AP6" s="747"/>
      <c r="AQ6" s="747"/>
      <c r="AR6" s="747"/>
      <c r="AS6" s="747"/>
      <c r="AT6" s="747"/>
      <c r="AU6" s="747"/>
      <c r="AV6" s="748"/>
      <c r="AW6" s="210"/>
      <c r="AZ6" s="749" t="s">
        <v>322</v>
      </c>
      <c r="BA6" s="750"/>
      <c r="BB6" s="750"/>
      <c r="BC6" s="750"/>
      <c r="BD6" s="750"/>
      <c r="BE6" s="750"/>
      <c r="BF6" s="750"/>
      <c r="BG6" s="750"/>
      <c r="BH6" s="750"/>
      <c r="BI6" s="750"/>
      <c r="BJ6" s="750"/>
      <c r="BK6" s="750"/>
      <c r="BL6" s="750"/>
      <c r="BM6" s="750"/>
      <c r="BN6" s="750"/>
      <c r="BO6" s="750"/>
      <c r="BP6" s="210"/>
      <c r="BQ6" s="210"/>
    </row>
    <row r="7" spans="5:71" ht="16.5" thickBot="1" x14ac:dyDescent="0.3">
      <c r="E7" s="97" t="s">
        <v>195</v>
      </c>
      <c r="F7" s="98" t="s">
        <v>196</v>
      </c>
      <c r="G7" s="99">
        <v>45261</v>
      </c>
      <c r="H7" s="99">
        <v>45292</v>
      </c>
      <c r="I7" s="99">
        <v>45323</v>
      </c>
      <c r="J7" s="99">
        <v>45352</v>
      </c>
      <c r="K7" s="99">
        <v>45383</v>
      </c>
      <c r="L7" s="99">
        <v>45413</v>
      </c>
      <c r="M7" s="99">
        <v>45444</v>
      </c>
      <c r="N7" s="99">
        <v>45474</v>
      </c>
      <c r="O7" s="99">
        <v>45505</v>
      </c>
      <c r="P7" s="99">
        <v>45536</v>
      </c>
      <c r="Q7" s="99">
        <v>45566</v>
      </c>
      <c r="R7" s="99">
        <v>45597</v>
      </c>
      <c r="S7" s="99">
        <v>45627</v>
      </c>
      <c r="T7" s="99">
        <v>45658</v>
      </c>
      <c r="U7" s="99">
        <v>45689</v>
      </c>
      <c r="V7" s="99">
        <v>45717</v>
      </c>
      <c r="W7" s="99">
        <v>45748</v>
      </c>
      <c r="X7" s="99">
        <v>45778</v>
      </c>
      <c r="AA7" s="166" t="s">
        <v>195</v>
      </c>
      <c r="AB7" s="167" t="s">
        <v>196</v>
      </c>
      <c r="AC7" s="196">
        <v>45658</v>
      </c>
      <c r="AD7" s="196">
        <v>46023</v>
      </c>
      <c r="AE7" s="168">
        <v>45689</v>
      </c>
      <c r="AF7" s="168">
        <v>46054</v>
      </c>
      <c r="AG7" s="168">
        <v>45717</v>
      </c>
      <c r="AH7" s="168">
        <v>46082</v>
      </c>
      <c r="AI7" s="168">
        <v>45748</v>
      </c>
      <c r="AJ7" s="168">
        <v>46113</v>
      </c>
      <c r="AK7" s="168">
        <v>45778</v>
      </c>
      <c r="AL7" s="168">
        <v>46143</v>
      </c>
      <c r="AM7" s="168">
        <v>45809</v>
      </c>
      <c r="AN7" s="168">
        <v>46174</v>
      </c>
      <c r="AO7" s="168">
        <v>45444</v>
      </c>
      <c r="AP7" s="168">
        <v>45809</v>
      </c>
      <c r="AQ7" s="168">
        <v>45474</v>
      </c>
      <c r="AR7" s="168">
        <v>45839</v>
      </c>
      <c r="AS7" s="168">
        <v>45505</v>
      </c>
      <c r="AT7" s="168">
        <v>45870</v>
      </c>
      <c r="AU7" s="168">
        <v>45536</v>
      </c>
      <c r="AV7" s="168">
        <v>45901</v>
      </c>
      <c r="AW7" s="211"/>
      <c r="AZ7" s="740" t="s">
        <v>319</v>
      </c>
      <c r="BA7" s="745"/>
      <c r="BB7" s="196">
        <v>45658</v>
      </c>
      <c r="BC7" s="196">
        <v>46023</v>
      </c>
      <c r="BD7" s="168">
        <v>45689</v>
      </c>
      <c r="BE7" s="168">
        <v>46054</v>
      </c>
      <c r="BF7" s="168">
        <v>45717</v>
      </c>
      <c r="BG7" s="168">
        <v>46082</v>
      </c>
      <c r="BH7" s="168">
        <v>45748</v>
      </c>
      <c r="BI7" s="168">
        <v>46113</v>
      </c>
      <c r="BJ7" s="168">
        <v>45778</v>
      </c>
      <c r="BK7" s="168">
        <v>46143</v>
      </c>
      <c r="BL7" s="168">
        <v>45809</v>
      </c>
      <c r="BM7" s="168">
        <v>46174</v>
      </c>
      <c r="BN7" s="168">
        <v>45474</v>
      </c>
      <c r="BO7" s="168">
        <v>45839</v>
      </c>
      <c r="BP7" s="168">
        <v>45505</v>
      </c>
      <c r="BQ7" s="168">
        <v>45870</v>
      </c>
      <c r="BR7" s="168">
        <v>45536</v>
      </c>
      <c r="BS7" s="168">
        <v>45901</v>
      </c>
    </row>
    <row r="8" spans="5:71" ht="17.25" thickBot="1" x14ac:dyDescent="0.35">
      <c r="E8" s="751" t="s">
        <v>147</v>
      </c>
      <c r="F8" s="100" t="s">
        <v>197</v>
      </c>
      <c r="G8" s="101">
        <v>10.172000000000001</v>
      </c>
      <c r="H8" s="101">
        <v>9.8409999999999993</v>
      </c>
      <c r="I8" s="101">
        <v>7.2960000000000003</v>
      </c>
      <c r="J8" s="101">
        <v>9.8620000000000001</v>
      </c>
      <c r="K8" s="101">
        <v>10.045999999999999</v>
      </c>
      <c r="L8" s="101">
        <v>7.49</v>
      </c>
      <c r="M8" s="101">
        <v>7.4550000000000001</v>
      </c>
      <c r="N8" s="101">
        <v>6.8029999999999999</v>
      </c>
      <c r="O8" s="101">
        <v>5.8869999999999996</v>
      </c>
      <c r="P8" s="101">
        <v>9.7560000000000002</v>
      </c>
      <c r="Q8" s="101">
        <v>10.661</v>
      </c>
      <c r="R8" s="101">
        <v>10.071999999999999</v>
      </c>
      <c r="S8" s="101">
        <v>6.8470000000000004</v>
      </c>
      <c r="T8" s="101">
        <v>5.8460000000000001</v>
      </c>
      <c r="U8" s="101">
        <v>6.3849999999999998</v>
      </c>
      <c r="V8" s="101">
        <v>6.6479999999999997</v>
      </c>
      <c r="W8" s="101">
        <v>10.064</v>
      </c>
      <c r="X8" s="101">
        <v>9.57</v>
      </c>
      <c r="AA8" s="742" t="s">
        <v>147</v>
      </c>
      <c r="AB8" s="169" t="s">
        <v>197</v>
      </c>
      <c r="AC8" s="193">
        <v>5.8460000000000001</v>
      </c>
      <c r="AD8" s="193">
        <v>5.7789999999999999</v>
      </c>
      <c r="AE8" s="170">
        <v>6.3849999999999998</v>
      </c>
      <c r="AF8" s="193">
        <v>6.1630000000000003</v>
      </c>
      <c r="AG8" s="170">
        <v>6.6479999999999997</v>
      </c>
      <c r="AH8" s="193">
        <v>8.6370000000000005</v>
      </c>
      <c r="AI8" s="170">
        <v>10.064</v>
      </c>
      <c r="AJ8" s="193">
        <v>9.81</v>
      </c>
      <c r="AK8" s="193">
        <v>9.57</v>
      </c>
      <c r="AL8" s="193">
        <v>9.7929999999999993</v>
      </c>
      <c r="AM8" s="193">
        <v>10.061</v>
      </c>
      <c r="AN8" s="193">
        <v>12.99</v>
      </c>
      <c r="AO8" s="193"/>
      <c r="AP8" s="193"/>
      <c r="AQ8" s="193"/>
      <c r="AR8" s="193"/>
      <c r="AS8" s="193"/>
      <c r="AT8" s="193"/>
      <c r="AU8" s="193"/>
      <c r="AV8" s="193"/>
      <c r="AW8" s="212"/>
      <c r="AZ8" s="740" t="s">
        <v>321</v>
      </c>
      <c r="BA8" s="745"/>
      <c r="BB8" s="199">
        <v>10.93</v>
      </c>
      <c r="BC8" s="199">
        <v>10.93</v>
      </c>
      <c r="BD8" s="199">
        <v>14.18</v>
      </c>
      <c r="BE8" s="199">
        <v>12.15</v>
      </c>
      <c r="BF8" s="199">
        <v>11.81</v>
      </c>
      <c r="BG8" s="199">
        <v>13.12</v>
      </c>
      <c r="BH8" s="199">
        <v>16.086936363636365</v>
      </c>
      <c r="BI8" s="199">
        <v>15.504545454545456</v>
      </c>
      <c r="BJ8" s="199">
        <v>13.657818181818181</v>
      </c>
      <c r="BK8" s="199">
        <v>15.790699999999998</v>
      </c>
      <c r="BL8" s="199">
        <v>14.928272727272725</v>
      </c>
      <c r="BM8" s="199">
        <v>16.888000000000002</v>
      </c>
      <c r="BN8" s="199"/>
      <c r="BO8" s="199"/>
      <c r="BP8" s="199"/>
      <c r="BQ8" s="199"/>
      <c r="BR8" s="199"/>
      <c r="BS8" s="199"/>
    </row>
    <row r="9" spans="5:71" ht="16.5" x14ac:dyDescent="0.3">
      <c r="E9" s="752"/>
      <c r="F9" s="102" t="s">
        <v>198</v>
      </c>
      <c r="G9" s="103">
        <v>11.896000000000001</v>
      </c>
      <c r="H9" s="103">
        <v>9.4019999999999992</v>
      </c>
      <c r="I9" s="103">
        <v>6.9290000000000003</v>
      </c>
      <c r="J9" s="103">
        <v>11.787000000000001</v>
      </c>
      <c r="K9" s="103">
        <v>10.826000000000001</v>
      </c>
      <c r="L9" s="103">
        <v>6.5430000000000001</v>
      </c>
      <c r="M9" s="103">
        <v>7.94</v>
      </c>
      <c r="N9" s="103">
        <v>6.444</v>
      </c>
      <c r="O9" s="103">
        <v>5.25</v>
      </c>
      <c r="P9" s="103">
        <v>3.9470000000000001</v>
      </c>
      <c r="Q9" s="103">
        <v>7.9409999999999998</v>
      </c>
      <c r="R9" s="103">
        <v>12.14</v>
      </c>
      <c r="S9" s="103">
        <v>5.4720000000000004</v>
      </c>
      <c r="T9" s="103">
        <v>5.1639999999999997</v>
      </c>
      <c r="U9" s="103">
        <v>5.9260000000000002</v>
      </c>
      <c r="V9" s="103">
        <v>6.266</v>
      </c>
      <c r="W9" s="103">
        <v>8.484</v>
      </c>
      <c r="X9" s="103">
        <v>9.7629999999999999</v>
      </c>
      <c r="AA9" s="744"/>
      <c r="AB9" s="171" t="s">
        <v>198</v>
      </c>
      <c r="AC9" s="194">
        <v>5.1639999999999997</v>
      </c>
      <c r="AD9" s="194">
        <v>5.327</v>
      </c>
      <c r="AE9" s="172">
        <v>5.9260000000000002</v>
      </c>
      <c r="AF9" s="194">
        <v>6.1769999999999996</v>
      </c>
      <c r="AG9" s="172">
        <v>6.266</v>
      </c>
      <c r="AH9" s="194">
        <v>7.4790000000000001</v>
      </c>
      <c r="AI9" s="172">
        <v>8.484</v>
      </c>
      <c r="AJ9" s="194">
        <v>9.8320000000000007</v>
      </c>
      <c r="AK9" s="194">
        <v>9.7629999999999999</v>
      </c>
      <c r="AL9" s="194">
        <v>5.4640000000000004</v>
      </c>
      <c r="AM9" s="194">
        <v>12.746</v>
      </c>
      <c r="AN9" s="194">
        <v>9.2919999999999998</v>
      </c>
      <c r="AO9" s="194"/>
      <c r="AP9" s="194"/>
      <c r="AQ9" s="194"/>
      <c r="AR9" s="194"/>
      <c r="AS9" s="194"/>
      <c r="AT9" s="194"/>
      <c r="AU9" s="194"/>
      <c r="AV9" s="194"/>
      <c r="AW9" s="212"/>
    </row>
    <row r="10" spans="5:71" ht="17.25" thickBot="1" x14ac:dyDescent="0.35">
      <c r="E10" s="753"/>
      <c r="F10" s="104" t="s">
        <v>199</v>
      </c>
      <c r="G10" s="105">
        <v>16.407</v>
      </c>
      <c r="H10" s="105">
        <v>15.195</v>
      </c>
      <c r="I10" s="105">
        <v>13.737</v>
      </c>
      <c r="J10" s="105">
        <v>13.494999999999999</v>
      </c>
      <c r="K10" s="105">
        <v>16.891999999999999</v>
      </c>
      <c r="L10" s="105">
        <v>11.353999999999999</v>
      </c>
      <c r="M10" s="105">
        <v>12.061</v>
      </c>
      <c r="N10" s="105">
        <v>12.285</v>
      </c>
      <c r="O10" s="105">
        <v>11.413</v>
      </c>
      <c r="P10" s="105">
        <v>14.565</v>
      </c>
      <c r="Q10" s="105">
        <v>15.689</v>
      </c>
      <c r="R10" s="105">
        <v>15.904999999999999</v>
      </c>
      <c r="S10" s="105">
        <v>14.17</v>
      </c>
      <c r="T10" s="105">
        <v>9.1790000000000003</v>
      </c>
      <c r="U10" s="105">
        <v>9.2010000000000005</v>
      </c>
      <c r="V10" s="105">
        <v>11.141999999999999</v>
      </c>
      <c r="W10" s="105">
        <v>15.590999999999999</v>
      </c>
      <c r="X10" s="105">
        <v>16.027000000000001</v>
      </c>
      <c r="AA10" s="743"/>
      <c r="AB10" s="173" t="s">
        <v>199</v>
      </c>
      <c r="AC10" s="195">
        <v>9.1790000000000003</v>
      </c>
      <c r="AD10" s="195">
        <v>12.445</v>
      </c>
      <c r="AE10" s="174">
        <v>9.2010000000000005</v>
      </c>
      <c r="AF10" s="195">
        <v>14.539</v>
      </c>
      <c r="AG10" s="174">
        <v>11.141999999999999</v>
      </c>
      <c r="AH10" s="195">
        <v>15.726000000000001</v>
      </c>
      <c r="AI10" s="174">
        <v>15.590999999999999</v>
      </c>
      <c r="AJ10" s="195">
        <v>14.881</v>
      </c>
      <c r="AK10" s="195">
        <v>16.027000000000001</v>
      </c>
      <c r="AL10" s="195">
        <v>14.028</v>
      </c>
      <c r="AM10" s="195">
        <v>16.913</v>
      </c>
      <c r="AN10" s="195">
        <v>17.829999999999998</v>
      </c>
      <c r="AO10" s="195"/>
      <c r="AP10" s="195"/>
      <c r="AQ10" s="195"/>
      <c r="AR10" s="195"/>
      <c r="AS10" s="195"/>
      <c r="AT10" s="195"/>
      <c r="AU10" s="195"/>
      <c r="AV10" s="195"/>
      <c r="AW10" s="212"/>
    </row>
    <row r="11" spans="5:71" ht="16.5" x14ac:dyDescent="0.3">
      <c r="E11" s="751" t="s">
        <v>200</v>
      </c>
      <c r="F11" s="100" t="s">
        <v>197</v>
      </c>
      <c r="G11" s="101">
        <v>8.2469999999999999</v>
      </c>
      <c r="H11" s="101">
        <v>12.884</v>
      </c>
      <c r="I11" s="101">
        <v>8.43</v>
      </c>
      <c r="J11" s="101">
        <v>0</v>
      </c>
      <c r="K11" s="101">
        <v>14.917</v>
      </c>
      <c r="L11" s="101">
        <v>7.4429999999999996</v>
      </c>
      <c r="M11" s="101">
        <v>6.73</v>
      </c>
      <c r="N11" s="101">
        <v>6.726</v>
      </c>
      <c r="O11" s="101">
        <v>9.26</v>
      </c>
      <c r="P11" s="101">
        <v>6.0709999999999997</v>
      </c>
      <c r="Q11" s="101">
        <v>22.716999999999999</v>
      </c>
      <c r="R11" s="101">
        <v>7.0060000000000002</v>
      </c>
      <c r="S11" s="101">
        <v>4.9009999999999998</v>
      </c>
      <c r="T11" s="101">
        <v>13.587999999999999</v>
      </c>
      <c r="U11" s="101">
        <v>9.5419999999999998</v>
      </c>
      <c r="V11" s="101">
        <v>9.7929999999999993</v>
      </c>
      <c r="W11" s="101">
        <v>13.465</v>
      </c>
      <c r="X11" s="101">
        <v>8.7560000000000002</v>
      </c>
      <c r="AA11" s="742" t="s">
        <v>200</v>
      </c>
      <c r="AB11" s="169" t="s">
        <v>197</v>
      </c>
      <c r="AC11" s="193">
        <v>13.587999999999999</v>
      </c>
      <c r="AD11" s="193">
        <v>7.8170000000000002</v>
      </c>
      <c r="AE11" s="170">
        <v>9.5419999999999998</v>
      </c>
      <c r="AF11" s="193">
        <v>8.5470000000000006</v>
      </c>
      <c r="AG11" s="170">
        <v>9.7929999999999993</v>
      </c>
      <c r="AH11" s="193">
        <v>11.098000000000001</v>
      </c>
      <c r="AI11" s="170">
        <v>13.465</v>
      </c>
      <c r="AJ11" s="193">
        <v>11.433</v>
      </c>
      <c r="AK11" s="193">
        <v>8.7560000000000002</v>
      </c>
      <c r="AL11" s="193">
        <v>14.420999999999999</v>
      </c>
      <c r="AM11" s="193">
        <v>6.6909999999999998</v>
      </c>
      <c r="AN11" s="193">
        <v>14.420999999999999</v>
      </c>
      <c r="AO11" s="193"/>
      <c r="AP11" s="193"/>
      <c r="AQ11" s="193"/>
      <c r="AR11" s="193"/>
      <c r="AS11" s="193"/>
      <c r="AT11" s="193"/>
      <c r="AU11" s="193"/>
      <c r="AV11" s="193"/>
      <c r="AW11" s="212"/>
    </row>
    <row r="12" spans="5:71" ht="16.5" x14ac:dyDescent="0.3">
      <c r="E12" s="752"/>
      <c r="F12" s="102" t="s">
        <v>198</v>
      </c>
      <c r="G12" s="103">
        <v>21.065999999999999</v>
      </c>
      <c r="H12" s="103">
        <v>18.170000000000002</v>
      </c>
      <c r="I12" s="103">
        <v>19.638999999999999</v>
      </c>
      <c r="J12" s="103">
        <v>21.529</v>
      </c>
      <c r="K12" s="103">
        <v>19.956</v>
      </c>
      <c r="L12" s="103">
        <v>14.768000000000001</v>
      </c>
      <c r="M12" s="103">
        <v>16.721</v>
      </c>
      <c r="N12" s="103">
        <v>13.311</v>
      </c>
      <c r="O12" s="103">
        <v>14.007</v>
      </c>
      <c r="P12" s="103">
        <v>17.027000000000001</v>
      </c>
      <c r="Q12" s="103">
        <v>17.414000000000001</v>
      </c>
      <c r="R12" s="103">
        <v>13.802</v>
      </c>
      <c r="S12" s="103">
        <v>13.525</v>
      </c>
      <c r="T12" s="103">
        <v>19.344999999999999</v>
      </c>
      <c r="U12" s="103">
        <v>11.646000000000001</v>
      </c>
      <c r="V12" s="103">
        <v>16.274000000000001</v>
      </c>
      <c r="W12" s="103">
        <v>19.183</v>
      </c>
      <c r="X12" s="103">
        <v>8.8520000000000003</v>
      </c>
      <c r="AA12" s="744"/>
      <c r="AB12" s="171" t="s">
        <v>198</v>
      </c>
      <c r="AC12" s="194">
        <v>19.344999999999999</v>
      </c>
      <c r="AD12" s="194">
        <v>9.9879999999999995</v>
      </c>
      <c r="AE12" s="172">
        <v>11.646000000000001</v>
      </c>
      <c r="AF12" s="194">
        <v>9.7929999999999993</v>
      </c>
      <c r="AG12" s="172">
        <v>16.274000000000001</v>
      </c>
      <c r="AH12" s="194">
        <v>15.768000000000001</v>
      </c>
      <c r="AI12" s="172">
        <v>19.183</v>
      </c>
      <c r="AJ12" s="194">
        <v>17.712</v>
      </c>
      <c r="AK12" s="194">
        <v>8.8520000000000003</v>
      </c>
      <c r="AL12" s="194">
        <v>27.513999999999999</v>
      </c>
      <c r="AM12" s="194">
        <v>10.869</v>
      </c>
      <c r="AN12" s="194">
        <v>26.436</v>
      </c>
      <c r="AO12" s="194"/>
      <c r="AP12" s="194"/>
      <c r="AQ12" s="194"/>
      <c r="AR12" s="194"/>
      <c r="AS12" s="194"/>
      <c r="AT12" s="194"/>
      <c r="AU12" s="194"/>
      <c r="AV12" s="194"/>
      <c r="AW12" s="212"/>
    </row>
    <row r="13" spans="5:71" s="86" customFormat="1" ht="17.25" thickBot="1" x14ac:dyDescent="0.35">
      <c r="E13" s="753"/>
      <c r="F13" s="149" t="s">
        <v>199</v>
      </c>
      <c r="G13" s="150">
        <v>23.832000000000001</v>
      </c>
      <c r="H13" s="150">
        <v>16.899000000000001</v>
      </c>
      <c r="I13" s="150">
        <v>18.405999999999999</v>
      </c>
      <c r="J13" s="150">
        <v>24.725000000000001</v>
      </c>
      <c r="K13" s="150">
        <v>31.27</v>
      </c>
      <c r="L13" s="150">
        <v>19.128</v>
      </c>
      <c r="M13" s="151">
        <v>14.646000000000001</v>
      </c>
      <c r="N13" s="151">
        <v>11.411</v>
      </c>
      <c r="O13" s="151">
        <v>14.028</v>
      </c>
      <c r="P13" s="151">
        <v>28.5</v>
      </c>
      <c r="Q13" s="151">
        <v>10.84</v>
      </c>
      <c r="R13" s="151">
        <v>16.951000000000001</v>
      </c>
      <c r="S13" s="151">
        <v>17.442</v>
      </c>
      <c r="T13" s="151">
        <v>14.965</v>
      </c>
      <c r="U13" s="151">
        <v>19.645</v>
      </c>
      <c r="V13" s="151">
        <v>18.193000000000001</v>
      </c>
      <c r="W13" s="151">
        <v>17.163</v>
      </c>
      <c r="X13" s="151">
        <v>16.472000000000001</v>
      </c>
      <c r="AA13" s="743"/>
      <c r="AB13" s="173" t="s">
        <v>199</v>
      </c>
      <c r="AC13" s="195">
        <v>14.965</v>
      </c>
      <c r="AD13" s="195">
        <v>11.933</v>
      </c>
      <c r="AE13" s="175">
        <v>19.645</v>
      </c>
      <c r="AF13" s="195">
        <v>9.7690000000000001</v>
      </c>
      <c r="AG13" s="175">
        <v>18.193000000000001</v>
      </c>
      <c r="AH13" s="195">
        <v>16.753</v>
      </c>
      <c r="AI13" s="175">
        <v>17.163</v>
      </c>
      <c r="AJ13" s="195">
        <v>11.731999999999999</v>
      </c>
      <c r="AK13" s="195">
        <v>16.472000000000001</v>
      </c>
      <c r="AL13" s="195"/>
      <c r="AM13" s="195">
        <v>14.768000000000001</v>
      </c>
      <c r="AN13" s="195">
        <v>26.556999999999999</v>
      </c>
      <c r="AO13" s="195"/>
      <c r="AP13" s="195"/>
      <c r="AQ13" s="195"/>
      <c r="AR13" s="195"/>
      <c r="AS13" s="195"/>
      <c r="AT13" s="195"/>
      <c r="AU13" s="195"/>
      <c r="AV13" s="195"/>
      <c r="AW13" s="212"/>
      <c r="AZ13"/>
      <c r="BA13"/>
      <c r="BB13"/>
      <c r="BC13"/>
      <c r="BD13"/>
      <c r="BE13"/>
      <c r="BF13"/>
      <c r="BG13"/>
    </row>
    <row r="14" spans="5:71" ht="16.5" x14ac:dyDescent="0.3">
      <c r="E14" s="751" t="s">
        <v>201</v>
      </c>
      <c r="F14" s="100" t="s">
        <v>197</v>
      </c>
      <c r="G14" s="101">
        <v>8.3810000000000002</v>
      </c>
      <c r="H14" s="101">
        <v>10.281000000000001</v>
      </c>
      <c r="I14" s="101">
        <v>9.5239999999999991</v>
      </c>
      <c r="J14" s="101">
        <v>13.942</v>
      </c>
      <c r="K14" s="101">
        <v>16.311</v>
      </c>
      <c r="L14" s="101">
        <v>8.4429999999999996</v>
      </c>
      <c r="M14" s="101">
        <v>6.7679999999999998</v>
      </c>
      <c r="N14" s="101">
        <v>8.3529999999999998</v>
      </c>
      <c r="O14" s="101">
        <v>7.9249999999999998</v>
      </c>
      <c r="P14" s="101">
        <v>9.3469999999999995</v>
      </c>
      <c r="Q14" s="101">
        <v>10.542</v>
      </c>
      <c r="R14" s="101">
        <v>9.5020000000000007</v>
      </c>
      <c r="S14" s="101">
        <v>8.4459999999999997</v>
      </c>
      <c r="T14" s="101">
        <v>7.5389999999999997</v>
      </c>
      <c r="U14" s="101">
        <v>9.5719999999999992</v>
      </c>
      <c r="V14" s="101">
        <v>9.8390000000000004</v>
      </c>
      <c r="W14" s="101">
        <v>13.946999999999999</v>
      </c>
      <c r="X14" s="101">
        <v>10.162000000000001</v>
      </c>
      <c r="AA14" s="742" t="s">
        <v>201</v>
      </c>
      <c r="AB14" s="169" t="s">
        <v>197</v>
      </c>
      <c r="AC14" s="193">
        <v>7.5389999999999997</v>
      </c>
      <c r="AD14" s="193">
        <v>7.5919999999999996</v>
      </c>
      <c r="AE14" s="170">
        <v>9.5719999999999992</v>
      </c>
      <c r="AF14" s="193">
        <v>7.1440000000000001</v>
      </c>
      <c r="AG14" s="170">
        <v>9.8390000000000004</v>
      </c>
      <c r="AH14" s="193">
        <v>7.2210000000000001</v>
      </c>
      <c r="AI14" s="170">
        <v>13.946999999999999</v>
      </c>
      <c r="AJ14" s="193">
        <v>10.08</v>
      </c>
      <c r="AK14" s="193">
        <v>10.162000000000001</v>
      </c>
      <c r="AL14" s="193">
        <v>13.867000000000001</v>
      </c>
      <c r="AM14" s="193">
        <v>6.9530000000000003</v>
      </c>
      <c r="AN14" s="193">
        <v>15.733000000000001</v>
      </c>
      <c r="AO14" s="193"/>
      <c r="AP14" s="193"/>
      <c r="AQ14" s="193"/>
      <c r="AR14" s="193"/>
      <c r="AS14" s="193"/>
      <c r="AT14" s="193"/>
      <c r="AU14" s="193"/>
      <c r="AV14" s="193"/>
      <c r="AW14" s="212"/>
    </row>
    <row r="15" spans="5:71" ht="17.25" thickBot="1" x14ac:dyDescent="0.35">
      <c r="E15" s="753"/>
      <c r="F15" s="104" t="s">
        <v>198</v>
      </c>
      <c r="G15" s="105">
        <v>14.693</v>
      </c>
      <c r="H15" s="105">
        <v>12.252000000000001</v>
      </c>
      <c r="I15" s="105">
        <v>10.553000000000001</v>
      </c>
      <c r="J15" s="105">
        <v>18.373000000000001</v>
      </c>
      <c r="K15" s="105">
        <v>20.228999999999999</v>
      </c>
      <c r="L15" s="105">
        <v>17.925000000000001</v>
      </c>
      <c r="M15" s="105">
        <v>11.574</v>
      </c>
      <c r="N15" s="105">
        <v>14.023</v>
      </c>
      <c r="O15" s="105">
        <v>22.045000000000002</v>
      </c>
      <c r="P15" s="105">
        <v>14.446999999999999</v>
      </c>
      <c r="Q15" s="105">
        <v>13.629</v>
      </c>
      <c r="R15" s="105">
        <v>10.624000000000001</v>
      </c>
      <c r="S15" s="105">
        <v>10.95</v>
      </c>
      <c r="T15" s="105">
        <v>17.513000000000002</v>
      </c>
      <c r="U15" s="105">
        <v>14.023</v>
      </c>
      <c r="V15" s="105">
        <v>13.302</v>
      </c>
      <c r="W15" s="105">
        <v>16.276299999999999</v>
      </c>
      <c r="X15" s="105">
        <v>8.36</v>
      </c>
      <c r="AA15" s="743"/>
      <c r="AB15" s="173" t="s">
        <v>198</v>
      </c>
      <c r="AC15" s="195">
        <v>17.513000000000002</v>
      </c>
      <c r="AD15" s="195">
        <v>13.545999999999999</v>
      </c>
      <c r="AE15" s="174">
        <v>14.023</v>
      </c>
      <c r="AF15" s="195">
        <v>13.081</v>
      </c>
      <c r="AG15" s="174">
        <v>13.302</v>
      </c>
      <c r="AH15" s="195">
        <v>13.007999999999999</v>
      </c>
      <c r="AI15" s="174">
        <v>16.276299999999999</v>
      </c>
      <c r="AJ15" s="195">
        <v>18.087</v>
      </c>
      <c r="AK15" s="195">
        <v>8.36</v>
      </c>
      <c r="AL15" s="195">
        <v>13.805</v>
      </c>
      <c r="AM15" s="195">
        <v>8.266</v>
      </c>
      <c r="AN15" s="195">
        <v>16.864000000000001</v>
      </c>
      <c r="AO15" s="195"/>
      <c r="AP15" s="195"/>
      <c r="AQ15" s="195"/>
      <c r="AR15" s="195"/>
      <c r="AS15" s="195"/>
      <c r="AT15" s="195"/>
      <c r="AU15" s="195"/>
      <c r="AV15" s="195"/>
      <c r="AW15" s="212"/>
    </row>
    <row r="16" spans="5:71" ht="16.5" x14ac:dyDescent="0.3">
      <c r="E16" s="751" t="s">
        <v>149</v>
      </c>
      <c r="F16" s="100" t="s">
        <v>197</v>
      </c>
      <c r="G16" s="101">
        <v>6.13</v>
      </c>
      <c r="H16" s="101">
        <v>14.432</v>
      </c>
      <c r="I16" s="101">
        <v>21.373000000000001</v>
      </c>
      <c r="J16" s="101">
        <v>18.5</v>
      </c>
      <c r="K16" s="101">
        <v>12.901</v>
      </c>
      <c r="L16" s="101">
        <v>16.542999999999999</v>
      </c>
      <c r="M16" s="101">
        <v>14.435</v>
      </c>
      <c r="N16" s="101">
        <v>6.6459999999999999</v>
      </c>
      <c r="O16" s="101">
        <v>12.856999999999999</v>
      </c>
      <c r="P16" s="101">
        <v>9.68</v>
      </c>
      <c r="Q16" s="101">
        <v>11.884</v>
      </c>
      <c r="R16" s="101">
        <v>11.897</v>
      </c>
      <c r="S16" s="101">
        <v>16.701000000000001</v>
      </c>
      <c r="T16" s="101">
        <v>8.8789999999999996</v>
      </c>
      <c r="U16" s="101">
        <v>16.876000000000001</v>
      </c>
      <c r="V16" s="101">
        <v>13.3</v>
      </c>
      <c r="W16" s="101">
        <v>21.5</v>
      </c>
      <c r="X16" s="101">
        <v>21.343</v>
      </c>
      <c r="AA16" s="742" t="s">
        <v>149</v>
      </c>
      <c r="AB16" s="169" t="s">
        <v>197</v>
      </c>
      <c r="AC16" s="193">
        <v>8.8789999999999996</v>
      </c>
      <c r="AD16" s="193">
        <v>18.925000000000001</v>
      </c>
      <c r="AE16" s="170">
        <v>16.876000000000001</v>
      </c>
      <c r="AF16" s="193">
        <v>20.3</v>
      </c>
      <c r="AG16" s="170">
        <v>13.3</v>
      </c>
      <c r="AH16" s="193">
        <v>18.481000000000002</v>
      </c>
      <c r="AI16" s="170">
        <v>21.5</v>
      </c>
      <c r="AJ16" s="193">
        <v>22.917000000000002</v>
      </c>
      <c r="AK16" s="193">
        <v>21.343</v>
      </c>
      <c r="AL16" s="193">
        <v>18.925000000000001</v>
      </c>
      <c r="AM16" s="193">
        <v>26.4</v>
      </c>
      <c r="AN16" s="193">
        <v>15.413</v>
      </c>
      <c r="AO16" s="193"/>
      <c r="AP16" s="193"/>
      <c r="AQ16" s="193"/>
      <c r="AR16" s="193"/>
      <c r="AS16" s="193"/>
      <c r="AT16" s="193"/>
      <c r="AU16" s="193"/>
      <c r="AV16" s="193"/>
      <c r="AW16" s="212"/>
    </row>
    <row r="17" spans="5:49" ht="16.5" x14ac:dyDescent="0.3">
      <c r="E17" s="752"/>
      <c r="F17" s="102" t="s">
        <v>198</v>
      </c>
      <c r="G17" s="103">
        <v>6.52</v>
      </c>
      <c r="H17" s="103">
        <v>14.579000000000001</v>
      </c>
      <c r="I17" s="103">
        <v>21.895</v>
      </c>
      <c r="J17" s="103">
        <v>17.622</v>
      </c>
      <c r="K17" s="103">
        <v>12.901</v>
      </c>
      <c r="L17" s="103">
        <v>16.565000000000001</v>
      </c>
      <c r="M17" s="103">
        <v>14.872999999999999</v>
      </c>
      <c r="N17" s="103">
        <v>6.4580000000000002</v>
      </c>
      <c r="O17" s="103">
        <v>12.856999999999999</v>
      </c>
      <c r="P17" s="103">
        <v>9.31</v>
      </c>
      <c r="Q17" s="103">
        <v>12.34</v>
      </c>
      <c r="R17" s="103">
        <v>12.035</v>
      </c>
      <c r="S17" s="103">
        <v>16.701000000000001</v>
      </c>
      <c r="T17" s="103">
        <v>8.92</v>
      </c>
      <c r="U17" s="103">
        <v>15</v>
      </c>
      <c r="V17" s="103">
        <v>12.8</v>
      </c>
      <c r="W17" s="103">
        <v>21</v>
      </c>
      <c r="X17" s="103">
        <v>18.3</v>
      </c>
      <c r="AA17" s="744"/>
      <c r="AB17" s="171" t="s">
        <v>198</v>
      </c>
      <c r="AC17" s="194">
        <v>8.92</v>
      </c>
      <c r="AD17" s="194">
        <v>21.481999999999999</v>
      </c>
      <c r="AE17" s="172">
        <v>15</v>
      </c>
      <c r="AF17" s="194">
        <v>18.68</v>
      </c>
      <c r="AG17" s="172">
        <v>12.8</v>
      </c>
      <c r="AH17" s="194">
        <v>15.7</v>
      </c>
      <c r="AI17" s="172">
        <v>21</v>
      </c>
      <c r="AJ17" s="194">
        <v>22.949000000000002</v>
      </c>
      <c r="AK17" s="194">
        <v>18.3</v>
      </c>
      <c r="AL17" s="194">
        <v>21.481999999999999</v>
      </c>
      <c r="AM17" s="194">
        <v>24.6</v>
      </c>
      <c r="AN17" s="194">
        <v>15.2</v>
      </c>
      <c r="AO17" s="194"/>
      <c r="AP17" s="194"/>
      <c r="AQ17" s="194"/>
      <c r="AR17" s="194"/>
      <c r="AS17" s="194"/>
      <c r="AT17" s="194"/>
      <c r="AU17" s="194"/>
      <c r="AV17" s="194"/>
      <c r="AW17" s="212"/>
    </row>
    <row r="18" spans="5:49" ht="17.25" thickBot="1" x14ac:dyDescent="0.35">
      <c r="E18" s="753"/>
      <c r="F18" s="104" t="s">
        <v>199</v>
      </c>
      <c r="G18" s="105">
        <v>7.12</v>
      </c>
      <c r="H18" s="105">
        <v>13.75</v>
      </c>
      <c r="I18" s="105">
        <v>18.181999999999999</v>
      </c>
      <c r="J18" s="105">
        <v>15.497999999999999</v>
      </c>
      <c r="K18" s="105">
        <v>13.454000000000001</v>
      </c>
      <c r="L18" s="105">
        <v>15.584</v>
      </c>
      <c r="M18" s="105">
        <v>13.83</v>
      </c>
      <c r="N18" s="105">
        <v>10.122</v>
      </c>
      <c r="O18" s="105">
        <v>13.73</v>
      </c>
      <c r="P18" s="105">
        <v>9.8699999999999992</v>
      </c>
      <c r="Q18" s="105">
        <v>13.064</v>
      </c>
      <c r="R18" s="105">
        <v>5.75</v>
      </c>
      <c r="S18" s="105">
        <v>16.181999999999999</v>
      </c>
      <c r="T18" s="105">
        <v>9.3070000000000004</v>
      </c>
      <c r="U18" s="105">
        <v>15.875999999999999</v>
      </c>
      <c r="V18" s="105">
        <v>12.375999999999999</v>
      </c>
      <c r="W18" s="105">
        <v>20.283000000000001</v>
      </c>
      <c r="X18" s="105">
        <v>22.631</v>
      </c>
      <c r="AA18" s="743"/>
      <c r="AB18" s="173" t="s">
        <v>199</v>
      </c>
      <c r="AC18" s="195">
        <v>9.3070000000000004</v>
      </c>
      <c r="AD18" s="195">
        <v>18.608000000000001</v>
      </c>
      <c r="AE18" s="174">
        <v>15.875999999999999</v>
      </c>
      <c r="AF18" s="195">
        <v>17.506</v>
      </c>
      <c r="AG18" s="174">
        <v>12.375999999999999</v>
      </c>
      <c r="AH18" s="195">
        <v>14.472</v>
      </c>
      <c r="AI18" s="174">
        <v>20.283000000000001</v>
      </c>
      <c r="AJ18" s="195">
        <v>21.117000000000001</v>
      </c>
      <c r="AK18" s="195">
        <v>22.631</v>
      </c>
      <c r="AL18" s="195">
        <v>18.608000000000001</v>
      </c>
      <c r="AM18" s="195">
        <v>25.943999999999999</v>
      </c>
      <c r="AN18" s="195">
        <v>15.032</v>
      </c>
      <c r="AO18" s="195"/>
      <c r="AP18" s="195"/>
      <c r="AQ18" s="195"/>
      <c r="AR18" s="195"/>
      <c r="AS18" s="195"/>
      <c r="AT18" s="195"/>
      <c r="AU18" s="195"/>
      <c r="AV18" s="195"/>
      <c r="AW18" s="212"/>
    </row>
    <row r="19" spans="5:49" ht="15.75" thickBot="1" x14ac:dyDescent="0.3">
      <c r="X19" s="246"/>
      <c r="AA19" s="740" t="s">
        <v>321</v>
      </c>
      <c r="AB19" s="745"/>
      <c r="AC19" s="199">
        <f>AVERAGE(AC8:AC18)</f>
        <v>10.931363636363638</v>
      </c>
      <c r="AD19" s="199">
        <f>AVERAGE(AD8:AD18)</f>
        <v>12.131090909090908</v>
      </c>
      <c r="AE19" s="199">
        <f>AVERAGE(AE8:AE18)</f>
        <v>12.153818181818183</v>
      </c>
      <c r="AF19" s="199">
        <f>AVERAGE(AF8:AF18)</f>
        <v>11.972636363636362</v>
      </c>
      <c r="AG19" s="199">
        <f t="shared" ref="AG19:AN19" si="0">AVERAGE(AG8:AG18)</f>
        <v>11.812090909090909</v>
      </c>
      <c r="AH19" s="199">
        <f t="shared" si="0"/>
        <v>13.122090909090907</v>
      </c>
      <c r="AI19" s="199">
        <f t="shared" si="0"/>
        <v>16.086936363636365</v>
      </c>
      <c r="AJ19" s="199">
        <f t="shared" si="0"/>
        <v>15.504545454545456</v>
      </c>
      <c r="AK19" s="199">
        <f t="shared" si="0"/>
        <v>13.657818181818181</v>
      </c>
      <c r="AL19" s="199">
        <f t="shared" si="0"/>
        <v>15.790699999999998</v>
      </c>
      <c r="AM19" s="199">
        <f t="shared" si="0"/>
        <v>14.928272727272725</v>
      </c>
      <c r="AN19" s="199">
        <f t="shared" si="0"/>
        <v>16.888000000000002</v>
      </c>
      <c r="AO19" s="199"/>
      <c r="AP19" s="199"/>
      <c r="AQ19" s="199"/>
      <c r="AR19" s="199"/>
      <c r="AS19" s="199"/>
      <c r="AT19" s="199"/>
      <c r="AU19" s="199"/>
      <c r="AV19" s="199"/>
      <c r="AW19" s="197"/>
    </row>
    <row r="20" spans="5:49" x14ac:dyDescent="0.25">
      <c r="G20" s="106"/>
      <c r="AL20" s="197"/>
      <c r="AM20" s="197"/>
      <c r="AN20" s="197"/>
      <c r="AO20" s="197"/>
      <c r="AP20" s="197"/>
      <c r="AQ20" s="197"/>
      <c r="AR20" s="197"/>
      <c r="AS20" s="197"/>
      <c r="AT20" s="197"/>
      <c r="AU20" s="197"/>
      <c r="AV20" s="197"/>
      <c r="AW20" s="197"/>
    </row>
    <row r="21" spans="5:49" x14ac:dyDescent="0.25">
      <c r="G21" s="106">
        <f t="shared" ref="G21:U21" si="1">AVERAGE(G8:G20)</f>
        <v>12.224</v>
      </c>
      <c r="H21" s="106">
        <f t="shared" si="1"/>
        <v>13.425909090909091</v>
      </c>
      <c r="I21" s="106">
        <f t="shared" si="1"/>
        <v>14.178545454545455</v>
      </c>
      <c r="J21" s="106">
        <f t="shared" si="1"/>
        <v>15.030272727272729</v>
      </c>
      <c r="K21" s="106">
        <f t="shared" si="1"/>
        <v>16.336636363636366</v>
      </c>
      <c r="L21" s="106">
        <f t="shared" si="1"/>
        <v>12.889636363636363</v>
      </c>
      <c r="M21" s="106">
        <f t="shared" si="1"/>
        <v>11.548454545454545</v>
      </c>
      <c r="N21" s="106">
        <f t="shared" si="1"/>
        <v>9.3256363636363631</v>
      </c>
      <c r="O21" s="106">
        <f t="shared" si="1"/>
        <v>11.750818181818181</v>
      </c>
      <c r="P21" s="106">
        <f t="shared" si="1"/>
        <v>12.047272727272729</v>
      </c>
      <c r="Q21" s="106">
        <f t="shared" si="1"/>
        <v>13.338272727272727</v>
      </c>
      <c r="R21" s="106">
        <f>AVERAGE(R8:R20)</f>
        <v>11.425818181818181</v>
      </c>
      <c r="S21" s="106">
        <f t="shared" si="1"/>
        <v>11.939727272727271</v>
      </c>
      <c r="T21" s="106">
        <f t="shared" si="1"/>
        <v>10.931363636363638</v>
      </c>
      <c r="U21" s="106">
        <f t="shared" si="1"/>
        <v>12.153818181818183</v>
      </c>
      <c r="V21" s="106">
        <f>AVERAGE(V8:V20)</f>
        <v>11.812090909090909</v>
      </c>
      <c r="W21" s="106">
        <f>AVERAGE(W8:W20)</f>
        <v>16.086936363636365</v>
      </c>
      <c r="X21" s="106">
        <f>AVERAGE(X8:X20)</f>
        <v>13.657818181818181</v>
      </c>
      <c r="AC21" s="198">
        <f t="shared" ref="AC21:AL21" si="2">AVERAGE(AC8:AC20)</f>
        <v>10.931363636363637</v>
      </c>
      <c r="AD21" s="198">
        <f t="shared" si="2"/>
        <v>12.131090909090908</v>
      </c>
      <c r="AE21" s="198">
        <f t="shared" si="2"/>
        <v>12.153818181818183</v>
      </c>
      <c r="AF21" s="198">
        <f t="shared" si="2"/>
        <v>11.972636363636362</v>
      </c>
      <c r="AG21" s="198">
        <f>AVERAGE(AG8:AG20)</f>
        <v>11.812090909090907</v>
      </c>
      <c r="AH21" s="198">
        <f>AVERAGE(AH8:AH20)</f>
        <v>13.122090909090907</v>
      </c>
      <c r="AI21" s="198">
        <f t="shared" si="2"/>
        <v>16.086936363636365</v>
      </c>
      <c r="AJ21" s="198">
        <f t="shared" si="2"/>
        <v>15.504545454545456</v>
      </c>
      <c r="AK21" s="198">
        <f t="shared" si="2"/>
        <v>13.657818181818181</v>
      </c>
      <c r="AL21" s="198">
        <f t="shared" si="2"/>
        <v>15.790699999999998</v>
      </c>
      <c r="AM21" s="198">
        <f>AVERAGE(AM8:AM20)</f>
        <v>14.928272727272725</v>
      </c>
      <c r="AN21" s="198">
        <f>AVERAGE(AN8:AN20)</f>
        <v>16.888000000000002</v>
      </c>
      <c r="AO21" s="198" t="e">
        <f t="shared" ref="AO21:AV21" si="3">AVERAGE(AO8:AO20)</f>
        <v>#DIV/0!</v>
      </c>
      <c r="AP21" s="198" t="e">
        <f t="shared" si="3"/>
        <v>#DIV/0!</v>
      </c>
      <c r="AQ21" s="198" t="e">
        <f>AVERAGE(AQ8:AQ20)</f>
        <v>#DIV/0!</v>
      </c>
      <c r="AR21" s="198" t="e">
        <f t="shared" si="3"/>
        <v>#DIV/0!</v>
      </c>
      <c r="AS21" s="198" t="e">
        <f>AVERAGE(AS8:AS20)</f>
        <v>#DIV/0!</v>
      </c>
      <c r="AT21" s="198" t="e">
        <f>AVERAGE(AT8:AT20)</f>
        <v>#DIV/0!</v>
      </c>
      <c r="AU21" s="198" t="e">
        <f t="shared" si="3"/>
        <v>#DIV/0!</v>
      </c>
      <c r="AV21" s="198" t="e">
        <f t="shared" si="3"/>
        <v>#DIV/0!</v>
      </c>
      <c r="AW21" s="198"/>
    </row>
    <row r="23" spans="5:49" x14ac:dyDescent="0.25">
      <c r="AC23" s="198" t="e">
        <f>AVERAGE(AC21,AE21,AI21,AK21,AM21,AO21,AQ21:AQ21,AS21,AU21)</f>
        <v>#DIV/0!</v>
      </c>
      <c r="AD23" s="198" t="e">
        <f>AVERAGE(AD21,AF21,AJ21,AL21,AN21,AP21,AR21,AT21,AV21)</f>
        <v>#DIV/0!</v>
      </c>
    </row>
    <row r="25" spans="5:49" x14ac:dyDescent="0.25">
      <c r="AD25" s="198" t="e">
        <f>AC23-AD23</f>
        <v>#DIV/0!</v>
      </c>
    </row>
    <row r="26" spans="5:49" ht="15.75" thickBot="1" x14ac:dyDescent="0.3"/>
    <row r="27" spans="5:49" ht="15.75" thickBot="1" x14ac:dyDescent="0.3">
      <c r="E27" s="746" t="s">
        <v>194</v>
      </c>
      <c r="F27" s="747"/>
      <c r="G27" s="747"/>
      <c r="H27" s="747"/>
      <c r="I27" s="747"/>
      <c r="J27" s="747"/>
      <c r="K27" s="747"/>
      <c r="L27" s="748"/>
      <c r="Q27" s="197"/>
    </row>
    <row r="28" spans="5:49" ht="15.75" thickBot="1" x14ac:dyDescent="0.3">
      <c r="E28" s="742" t="s">
        <v>195</v>
      </c>
      <c r="F28" s="742" t="s">
        <v>196</v>
      </c>
      <c r="G28" s="369" t="s">
        <v>390</v>
      </c>
      <c r="H28" s="337"/>
      <c r="I28" s="740" t="s">
        <v>404</v>
      </c>
      <c r="J28" s="745"/>
      <c r="K28" s="740" t="s">
        <v>405</v>
      </c>
      <c r="L28" s="745"/>
      <c r="Q28" s="197"/>
    </row>
    <row r="29" spans="5:49" ht="15.75" thickBot="1" x14ac:dyDescent="0.3">
      <c r="E29" s="743"/>
      <c r="F29" s="744"/>
      <c r="G29" s="364">
        <v>2025</v>
      </c>
      <c r="H29" s="364">
        <v>2026</v>
      </c>
      <c r="I29" s="364">
        <v>2025</v>
      </c>
      <c r="J29" s="364">
        <v>2026</v>
      </c>
      <c r="K29" s="363">
        <v>2025</v>
      </c>
      <c r="L29" s="364">
        <v>2025</v>
      </c>
    </row>
    <row r="30" spans="5:49" ht="17.25" thickBot="1" x14ac:dyDescent="0.35">
      <c r="E30" s="742" t="s">
        <v>147</v>
      </c>
      <c r="F30" s="169" t="s">
        <v>197</v>
      </c>
      <c r="G30" s="365">
        <f>(AC8+AE8+AG8)/3</f>
        <v>6.2929999999999993</v>
      </c>
      <c r="H30" s="366">
        <f>(AD8+AF8+AH8)/3</f>
        <v>6.8596666666666666</v>
      </c>
      <c r="I30" s="373">
        <f>(AI8+AK8+AM8)/3</f>
        <v>9.8983333333333334</v>
      </c>
      <c r="J30" s="366">
        <f>(AJ8+AL8+AN8)/3</f>
        <v>10.864333333333335</v>
      </c>
      <c r="K30" s="370">
        <f t="shared" ref="K30:K41" si="4">(AQ8+AS8+AU8)/3</f>
        <v>0</v>
      </c>
      <c r="L30" s="366">
        <f t="shared" ref="L30:L41" si="5">(AR8+AT8+AV8)/3</f>
        <v>0</v>
      </c>
    </row>
    <row r="31" spans="5:49" ht="17.25" thickBot="1" x14ac:dyDescent="0.35">
      <c r="E31" s="744"/>
      <c r="F31" s="171" t="s">
        <v>198</v>
      </c>
      <c r="G31" s="365">
        <f t="shared" ref="G31:H31" si="6">(AC9+AE9+AG9)/3</f>
        <v>5.7853333333333339</v>
      </c>
      <c r="H31" s="366">
        <f t="shared" si="6"/>
        <v>6.3276666666666666</v>
      </c>
      <c r="I31" s="373">
        <f t="shared" ref="I31:J31" si="7">(AI9+AK9+AM9)/3</f>
        <v>10.331000000000001</v>
      </c>
      <c r="J31" s="366">
        <f t="shared" si="7"/>
        <v>8.1959999999999997</v>
      </c>
      <c r="K31" s="371">
        <f t="shared" si="4"/>
        <v>0</v>
      </c>
      <c r="L31" s="367">
        <f t="shared" si="5"/>
        <v>0</v>
      </c>
    </row>
    <row r="32" spans="5:49" ht="17.25" thickBot="1" x14ac:dyDescent="0.35">
      <c r="E32" s="743"/>
      <c r="F32" s="173" t="s">
        <v>199</v>
      </c>
      <c r="G32" s="365">
        <f t="shared" ref="G32:H32" si="8">(AC10+AE10+AG10)/3</f>
        <v>9.8406666666666673</v>
      </c>
      <c r="H32" s="366">
        <f t="shared" si="8"/>
        <v>14.236666666666666</v>
      </c>
      <c r="I32" s="373">
        <f t="shared" ref="I32:J32" si="9">(AI10+AK10+AM10)/3</f>
        <v>16.177000000000003</v>
      </c>
      <c r="J32" s="366">
        <f t="shared" si="9"/>
        <v>15.579666666666666</v>
      </c>
      <c r="K32" s="372">
        <f t="shared" si="4"/>
        <v>0</v>
      </c>
      <c r="L32" s="368">
        <f t="shared" si="5"/>
        <v>0</v>
      </c>
    </row>
    <row r="33" spans="5:12" ht="17.25" thickBot="1" x14ac:dyDescent="0.35">
      <c r="E33" s="742" t="s">
        <v>200</v>
      </c>
      <c r="F33" s="169" t="s">
        <v>197</v>
      </c>
      <c r="G33" s="365">
        <f t="shared" ref="G33:H35" si="10">(AC11+AE11+AG11)/3</f>
        <v>10.974333333333334</v>
      </c>
      <c r="H33" s="366">
        <f t="shared" si="10"/>
        <v>9.1540000000000017</v>
      </c>
      <c r="I33" s="373">
        <f t="shared" ref="I33:J33" si="11">(AI11+AK11+AM11)/3</f>
        <v>9.6373333333333324</v>
      </c>
      <c r="J33" s="366">
        <f t="shared" si="11"/>
        <v>13.424999999999999</v>
      </c>
      <c r="K33" s="370">
        <f t="shared" si="4"/>
        <v>0</v>
      </c>
      <c r="L33" s="366">
        <f t="shared" si="5"/>
        <v>0</v>
      </c>
    </row>
    <row r="34" spans="5:12" ht="17.25" thickBot="1" x14ac:dyDescent="0.35">
      <c r="E34" s="744"/>
      <c r="F34" s="171" t="s">
        <v>198</v>
      </c>
      <c r="G34" s="365">
        <f t="shared" si="10"/>
        <v>15.755000000000001</v>
      </c>
      <c r="H34" s="366">
        <f t="shared" si="10"/>
        <v>11.849666666666666</v>
      </c>
      <c r="I34" s="373">
        <f t="shared" ref="I34:J34" si="12">(AI12+AK12+AM12)/3</f>
        <v>12.967999999999998</v>
      </c>
      <c r="J34" s="366">
        <f t="shared" si="12"/>
        <v>23.887333333333334</v>
      </c>
      <c r="K34" s="371">
        <f t="shared" si="4"/>
        <v>0</v>
      </c>
      <c r="L34" s="367">
        <f t="shared" si="5"/>
        <v>0</v>
      </c>
    </row>
    <row r="35" spans="5:12" ht="17.25" thickBot="1" x14ac:dyDescent="0.35">
      <c r="E35" s="743"/>
      <c r="F35" s="173" t="s">
        <v>199</v>
      </c>
      <c r="G35" s="365">
        <f t="shared" si="10"/>
        <v>17.600999999999999</v>
      </c>
      <c r="H35" s="366">
        <f t="shared" si="10"/>
        <v>12.818333333333333</v>
      </c>
      <c r="I35" s="373">
        <f t="shared" ref="I35:J35" si="13">(AI13+AK13+AM13)/3</f>
        <v>16.134333333333334</v>
      </c>
      <c r="J35" s="366">
        <f t="shared" si="13"/>
        <v>12.763</v>
      </c>
      <c r="K35" s="372">
        <f t="shared" si="4"/>
        <v>0</v>
      </c>
      <c r="L35" s="368">
        <f t="shared" si="5"/>
        <v>0</v>
      </c>
    </row>
    <row r="36" spans="5:12" ht="17.25" thickBot="1" x14ac:dyDescent="0.35">
      <c r="E36" s="744" t="s">
        <v>201</v>
      </c>
      <c r="F36" s="169" t="s">
        <v>197</v>
      </c>
      <c r="G36" s="365">
        <f t="shared" ref="G36:H38" si="14">(AC14+AE14+AG14)/3</f>
        <v>8.9833333333333325</v>
      </c>
      <c r="H36" s="366">
        <f t="shared" si="14"/>
        <v>7.319</v>
      </c>
      <c r="I36" s="373">
        <f t="shared" ref="I36:J36" si="15">(AI14+AK14+AM14)/3</f>
        <v>10.354000000000001</v>
      </c>
      <c r="J36" s="366">
        <f t="shared" si="15"/>
        <v>13.226666666666668</v>
      </c>
      <c r="K36" s="370">
        <f t="shared" si="4"/>
        <v>0</v>
      </c>
      <c r="L36" s="366">
        <f t="shared" si="5"/>
        <v>0</v>
      </c>
    </row>
    <row r="37" spans="5:12" ht="17.25" thickBot="1" x14ac:dyDescent="0.35">
      <c r="E37" s="743"/>
      <c r="F37" s="173" t="s">
        <v>198</v>
      </c>
      <c r="G37" s="365">
        <f t="shared" si="14"/>
        <v>14.946</v>
      </c>
      <c r="H37" s="366">
        <f t="shared" si="14"/>
        <v>13.211666666666666</v>
      </c>
      <c r="I37" s="373">
        <f t="shared" ref="I37:J37" si="16">(AI15+AK15+AM15)/3</f>
        <v>10.967433333333332</v>
      </c>
      <c r="J37" s="366">
        <f t="shared" si="16"/>
        <v>16.251999999999999</v>
      </c>
      <c r="K37" s="372">
        <f t="shared" si="4"/>
        <v>0</v>
      </c>
      <c r="L37" s="368">
        <f t="shared" si="5"/>
        <v>0</v>
      </c>
    </row>
    <row r="38" spans="5:12" ht="17.25" thickBot="1" x14ac:dyDescent="0.35">
      <c r="E38" s="742" t="s">
        <v>149</v>
      </c>
      <c r="F38" s="169" t="s">
        <v>197</v>
      </c>
      <c r="G38" s="365">
        <f t="shared" si="14"/>
        <v>13.018333333333336</v>
      </c>
      <c r="H38" s="366">
        <f t="shared" si="14"/>
        <v>19.235333333333333</v>
      </c>
      <c r="I38" s="373">
        <f t="shared" ref="I38:J38" si="17">(AI16+AK16+AM16)/3</f>
        <v>23.081</v>
      </c>
      <c r="J38" s="366">
        <f t="shared" si="17"/>
        <v>19.084999999999997</v>
      </c>
      <c r="K38" s="370">
        <f t="shared" si="4"/>
        <v>0</v>
      </c>
      <c r="L38" s="366">
        <f t="shared" si="5"/>
        <v>0</v>
      </c>
    </row>
    <row r="39" spans="5:12" ht="17.25" thickBot="1" x14ac:dyDescent="0.35">
      <c r="E39" s="744"/>
      <c r="F39" s="171" t="s">
        <v>198</v>
      </c>
      <c r="G39" s="365">
        <f t="shared" ref="G39:H39" si="18">(AC17+AE17+AG17)/3</f>
        <v>12.24</v>
      </c>
      <c r="H39" s="366">
        <f t="shared" si="18"/>
        <v>18.620666666666665</v>
      </c>
      <c r="I39" s="373">
        <f t="shared" ref="I39:J39" si="19">(AI17+AK17+AM17)/3</f>
        <v>21.3</v>
      </c>
      <c r="J39" s="366">
        <f t="shared" si="19"/>
        <v>19.876999999999999</v>
      </c>
      <c r="K39" s="371">
        <f t="shared" si="4"/>
        <v>0</v>
      </c>
      <c r="L39" s="367">
        <f t="shared" si="5"/>
        <v>0</v>
      </c>
    </row>
    <row r="40" spans="5:12" ht="17.25" thickBot="1" x14ac:dyDescent="0.35">
      <c r="E40" s="743"/>
      <c r="F40" s="173" t="s">
        <v>199</v>
      </c>
      <c r="G40" s="365">
        <f t="shared" ref="G40" si="20">(AC18+AE18+AG18)/3</f>
        <v>12.519666666666666</v>
      </c>
      <c r="H40" s="366">
        <f>(AD18+AF18+AH18)/3</f>
        <v>16.862000000000002</v>
      </c>
      <c r="I40" s="373">
        <f t="shared" ref="I40:J40" si="21">(AI18+AK18+AM18)/3</f>
        <v>22.952666666666669</v>
      </c>
      <c r="J40" s="366">
        <f t="shared" si="21"/>
        <v>18.252333333333336</v>
      </c>
      <c r="K40" s="379">
        <f t="shared" si="4"/>
        <v>0</v>
      </c>
      <c r="L40" s="374">
        <f t="shared" si="5"/>
        <v>0</v>
      </c>
    </row>
    <row r="41" spans="5:12" ht="17.25" thickBot="1" x14ac:dyDescent="0.35">
      <c r="E41" s="740" t="s">
        <v>321</v>
      </c>
      <c r="F41" s="741"/>
      <c r="G41" s="375">
        <f>AVERAGE(G30:G40)</f>
        <v>11.632424242424243</v>
      </c>
      <c r="H41" s="376">
        <f>AVERAGE(H30:H40)</f>
        <v>12.40860606060606</v>
      </c>
      <c r="I41" s="377">
        <f t="shared" ref="I41:J41" si="22">(AI19+AK19+AM19)/3</f>
        <v>14.891009090909092</v>
      </c>
      <c r="J41" s="378">
        <f t="shared" si="22"/>
        <v>16.061081818181819</v>
      </c>
      <c r="K41" s="377">
        <f t="shared" si="4"/>
        <v>0</v>
      </c>
      <c r="L41" s="378">
        <f t="shared" si="5"/>
        <v>0</v>
      </c>
    </row>
    <row r="44" spans="5:12" x14ac:dyDescent="0.25">
      <c r="G44" s="197">
        <f>AVERAGE(G41,I41,K41)</f>
        <v>8.8411444444444456</v>
      </c>
      <c r="H44" s="197">
        <f>AVERAGE(H41,J41,L41)</f>
        <v>9.4898959595959607</v>
      </c>
    </row>
  </sheetData>
  <mergeCells count="24">
    <mergeCell ref="E27:L27"/>
    <mergeCell ref="AA6:AV6"/>
    <mergeCell ref="AZ6:BO6"/>
    <mergeCell ref="AZ8:BA8"/>
    <mergeCell ref="AZ7:BA7"/>
    <mergeCell ref="AA19:AB19"/>
    <mergeCell ref="AA8:AA10"/>
    <mergeCell ref="AA11:AA13"/>
    <mergeCell ref="AA14:AA15"/>
    <mergeCell ref="AA16:AA18"/>
    <mergeCell ref="E8:E10"/>
    <mergeCell ref="E11:E13"/>
    <mergeCell ref="E14:E15"/>
    <mergeCell ref="E16:E18"/>
    <mergeCell ref="E6:X6"/>
    <mergeCell ref="E41:F41"/>
    <mergeCell ref="E28:E29"/>
    <mergeCell ref="F28:F29"/>
    <mergeCell ref="I28:J28"/>
    <mergeCell ref="K28:L28"/>
    <mergeCell ref="E30:E32"/>
    <mergeCell ref="E33:E35"/>
    <mergeCell ref="E36:E37"/>
    <mergeCell ref="E38:E4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3CC0-673F-4403-80F6-4D1195768B2E}">
  <dimension ref="H1:U53"/>
  <sheetViews>
    <sheetView topLeftCell="F32" workbookViewId="0">
      <selection activeCell="I44" sqref="I44:O53"/>
    </sheetView>
  </sheetViews>
  <sheetFormatPr baseColWidth="10" defaultRowHeight="15" x14ac:dyDescent="0.25"/>
  <cols>
    <col min="7" max="7" width="13.42578125" customWidth="1"/>
    <col min="8" max="8" width="25.7109375" customWidth="1"/>
    <col min="9" max="9" width="15" customWidth="1"/>
    <col min="10" max="10" width="11" bestFit="1" customWidth="1"/>
    <col min="11" max="11" width="11" customWidth="1"/>
    <col min="12" max="12" width="9.7109375" customWidth="1"/>
    <col min="13" max="13" width="8.140625" hidden="1" customWidth="1"/>
    <col min="14" max="14" width="7.7109375" customWidth="1"/>
    <col min="15" max="15" width="11.42578125" customWidth="1"/>
    <col min="16" max="16" width="10.5703125" customWidth="1"/>
    <col min="17" max="17" width="12.42578125" hidden="1" customWidth="1"/>
    <col min="18" max="18" width="11.140625" hidden="1" customWidth="1"/>
    <col min="19" max="19" width="9.7109375" hidden="1" customWidth="1"/>
    <col min="20" max="20" width="5.85546875" bestFit="1" customWidth="1"/>
    <col min="21" max="21" width="11" bestFit="1" customWidth="1"/>
  </cols>
  <sheetData>
    <row r="1" spans="8:20" x14ac:dyDescent="0.25">
      <c r="T1" s="37"/>
    </row>
    <row r="6" spans="8:20" ht="15.75" thickBot="1" x14ac:dyDescent="0.3"/>
    <row r="7" spans="8:20" ht="15.75" customHeight="1" thickBot="1" x14ac:dyDescent="0.3">
      <c r="H7" s="760" t="s">
        <v>281</v>
      </c>
      <c r="I7" s="761"/>
      <c r="J7" s="761"/>
      <c r="K7" s="761"/>
      <c r="L7" s="761"/>
      <c r="M7" s="761"/>
      <c r="N7" s="761"/>
      <c r="O7" s="761"/>
      <c r="P7" s="761"/>
      <c r="Q7" s="761"/>
      <c r="R7" s="762"/>
      <c r="S7" s="219"/>
    </row>
    <row r="8" spans="8:20" ht="29.25" thickBot="1" x14ac:dyDescent="0.3">
      <c r="H8" s="221" t="s">
        <v>2</v>
      </c>
      <c r="I8" s="222" t="s">
        <v>299</v>
      </c>
      <c r="J8" s="223" t="s">
        <v>301</v>
      </c>
      <c r="K8" s="223" t="s">
        <v>154</v>
      </c>
      <c r="L8" s="223" t="s">
        <v>328</v>
      </c>
      <c r="M8" s="223" t="s">
        <v>156</v>
      </c>
      <c r="N8" s="223" t="s">
        <v>157</v>
      </c>
      <c r="O8" s="223" t="s">
        <v>158</v>
      </c>
      <c r="P8" s="223" t="s">
        <v>384</v>
      </c>
      <c r="Q8" s="223" t="s">
        <v>160</v>
      </c>
      <c r="R8" s="223" t="s">
        <v>161</v>
      </c>
      <c r="S8" s="324"/>
      <c r="T8" s="219"/>
    </row>
    <row r="9" spans="8:20" ht="17.25" thickBot="1" x14ac:dyDescent="0.35">
      <c r="H9" s="217" t="s">
        <v>28</v>
      </c>
      <c r="I9" s="224">
        <v>29</v>
      </c>
      <c r="J9" s="225">
        <v>45</v>
      </c>
      <c r="K9" s="225">
        <v>33</v>
      </c>
      <c r="L9" s="225">
        <v>63</v>
      </c>
      <c r="M9" s="225">
        <v>42</v>
      </c>
      <c r="N9" s="225">
        <v>65</v>
      </c>
      <c r="O9" s="225">
        <v>79</v>
      </c>
      <c r="P9" s="225">
        <v>73</v>
      </c>
      <c r="Q9" s="225"/>
      <c r="R9" s="225"/>
      <c r="S9" s="325"/>
      <c r="T9" s="219"/>
    </row>
    <row r="10" spans="8:20" ht="15.75" customHeight="1" thickBot="1" x14ac:dyDescent="0.35">
      <c r="H10" s="189" t="s">
        <v>33</v>
      </c>
      <c r="I10" s="6">
        <v>106</v>
      </c>
      <c r="J10" s="226">
        <v>99</v>
      </c>
      <c r="K10" s="226">
        <v>89</v>
      </c>
      <c r="L10" s="226">
        <v>151</v>
      </c>
      <c r="M10" s="226">
        <v>109</v>
      </c>
      <c r="N10" s="226">
        <v>89</v>
      </c>
      <c r="O10" s="226">
        <v>121</v>
      </c>
      <c r="P10" s="226">
        <v>84</v>
      </c>
      <c r="Q10" s="226"/>
      <c r="R10" s="226"/>
      <c r="S10" s="325"/>
      <c r="T10" s="220"/>
    </row>
    <row r="11" spans="8:20" ht="17.25" thickBot="1" x14ac:dyDescent="0.35">
      <c r="H11" s="189" t="s">
        <v>76</v>
      </c>
      <c r="I11" s="6">
        <v>9</v>
      </c>
      <c r="J11" s="226">
        <v>8</v>
      </c>
      <c r="K11" s="226">
        <v>6</v>
      </c>
      <c r="L11" s="226">
        <v>8</v>
      </c>
      <c r="M11" s="226">
        <v>9</v>
      </c>
      <c r="N11" s="226">
        <v>2</v>
      </c>
      <c r="O11" s="226">
        <v>25</v>
      </c>
      <c r="P11" s="226">
        <v>4</v>
      </c>
      <c r="Q11" s="226"/>
      <c r="R11" s="226"/>
      <c r="S11" s="325"/>
      <c r="T11" s="220"/>
    </row>
    <row r="12" spans="8:20" ht="17.25" thickBot="1" x14ac:dyDescent="0.35">
      <c r="H12" s="189" t="s">
        <v>103</v>
      </c>
      <c r="I12" s="6">
        <v>17</v>
      </c>
      <c r="J12" s="226">
        <v>44</v>
      </c>
      <c r="K12" s="226">
        <v>33</v>
      </c>
      <c r="L12" s="226">
        <v>19</v>
      </c>
      <c r="M12" s="226">
        <v>19</v>
      </c>
      <c r="N12" s="226">
        <v>22</v>
      </c>
      <c r="O12" s="226">
        <v>27</v>
      </c>
      <c r="P12" s="226">
        <v>14</v>
      </c>
      <c r="Q12" s="226"/>
      <c r="R12" s="226"/>
      <c r="S12" s="325"/>
      <c r="T12" s="220"/>
    </row>
    <row r="13" spans="8:20" ht="17.25" thickBot="1" x14ac:dyDescent="0.35">
      <c r="H13" s="189" t="s">
        <v>19</v>
      </c>
      <c r="I13" s="6">
        <v>179</v>
      </c>
      <c r="J13" s="226">
        <v>207</v>
      </c>
      <c r="K13" s="226">
        <v>208</v>
      </c>
      <c r="L13" s="226">
        <v>222</v>
      </c>
      <c r="M13" s="226">
        <v>193</v>
      </c>
      <c r="N13" s="226">
        <v>169</v>
      </c>
      <c r="O13" s="226">
        <v>302</v>
      </c>
      <c r="P13" s="226">
        <v>202</v>
      </c>
      <c r="Q13" s="226"/>
      <c r="R13" s="226"/>
      <c r="S13" s="325"/>
      <c r="T13" s="220"/>
    </row>
    <row r="14" spans="8:20" ht="17.25" thickBot="1" x14ac:dyDescent="0.35">
      <c r="H14" s="190" t="s">
        <v>106</v>
      </c>
      <c r="I14" s="227">
        <f t="shared" ref="I14:R14" si="0">SUM(I9:I13)</f>
        <v>340</v>
      </c>
      <c r="J14" s="228">
        <f t="shared" si="0"/>
        <v>403</v>
      </c>
      <c r="K14" s="228">
        <f t="shared" si="0"/>
        <v>369</v>
      </c>
      <c r="L14" s="228">
        <f t="shared" si="0"/>
        <v>463</v>
      </c>
      <c r="M14" s="228">
        <f t="shared" si="0"/>
        <v>372</v>
      </c>
      <c r="N14" s="228">
        <f t="shared" si="0"/>
        <v>347</v>
      </c>
      <c r="O14" s="228">
        <f t="shared" si="0"/>
        <v>554</v>
      </c>
      <c r="P14" s="228">
        <f t="shared" si="0"/>
        <v>377</v>
      </c>
      <c r="Q14" s="228">
        <f t="shared" si="0"/>
        <v>0</v>
      </c>
      <c r="R14" s="228">
        <f t="shared" si="0"/>
        <v>0</v>
      </c>
      <c r="S14" s="324"/>
      <c r="T14" s="220"/>
    </row>
    <row r="15" spans="8:20" x14ac:dyDescent="0.25">
      <c r="T15" s="219"/>
    </row>
    <row r="18" spans="8:21" ht="15.75" thickBot="1" x14ac:dyDescent="0.3"/>
    <row r="19" spans="8:21" ht="15.75" customHeight="1" thickBot="1" x14ac:dyDescent="0.3">
      <c r="H19" s="760" t="s">
        <v>281</v>
      </c>
      <c r="I19" s="761"/>
      <c r="J19" s="761"/>
      <c r="K19" s="761"/>
      <c r="L19" s="762"/>
    </row>
    <row r="20" spans="8:21" ht="26.25" thickBot="1" x14ac:dyDescent="0.3">
      <c r="H20" s="221" t="s">
        <v>2</v>
      </c>
      <c r="I20" s="355" t="s">
        <v>390</v>
      </c>
      <c r="J20" s="356" t="s">
        <v>401</v>
      </c>
      <c r="K20" s="356" t="s">
        <v>391</v>
      </c>
      <c r="L20" s="357" t="s">
        <v>161</v>
      </c>
    </row>
    <row r="21" spans="8:21" ht="17.25" thickBot="1" x14ac:dyDescent="0.35">
      <c r="H21" s="217" t="s">
        <v>28</v>
      </c>
      <c r="I21" s="358">
        <f>I9+J9+K9</f>
        <v>107</v>
      </c>
      <c r="J21" s="359">
        <f>L9+M9+N9</f>
        <v>170</v>
      </c>
      <c r="K21" s="359">
        <f>O9+P9+Q9</f>
        <v>152</v>
      </c>
      <c r="L21" s="359">
        <v>45</v>
      </c>
    </row>
    <row r="22" spans="8:21" ht="17.25" thickBot="1" x14ac:dyDescent="0.35">
      <c r="H22" s="189" t="s">
        <v>33</v>
      </c>
      <c r="I22" s="358">
        <f>I10+J10+K10</f>
        <v>294</v>
      </c>
      <c r="J22" s="359">
        <f>L10+M10+N10</f>
        <v>349</v>
      </c>
      <c r="K22" s="359">
        <f>O10+P10+Q10</f>
        <v>205</v>
      </c>
      <c r="L22" s="360">
        <v>90</v>
      </c>
    </row>
    <row r="23" spans="8:21" ht="17.25" thickBot="1" x14ac:dyDescent="0.35">
      <c r="H23" s="189" t="s">
        <v>76</v>
      </c>
      <c r="I23" s="358">
        <f>I11+J11+K11</f>
        <v>23</v>
      </c>
      <c r="J23" s="359">
        <f>L11+M11+N11</f>
        <v>19</v>
      </c>
      <c r="K23" s="359">
        <f>O11+P11+Q11</f>
        <v>29</v>
      </c>
      <c r="L23" s="360">
        <v>11</v>
      </c>
    </row>
    <row r="24" spans="8:21" ht="17.25" thickBot="1" x14ac:dyDescent="0.35">
      <c r="H24" s="189" t="s">
        <v>103</v>
      </c>
      <c r="I24" s="358">
        <f>I12+J12+K12</f>
        <v>94</v>
      </c>
      <c r="J24" s="359">
        <f>L12+M12+N12</f>
        <v>60</v>
      </c>
      <c r="K24" s="359">
        <f>O12+P12+Q12</f>
        <v>41</v>
      </c>
      <c r="L24" s="360">
        <v>27</v>
      </c>
    </row>
    <row r="25" spans="8:21" ht="17.25" thickBot="1" x14ac:dyDescent="0.35">
      <c r="H25" s="189" t="s">
        <v>19</v>
      </c>
      <c r="I25" s="358">
        <f>I13+J13+K13</f>
        <v>594</v>
      </c>
      <c r="J25" s="359">
        <f>L13+M13+N13</f>
        <v>584</v>
      </c>
      <c r="K25" s="359">
        <f>O13+P13+Q13</f>
        <v>504</v>
      </c>
      <c r="L25" s="360">
        <v>383</v>
      </c>
    </row>
    <row r="26" spans="8:21" ht="15.75" thickBot="1" x14ac:dyDescent="0.3">
      <c r="H26" s="190" t="s">
        <v>106</v>
      </c>
      <c r="I26" s="361">
        <f>SUM(I21:I25)</f>
        <v>1112</v>
      </c>
      <c r="J26" s="362">
        <f>SUM(J21:J25)</f>
        <v>1182</v>
      </c>
      <c r="K26" s="362">
        <f>SUM(K21:K25)</f>
        <v>931</v>
      </c>
      <c r="L26" s="362">
        <f>SUM(L21:L25)</f>
        <v>556</v>
      </c>
    </row>
    <row r="31" spans="8:21" ht="15.75" thickBot="1" x14ac:dyDescent="0.3"/>
    <row r="32" spans="8:21" ht="15.75" thickBot="1" x14ac:dyDescent="0.3">
      <c r="I32" s="757" t="s">
        <v>312</v>
      </c>
      <c r="J32" s="758"/>
      <c r="K32" s="758"/>
      <c r="L32" s="758"/>
      <c r="M32" s="758"/>
      <c r="N32" s="758"/>
      <c r="O32" s="758"/>
      <c r="P32" s="758"/>
      <c r="Q32" s="758"/>
      <c r="R32" s="758"/>
      <c r="S32" s="758"/>
      <c r="T32" s="758"/>
      <c r="U32" s="759"/>
    </row>
    <row r="33" spans="9:21" ht="26.25" thickBot="1" x14ac:dyDescent="0.3">
      <c r="I33" s="269" t="s">
        <v>203</v>
      </c>
      <c r="J33" s="270" t="s">
        <v>152</v>
      </c>
      <c r="K33" s="271" t="s">
        <v>301</v>
      </c>
      <c r="L33" s="271" t="s">
        <v>154</v>
      </c>
      <c r="M33" s="272" t="s">
        <v>328</v>
      </c>
      <c r="N33" s="273" t="s">
        <v>354</v>
      </c>
      <c r="O33" s="274" t="s">
        <v>157</v>
      </c>
      <c r="P33" s="275" t="s">
        <v>158</v>
      </c>
      <c r="Q33" s="275" t="s">
        <v>384</v>
      </c>
      <c r="R33" s="275" t="s">
        <v>160</v>
      </c>
      <c r="S33" s="275" t="s">
        <v>161</v>
      </c>
      <c r="T33" s="275" t="s">
        <v>164</v>
      </c>
      <c r="U33" s="276" t="s">
        <v>204</v>
      </c>
    </row>
    <row r="34" spans="9:21" ht="20.100000000000001" customHeight="1" thickBot="1" x14ac:dyDescent="0.35">
      <c r="I34" s="230" t="s">
        <v>141</v>
      </c>
      <c r="J34" s="231">
        <v>177</v>
      </c>
      <c r="K34" s="232">
        <v>175</v>
      </c>
      <c r="L34" s="233">
        <v>202</v>
      </c>
      <c r="M34" s="234">
        <v>273</v>
      </c>
      <c r="N34" s="235">
        <v>219</v>
      </c>
      <c r="O34" s="233">
        <v>180</v>
      </c>
      <c r="P34" s="233">
        <v>305</v>
      </c>
      <c r="Q34" s="233">
        <v>193</v>
      </c>
      <c r="R34" s="233"/>
      <c r="S34" s="233"/>
      <c r="T34" s="234">
        <f>SUM(J34:S34)</f>
        <v>1724</v>
      </c>
      <c r="U34" s="236">
        <f>T34/$T$41</f>
        <v>0.34152139461172742</v>
      </c>
    </row>
    <row r="35" spans="9:21" ht="20.100000000000001" customHeight="1" thickBot="1" x14ac:dyDescent="0.35">
      <c r="I35" s="230" t="s">
        <v>142</v>
      </c>
      <c r="J35" s="231">
        <v>147</v>
      </c>
      <c r="K35" s="232">
        <v>147</v>
      </c>
      <c r="L35" s="232">
        <v>159</v>
      </c>
      <c r="M35" s="232">
        <v>251</v>
      </c>
      <c r="N35" s="237">
        <v>161</v>
      </c>
      <c r="O35" s="232">
        <v>157</v>
      </c>
      <c r="P35" s="232">
        <v>236</v>
      </c>
      <c r="Q35" s="232">
        <v>158</v>
      </c>
      <c r="R35" s="232"/>
      <c r="S35" s="232"/>
      <c r="T35" s="232">
        <f t="shared" ref="T35:T41" si="1">SUM(J35:S35)</f>
        <v>1416</v>
      </c>
      <c r="U35" s="236">
        <f t="shared" ref="U35:U40" si="2">T35/$T$41</f>
        <v>0.28050713153724249</v>
      </c>
    </row>
    <row r="36" spans="9:21" ht="20.100000000000001" customHeight="1" thickBot="1" x14ac:dyDescent="0.35">
      <c r="I36" s="230" t="s">
        <v>110</v>
      </c>
      <c r="J36" s="231">
        <v>188</v>
      </c>
      <c r="K36" s="232">
        <v>233</v>
      </c>
      <c r="L36" s="232">
        <v>189</v>
      </c>
      <c r="M36" s="232">
        <v>242</v>
      </c>
      <c r="N36" s="237">
        <v>173</v>
      </c>
      <c r="O36" s="232">
        <v>169</v>
      </c>
      <c r="P36" s="232">
        <v>257</v>
      </c>
      <c r="Q36" s="232">
        <v>172</v>
      </c>
      <c r="R36" s="232"/>
      <c r="S36" s="232"/>
      <c r="T36" s="232">
        <f t="shared" si="1"/>
        <v>1623</v>
      </c>
      <c r="U36" s="236">
        <f t="shared" si="2"/>
        <v>0.32151347068145802</v>
      </c>
    </row>
    <row r="37" spans="9:21" ht="20.100000000000001" customHeight="1" thickBot="1" x14ac:dyDescent="0.35">
      <c r="I37" s="230" t="s">
        <v>143</v>
      </c>
      <c r="J37" s="231">
        <v>18</v>
      </c>
      <c r="K37" s="232">
        <v>25</v>
      </c>
      <c r="L37" s="232">
        <v>18</v>
      </c>
      <c r="M37" s="232">
        <v>18</v>
      </c>
      <c r="N37" s="237">
        <v>13</v>
      </c>
      <c r="O37" s="232">
        <v>29</v>
      </c>
      <c r="P37" s="232">
        <v>17</v>
      </c>
      <c r="Q37" s="232">
        <v>19</v>
      </c>
      <c r="R37" s="232"/>
      <c r="S37" s="232"/>
      <c r="T37" s="232">
        <f t="shared" si="1"/>
        <v>157</v>
      </c>
      <c r="U37" s="236">
        <f t="shared" si="2"/>
        <v>3.1101426307448495E-2</v>
      </c>
    </row>
    <row r="38" spans="9:21" ht="20.100000000000001" customHeight="1" thickBot="1" x14ac:dyDescent="0.35">
      <c r="I38" s="230" t="s">
        <v>144</v>
      </c>
      <c r="J38" s="231">
        <v>13</v>
      </c>
      <c r="K38" s="232">
        <v>6</v>
      </c>
      <c r="L38" s="232">
        <v>5</v>
      </c>
      <c r="M38" s="232">
        <v>6</v>
      </c>
      <c r="N38" s="237">
        <v>8</v>
      </c>
      <c r="O38" s="232">
        <v>6</v>
      </c>
      <c r="P38" s="232">
        <v>16</v>
      </c>
      <c r="Q38" s="232">
        <v>7</v>
      </c>
      <c r="R38" s="232"/>
      <c r="S38" s="232"/>
      <c r="T38" s="232">
        <f t="shared" si="1"/>
        <v>67</v>
      </c>
      <c r="U38" s="236">
        <f t="shared" si="2"/>
        <v>1.3272583201267828E-2</v>
      </c>
    </row>
    <row r="39" spans="9:21" ht="20.100000000000001" customHeight="1" thickBot="1" x14ac:dyDescent="0.35">
      <c r="I39" s="230" t="s">
        <v>145</v>
      </c>
      <c r="J39" s="231">
        <v>4</v>
      </c>
      <c r="K39" s="232">
        <v>6</v>
      </c>
      <c r="L39" s="232">
        <v>7</v>
      </c>
      <c r="M39" s="232">
        <v>6</v>
      </c>
      <c r="N39" s="237">
        <v>7</v>
      </c>
      <c r="O39" s="232">
        <v>11</v>
      </c>
      <c r="P39" s="232">
        <v>4</v>
      </c>
      <c r="Q39" s="232">
        <v>7</v>
      </c>
      <c r="R39" s="232"/>
      <c r="S39" s="232"/>
      <c r="T39" s="232">
        <f t="shared" si="1"/>
        <v>52</v>
      </c>
      <c r="U39" s="236">
        <f t="shared" si="2"/>
        <v>1.0301109350237718E-2</v>
      </c>
    </row>
    <row r="40" spans="9:21" ht="20.100000000000001" customHeight="1" thickBot="1" x14ac:dyDescent="0.35">
      <c r="I40" s="230" t="s">
        <v>205</v>
      </c>
      <c r="J40" s="231">
        <v>0</v>
      </c>
      <c r="K40" s="232">
        <v>0</v>
      </c>
      <c r="L40" s="232">
        <v>0</v>
      </c>
      <c r="M40" s="238">
        <v>0</v>
      </c>
      <c r="N40" s="237">
        <v>0</v>
      </c>
      <c r="O40" s="232">
        <v>0</v>
      </c>
      <c r="P40" s="232">
        <v>2</v>
      </c>
      <c r="Q40" s="232">
        <v>7</v>
      </c>
      <c r="R40" s="232"/>
      <c r="S40" s="232"/>
      <c r="T40" s="232">
        <f t="shared" si="1"/>
        <v>9</v>
      </c>
      <c r="U40" s="236">
        <f t="shared" si="2"/>
        <v>1.7828843106180666E-3</v>
      </c>
    </row>
    <row r="41" spans="9:21" ht="15.75" thickBot="1" x14ac:dyDescent="0.3">
      <c r="I41" s="239" t="s">
        <v>296</v>
      </c>
      <c r="J41" s="240">
        <f t="shared" ref="J41:S41" si="3">SUM(J34:J40)</f>
        <v>547</v>
      </c>
      <c r="K41" s="241">
        <f t="shared" si="3"/>
        <v>592</v>
      </c>
      <c r="L41" s="241">
        <f t="shared" si="3"/>
        <v>580</v>
      </c>
      <c r="M41" s="242">
        <f t="shared" si="3"/>
        <v>796</v>
      </c>
      <c r="N41" s="247">
        <f t="shared" si="3"/>
        <v>581</v>
      </c>
      <c r="O41" s="247">
        <f t="shared" si="3"/>
        <v>552</v>
      </c>
      <c r="P41" s="247">
        <f>SUM(P34:P40)</f>
        <v>837</v>
      </c>
      <c r="Q41" s="247">
        <f>SUM(Q34:Q40)</f>
        <v>563</v>
      </c>
      <c r="R41" s="247">
        <f>SUM(R34:R40)</f>
        <v>0</v>
      </c>
      <c r="S41" s="247">
        <f t="shared" si="3"/>
        <v>0</v>
      </c>
      <c r="T41" s="241">
        <f t="shared" si="1"/>
        <v>5048</v>
      </c>
      <c r="U41" s="243">
        <f ca="1">T41/$U$41</f>
        <v>1</v>
      </c>
    </row>
    <row r="43" spans="9:21" ht="15.75" customHeight="1" thickBot="1" x14ac:dyDescent="0.3"/>
    <row r="44" spans="9:21" ht="15.75" customHeight="1" thickBot="1" x14ac:dyDescent="0.3">
      <c r="I44" s="757" t="s">
        <v>312</v>
      </c>
      <c r="J44" s="758"/>
      <c r="K44" s="758"/>
      <c r="L44" s="758"/>
      <c r="M44" s="758"/>
      <c r="N44" s="758"/>
      <c r="O44" s="759"/>
    </row>
    <row r="45" spans="9:21" ht="26.25" thickBot="1" x14ac:dyDescent="0.3">
      <c r="I45" s="269" t="s">
        <v>203</v>
      </c>
      <c r="J45" s="270" t="s">
        <v>390</v>
      </c>
      <c r="K45" s="271" t="s">
        <v>401</v>
      </c>
      <c r="L45" s="271" t="s">
        <v>391</v>
      </c>
      <c r="M45" s="272" t="s">
        <v>161</v>
      </c>
      <c r="N45" s="275" t="s">
        <v>164</v>
      </c>
      <c r="O45" s="276" t="s">
        <v>204</v>
      </c>
    </row>
    <row r="46" spans="9:21" ht="16.5" thickBot="1" x14ac:dyDescent="0.35">
      <c r="I46" s="350" t="s">
        <v>141</v>
      </c>
      <c r="J46" s="231">
        <f>J34+K34+L34</f>
        <v>554</v>
      </c>
      <c r="K46" s="232">
        <f>M34+N34+O34</f>
        <v>672</v>
      </c>
      <c r="L46" s="233">
        <f>P34+Q34+R34</f>
        <v>498</v>
      </c>
      <c r="M46" s="234"/>
      <c r="N46" s="234">
        <f t="shared" ref="N46:N53" si="4">SUM(J46:M46)</f>
        <v>1724</v>
      </c>
      <c r="O46" s="236">
        <f>N46/$T$41</f>
        <v>0.34152139461172742</v>
      </c>
    </row>
    <row r="47" spans="9:21" ht="16.5" thickBot="1" x14ac:dyDescent="0.35">
      <c r="I47" s="350" t="s">
        <v>142</v>
      </c>
      <c r="J47" s="231">
        <f t="shared" ref="J47:J52" si="5">J35+K35+L35</f>
        <v>453</v>
      </c>
      <c r="K47" s="232">
        <f t="shared" ref="K47:K52" si="6">M35+N35+O35</f>
        <v>569</v>
      </c>
      <c r="L47" s="233">
        <f t="shared" ref="L47:L52" si="7">P35+Q35+R35</f>
        <v>394</v>
      </c>
      <c r="M47" s="232"/>
      <c r="N47" s="232">
        <f t="shared" si="4"/>
        <v>1416</v>
      </c>
      <c r="O47" s="236">
        <f t="shared" ref="O47:O52" si="8">N47/$T$41</f>
        <v>0.28050713153724249</v>
      </c>
    </row>
    <row r="48" spans="9:21" ht="16.5" thickBot="1" x14ac:dyDescent="0.35">
      <c r="I48" s="350" t="s">
        <v>110</v>
      </c>
      <c r="J48" s="231">
        <f t="shared" si="5"/>
        <v>610</v>
      </c>
      <c r="K48" s="232">
        <f t="shared" si="6"/>
        <v>584</v>
      </c>
      <c r="L48" s="233">
        <f t="shared" si="7"/>
        <v>429</v>
      </c>
      <c r="M48" s="232"/>
      <c r="N48" s="232">
        <f t="shared" si="4"/>
        <v>1623</v>
      </c>
      <c r="O48" s="236">
        <f t="shared" si="8"/>
        <v>0.32151347068145802</v>
      </c>
    </row>
    <row r="49" spans="9:15" ht="27.75" thickBot="1" x14ac:dyDescent="0.35">
      <c r="I49" s="350" t="s">
        <v>143</v>
      </c>
      <c r="J49" s="231">
        <f t="shared" si="5"/>
        <v>61</v>
      </c>
      <c r="K49" s="232">
        <f t="shared" si="6"/>
        <v>60</v>
      </c>
      <c r="L49" s="233">
        <f t="shared" si="7"/>
        <v>36</v>
      </c>
      <c r="M49" s="232"/>
      <c r="N49" s="232">
        <f t="shared" si="4"/>
        <v>157</v>
      </c>
      <c r="O49" s="236">
        <f t="shared" si="8"/>
        <v>3.1101426307448495E-2</v>
      </c>
    </row>
    <row r="50" spans="9:15" ht="27.75" thickBot="1" x14ac:dyDescent="0.35">
      <c r="I50" s="350" t="s">
        <v>144</v>
      </c>
      <c r="J50" s="231">
        <f t="shared" si="5"/>
        <v>24</v>
      </c>
      <c r="K50" s="232">
        <f t="shared" si="6"/>
        <v>20</v>
      </c>
      <c r="L50" s="233">
        <f t="shared" si="7"/>
        <v>23</v>
      </c>
      <c r="M50" s="232"/>
      <c r="N50" s="232">
        <f t="shared" si="4"/>
        <v>67</v>
      </c>
      <c r="O50" s="236">
        <f t="shared" si="8"/>
        <v>1.3272583201267828E-2</v>
      </c>
    </row>
    <row r="51" spans="9:15" ht="41.25" thickBot="1" x14ac:dyDescent="0.35">
      <c r="I51" s="350" t="s">
        <v>145</v>
      </c>
      <c r="J51" s="231">
        <f t="shared" si="5"/>
        <v>17</v>
      </c>
      <c r="K51" s="232">
        <f t="shared" si="6"/>
        <v>24</v>
      </c>
      <c r="L51" s="233">
        <f t="shared" si="7"/>
        <v>11</v>
      </c>
      <c r="M51" s="232"/>
      <c r="N51" s="232">
        <f t="shared" si="4"/>
        <v>52</v>
      </c>
      <c r="O51" s="236">
        <f t="shared" si="8"/>
        <v>1.0301109350237718E-2</v>
      </c>
    </row>
    <row r="52" spans="9:15" ht="41.25" thickBot="1" x14ac:dyDescent="0.35">
      <c r="I52" s="350" t="s">
        <v>205</v>
      </c>
      <c r="J52" s="231">
        <f t="shared" si="5"/>
        <v>0</v>
      </c>
      <c r="K52" s="232">
        <f t="shared" si="6"/>
        <v>0</v>
      </c>
      <c r="L52" s="233">
        <f t="shared" si="7"/>
        <v>9</v>
      </c>
      <c r="M52" s="238"/>
      <c r="N52" s="232">
        <f t="shared" si="4"/>
        <v>9</v>
      </c>
      <c r="O52" s="236">
        <f t="shared" si="8"/>
        <v>1.7828843106180666E-3</v>
      </c>
    </row>
    <row r="53" spans="9:15" ht="15.75" thickBot="1" x14ac:dyDescent="0.3">
      <c r="I53" s="351" t="s">
        <v>296</v>
      </c>
      <c r="J53" s="352">
        <f>SUM(J46:J52)</f>
        <v>1719</v>
      </c>
      <c r="K53" s="353">
        <f>SUM(K46:K52)</f>
        <v>1929</v>
      </c>
      <c r="L53" s="353">
        <f>SUM(L46:L52)</f>
        <v>1400</v>
      </c>
      <c r="M53" s="275"/>
      <c r="N53" s="353">
        <f t="shared" si="4"/>
        <v>5048</v>
      </c>
      <c r="O53" s="354">
        <f ca="1">N53/$U$41</f>
        <v>1</v>
      </c>
    </row>
  </sheetData>
  <mergeCells count="4">
    <mergeCell ref="I32:U32"/>
    <mergeCell ref="H7:R7"/>
    <mergeCell ref="I44:O44"/>
    <mergeCell ref="H19:L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30B6-4652-4B66-B97A-153EA9EDB7E0}">
  <dimension ref="B4:AA269"/>
  <sheetViews>
    <sheetView topLeftCell="E183" workbookViewId="0">
      <selection activeCell="O205" sqref="O205"/>
    </sheetView>
  </sheetViews>
  <sheetFormatPr baseColWidth="10" defaultRowHeight="15" x14ac:dyDescent="0.25"/>
  <cols>
    <col min="3" max="3" width="22.5703125" customWidth="1"/>
    <col min="4" max="4" width="17.7109375" bestFit="1" customWidth="1"/>
    <col min="5" max="5" width="19.42578125" customWidth="1"/>
    <col min="8" max="8" width="14.42578125" customWidth="1"/>
    <col min="15" max="15" width="13.28515625" bestFit="1" customWidth="1"/>
    <col min="16" max="16" width="12.7109375" bestFit="1" customWidth="1"/>
    <col min="18" max="23" width="0" hidden="1" customWidth="1"/>
  </cols>
  <sheetData>
    <row r="4" spans="8:16" ht="15.75" thickBot="1" x14ac:dyDescent="0.3"/>
    <row r="5" spans="8:16" ht="16.5" customHeight="1" thickBot="1" x14ac:dyDescent="0.3">
      <c r="H5" s="766" t="s">
        <v>197</v>
      </c>
      <c r="I5" s="764"/>
      <c r="J5" s="764"/>
      <c r="K5" s="764"/>
      <c r="L5" s="764"/>
      <c r="M5" s="764"/>
      <c r="N5" s="763"/>
    </row>
    <row r="6" spans="8:16" ht="15.75" thickBot="1" x14ac:dyDescent="0.3">
      <c r="H6" s="769" t="s">
        <v>319</v>
      </c>
      <c r="I6" s="737" t="s">
        <v>150</v>
      </c>
      <c r="J6" s="738"/>
      <c r="K6" s="739" t="s">
        <v>300</v>
      </c>
      <c r="L6" s="737"/>
      <c r="M6" s="738" t="s">
        <v>149</v>
      </c>
      <c r="N6" s="765"/>
    </row>
    <row r="7" spans="8:16" ht="15.75" thickBot="1" x14ac:dyDescent="0.3">
      <c r="H7" s="770"/>
      <c r="I7" s="204">
        <v>2025</v>
      </c>
      <c r="J7" s="204">
        <v>2026</v>
      </c>
      <c r="K7" s="204">
        <v>2025</v>
      </c>
      <c r="L7" s="204">
        <v>2026</v>
      </c>
      <c r="M7" s="204">
        <v>2025</v>
      </c>
      <c r="N7" s="204">
        <v>2026</v>
      </c>
    </row>
    <row r="8" spans="8:16" ht="17.25" thickBot="1" x14ac:dyDescent="0.35">
      <c r="H8" s="201" t="s">
        <v>152</v>
      </c>
      <c r="I8" s="216">
        <v>77</v>
      </c>
      <c r="J8" s="206">
        <v>83</v>
      </c>
      <c r="K8" s="207">
        <v>60</v>
      </c>
      <c r="L8" s="206">
        <v>67</v>
      </c>
      <c r="M8" s="206">
        <v>26</v>
      </c>
      <c r="N8" s="208">
        <v>28</v>
      </c>
      <c r="O8">
        <f t="shared" ref="O8:P16" si="0">I8+K8+M8</f>
        <v>163</v>
      </c>
      <c r="P8">
        <f t="shared" si="0"/>
        <v>178</v>
      </c>
    </row>
    <row r="9" spans="8:16" ht="17.25" thickBot="1" x14ac:dyDescent="0.35">
      <c r="H9" s="186" t="s">
        <v>153</v>
      </c>
      <c r="I9" s="565">
        <v>86</v>
      </c>
      <c r="J9" s="467">
        <v>81</v>
      </c>
      <c r="K9" s="468">
        <v>83</v>
      </c>
      <c r="L9" s="467">
        <v>72</v>
      </c>
      <c r="M9" s="467">
        <v>15</v>
      </c>
      <c r="N9" s="469">
        <v>22</v>
      </c>
      <c r="O9">
        <f t="shared" si="0"/>
        <v>184</v>
      </c>
      <c r="P9">
        <f t="shared" si="0"/>
        <v>175</v>
      </c>
    </row>
    <row r="10" spans="8:16" ht="17.25" thickBot="1" x14ac:dyDescent="0.35">
      <c r="H10" s="186" t="s">
        <v>363</v>
      </c>
      <c r="I10" s="565">
        <v>75</v>
      </c>
      <c r="J10" s="467">
        <v>67</v>
      </c>
      <c r="K10" s="468">
        <v>93</v>
      </c>
      <c r="L10" s="467">
        <v>86</v>
      </c>
      <c r="M10" s="467">
        <v>19</v>
      </c>
      <c r="N10" s="469">
        <v>49</v>
      </c>
      <c r="O10">
        <f t="shared" si="0"/>
        <v>187</v>
      </c>
      <c r="P10">
        <f t="shared" si="0"/>
        <v>202</v>
      </c>
    </row>
    <row r="11" spans="8:16" ht="17.25" thickBot="1" x14ac:dyDescent="0.35">
      <c r="H11" s="186" t="s">
        <v>328</v>
      </c>
      <c r="I11" s="565">
        <v>370</v>
      </c>
      <c r="J11" s="467">
        <v>112</v>
      </c>
      <c r="K11" s="468">
        <v>57</v>
      </c>
      <c r="L11" s="467">
        <v>95</v>
      </c>
      <c r="M11" s="467">
        <v>15</v>
      </c>
      <c r="N11" s="469">
        <v>66</v>
      </c>
      <c r="O11">
        <f t="shared" si="0"/>
        <v>442</v>
      </c>
      <c r="P11">
        <f t="shared" si="0"/>
        <v>273</v>
      </c>
    </row>
    <row r="12" spans="8:16" ht="17.25" thickBot="1" x14ac:dyDescent="0.35">
      <c r="H12" s="186" t="s">
        <v>354</v>
      </c>
      <c r="I12" s="565">
        <v>63</v>
      </c>
      <c r="J12" s="467">
        <v>72</v>
      </c>
      <c r="K12" s="468">
        <v>55</v>
      </c>
      <c r="L12" s="467">
        <v>95</v>
      </c>
      <c r="M12" s="467">
        <v>27</v>
      </c>
      <c r="N12" s="469">
        <v>52</v>
      </c>
      <c r="O12">
        <f t="shared" ref="O12:P14" si="1">I12+K12+M12</f>
        <v>145</v>
      </c>
      <c r="P12">
        <f t="shared" si="1"/>
        <v>219</v>
      </c>
    </row>
    <row r="13" spans="8:16" ht="17.25" thickBot="1" x14ac:dyDescent="0.35">
      <c r="H13" s="186" t="s">
        <v>157</v>
      </c>
      <c r="I13" s="565">
        <v>57</v>
      </c>
      <c r="J13" s="467">
        <v>78</v>
      </c>
      <c r="K13" s="468">
        <v>66</v>
      </c>
      <c r="L13" s="467">
        <v>57</v>
      </c>
      <c r="M13" s="467">
        <v>26</v>
      </c>
      <c r="N13" s="469">
        <v>45</v>
      </c>
      <c r="O13">
        <f t="shared" si="1"/>
        <v>149</v>
      </c>
      <c r="P13">
        <f t="shared" si="1"/>
        <v>180</v>
      </c>
    </row>
    <row r="14" spans="8:16" ht="17.25" thickBot="1" x14ac:dyDescent="0.35">
      <c r="H14" s="186" t="s">
        <v>158</v>
      </c>
      <c r="I14" s="565">
        <v>54</v>
      </c>
      <c r="J14" s="467">
        <v>88</v>
      </c>
      <c r="K14" s="468">
        <v>88</v>
      </c>
      <c r="L14" s="467">
        <v>140</v>
      </c>
      <c r="M14" s="467">
        <v>37</v>
      </c>
      <c r="N14" s="469">
        <v>77</v>
      </c>
      <c r="O14">
        <f t="shared" si="1"/>
        <v>179</v>
      </c>
      <c r="P14">
        <f t="shared" si="1"/>
        <v>305</v>
      </c>
    </row>
    <row r="15" spans="8:16" ht="17.25" thickBot="1" x14ac:dyDescent="0.35">
      <c r="H15" s="186" t="s">
        <v>159</v>
      </c>
      <c r="I15" s="565">
        <v>94</v>
      </c>
      <c r="J15" s="467">
        <v>55</v>
      </c>
      <c r="K15" s="468">
        <v>59</v>
      </c>
      <c r="L15" s="467">
        <v>88</v>
      </c>
      <c r="M15" s="467">
        <v>14</v>
      </c>
      <c r="N15" s="469">
        <v>50</v>
      </c>
      <c r="O15">
        <f t="shared" si="0"/>
        <v>167</v>
      </c>
      <c r="P15">
        <f t="shared" si="0"/>
        <v>193</v>
      </c>
    </row>
    <row r="16" spans="8:16" ht="15.75" thickBot="1" x14ac:dyDescent="0.3">
      <c r="H16" s="186" t="s">
        <v>164</v>
      </c>
      <c r="I16" s="329">
        <f t="shared" ref="I16:N16" si="2">SUM(I8:I15)</f>
        <v>876</v>
      </c>
      <c r="J16" s="327">
        <f t="shared" si="2"/>
        <v>636</v>
      </c>
      <c r="K16" s="330">
        <f t="shared" si="2"/>
        <v>561</v>
      </c>
      <c r="L16" s="327">
        <f t="shared" si="2"/>
        <v>700</v>
      </c>
      <c r="M16" s="327">
        <f t="shared" si="2"/>
        <v>179</v>
      </c>
      <c r="N16" s="328">
        <f t="shared" si="2"/>
        <v>389</v>
      </c>
      <c r="O16" s="471">
        <f t="shared" si="0"/>
        <v>1616</v>
      </c>
      <c r="P16" s="321">
        <f t="shared" si="0"/>
        <v>1725</v>
      </c>
    </row>
    <row r="17" spans="8:24" ht="16.5" x14ac:dyDescent="0.3">
      <c r="H17" s="187"/>
      <c r="I17" s="188"/>
      <c r="J17" s="188"/>
      <c r="K17" s="188"/>
      <c r="L17" s="188"/>
      <c r="M17" s="188"/>
      <c r="N17" s="188"/>
    </row>
    <row r="18" spans="8:24" ht="16.5" x14ac:dyDescent="0.3">
      <c r="H18" s="187"/>
      <c r="I18" s="188">
        <f>J16-I16</f>
        <v>-240</v>
      </c>
      <c r="J18" s="188"/>
      <c r="K18" s="188"/>
      <c r="L18" s="188">
        <f>L16-K16</f>
        <v>139</v>
      </c>
      <c r="M18" s="188"/>
      <c r="N18" s="188">
        <f>N16-M16</f>
        <v>210</v>
      </c>
      <c r="O18" s="323"/>
      <c r="P18" s="323"/>
      <c r="Q18" s="323"/>
      <c r="R18" s="323"/>
      <c r="S18" s="323"/>
      <c r="T18" s="323"/>
      <c r="U18" s="323"/>
      <c r="V18" s="323"/>
    </row>
    <row r="19" spans="8:24" ht="16.5" x14ac:dyDescent="0.3">
      <c r="H19" s="187"/>
      <c r="I19" s="188"/>
      <c r="J19" s="188"/>
      <c r="K19" s="188"/>
      <c r="L19" s="188"/>
      <c r="M19" s="188"/>
      <c r="N19" s="188"/>
      <c r="O19" s="323"/>
      <c r="P19" s="323"/>
      <c r="Q19" s="323"/>
      <c r="R19" s="323"/>
      <c r="S19" s="323"/>
      <c r="T19" s="323"/>
      <c r="U19" s="323"/>
      <c r="V19" s="323"/>
    </row>
    <row r="20" spans="8:24" ht="16.5" x14ac:dyDescent="0.3">
      <c r="H20" s="187"/>
      <c r="I20" s="188"/>
      <c r="J20" s="188"/>
      <c r="K20" s="188"/>
      <c r="L20" s="188"/>
      <c r="M20" s="188"/>
      <c r="N20" s="188"/>
      <c r="O20" s="323"/>
      <c r="P20" s="323"/>
      <c r="Q20" s="323"/>
      <c r="R20" s="323"/>
      <c r="S20" s="323"/>
      <c r="T20" s="323"/>
      <c r="U20" s="323"/>
      <c r="V20" s="323"/>
    </row>
    <row r="21" spans="8:24" ht="16.5" x14ac:dyDescent="0.3">
      <c r="H21" s="187"/>
      <c r="I21" s="188"/>
      <c r="J21" s="188"/>
      <c r="K21" s="188"/>
      <c r="L21" s="188"/>
      <c r="M21" s="188"/>
      <c r="N21" s="188"/>
      <c r="O21" s="323"/>
      <c r="P21" s="323"/>
      <c r="Q21" s="323"/>
      <c r="R21" s="323"/>
      <c r="S21" s="323"/>
      <c r="T21" s="323"/>
      <c r="U21" s="323"/>
      <c r="V21" s="323"/>
    </row>
    <row r="22" spans="8:24" ht="16.5" x14ac:dyDescent="0.3">
      <c r="H22" s="187"/>
      <c r="I22" s="188">
        <f>I16+K16+M16</f>
        <v>1616</v>
      </c>
      <c r="J22" s="188">
        <f>J16+L16+N16</f>
        <v>1725</v>
      </c>
      <c r="K22" s="188"/>
      <c r="L22" s="188"/>
      <c r="M22" s="188"/>
      <c r="N22" s="188">
        <f>I22</f>
        <v>1616</v>
      </c>
      <c r="O22" s="323"/>
      <c r="P22" s="323"/>
      <c r="Q22" s="323"/>
      <c r="R22" s="323"/>
      <c r="S22" s="323"/>
      <c r="T22" s="323"/>
      <c r="U22" s="323"/>
      <c r="V22" s="323"/>
    </row>
    <row r="23" spans="8:24" ht="16.5" x14ac:dyDescent="0.3">
      <c r="H23" s="187"/>
      <c r="I23" s="188"/>
      <c r="J23" s="188">
        <f>J22-I22</f>
        <v>109</v>
      </c>
      <c r="K23" s="188"/>
      <c r="L23" s="188"/>
      <c r="M23" s="188"/>
      <c r="N23" s="188">
        <f>J23</f>
        <v>109</v>
      </c>
      <c r="O23" s="323"/>
      <c r="P23" s="323">
        <f>((J22-I22)/I22)*100</f>
        <v>6.7450495049504955</v>
      </c>
      <c r="Q23" s="323"/>
      <c r="R23" s="323"/>
      <c r="S23" s="323"/>
      <c r="T23" s="323"/>
      <c r="U23" s="323"/>
      <c r="V23" s="323"/>
    </row>
    <row r="24" spans="8:24" ht="16.5" customHeight="1" x14ac:dyDescent="0.3">
      <c r="H24" s="187"/>
      <c r="I24" s="188"/>
      <c r="J24" s="188"/>
      <c r="K24" s="188"/>
      <c r="L24" s="188"/>
      <c r="M24" s="188"/>
      <c r="N24" s="188"/>
      <c r="O24" s="323"/>
      <c r="P24" s="323"/>
      <c r="Q24" s="323"/>
      <c r="R24" s="323"/>
      <c r="S24" s="323"/>
      <c r="T24" s="323"/>
      <c r="U24" s="323"/>
      <c r="V24" s="323"/>
    </row>
    <row r="25" spans="8:24" ht="16.5" x14ac:dyDescent="0.3">
      <c r="N25" s="188"/>
      <c r="O25" s="323"/>
      <c r="P25" s="323"/>
      <c r="Q25" s="323"/>
      <c r="R25" s="323"/>
      <c r="S25" s="323"/>
      <c r="T25" s="323"/>
      <c r="U25" s="323"/>
      <c r="V25" s="323"/>
    </row>
    <row r="26" spans="8:24" ht="17.25" thickBot="1" x14ac:dyDescent="0.35">
      <c r="O26" s="188"/>
      <c r="P26" s="188"/>
      <c r="Q26" s="188"/>
      <c r="R26" s="188"/>
      <c r="S26" s="188"/>
      <c r="T26" s="188"/>
      <c r="U26" s="188"/>
      <c r="V26" s="188"/>
    </row>
    <row r="27" spans="8:24" ht="17.25" thickBot="1" x14ac:dyDescent="0.35">
      <c r="H27" s="766" t="s">
        <v>198</v>
      </c>
      <c r="I27" s="764"/>
      <c r="J27" s="764"/>
      <c r="K27" s="764"/>
      <c r="L27" s="764"/>
      <c r="M27" s="764"/>
      <c r="N27" s="763"/>
      <c r="O27" s="188"/>
      <c r="P27" s="188"/>
      <c r="Q27" s="188"/>
      <c r="R27" s="188"/>
      <c r="S27" s="188"/>
      <c r="T27" s="188"/>
      <c r="U27" s="188"/>
      <c r="V27" s="188"/>
    </row>
    <row r="28" spans="8:24" ht="17.25" thickBot="1" x14ac:dyDescent="0.35">
      <c r="H28" s="769" t="s">
        <v>319</v>
      </c>
      <c r="I28" s="737" t="s">
        <v>150</v>
      </c>
      <c r="J28" s="738"/>
      <c r="K28" s="739" t="s">
        <v>300</v>
      </c>
      <c r="L28" s="764"/>
      <c r="M28" s="738" t="s">
        <v>149</v>
      </c>
      <c r="N28" s="765"/>
      <c r="O28" s="188"/>
      <c r="P28" s="188"/>
      <c r="Q28" s="188"/>
      <c r="R28" s="188"/>
      <c r="S28" s="188"/>
      <c r="T28" s="188"/>
      <c r="U28" s="188"/>
      <c r="V28" s="188"/>
    </row>
    <row r="29" spans="8:24" ht="17.25" thickBot="1" x14ac:dyDescent="0.35">
      <c r="H29" s="770"/>
      <c r="I29" s="204">
        <v>2025</v>
      </c>
      <c r="J29" s="204">
        <v>2026</v>
      </c>
      <c r="K29" s="204">
        <v>2025</v>
      </c>
      <c r="L29" s="204">
        <v>2026</v>
      </c>
      <c r="M29" s="204">
        <v>2025</v>
      </c>
      <c r="N29" s="204">
        <v>2026</v>
      </c>
      <c r="O29" s="188"/>
      <c r="P29" s="188"/>
      <c r="Q29" s="188"/>
      <c r="R29" s="188"/>
      <c r="S29" s="188"/>
      <c r="T29" s="188"/>
      <c r="U29" s="188"/>
      <c r="V29" s="188"/>
    </row>
    <row r="30" spans="8:24" ht="17.25" thickBot="1" x14ac:dyDescent="0.35">
      <c r="H30" s="201" t="s">
        <v>152</v>
      </c>
      <c r="I30" s="216">
        <v>69</v>
      </c>
      <c r="J30" s="206">
        <v>84</v>
      </c>
      <c r="K30" s="207">
        <v>29</v>
      </c>
      <c r="L30" s="206">
        <v>34</v>
      </c>
      <c r="M30" s="206">
        <v>26</v>
      </c>
      <c r="N30" s="208">
        <v>29</v>
      </c>
      <c r="O30" s="188">
        <f>I30+K30+M30</f>
        <v>124</v>
      </c>
      <c r="P30" s="188">
        <f>J30+L30+N30</f>
        <v>147</v>
      </c>
      <c r="Q30" s="188"/>
      <c r="R30" s="188"/>
      <c r="S30" s="188"/>
      <c r="T30" s="188"/>
      <c r="U30" s="188"/>
      <c r="V30" s="188"/>
      <c r="W30" s="188"/>
      <c r="X30" s="188"/>
    </row>
    <row r="31" spans="8:24" ht="17.25" thickBot="1" x14ac:dyDescent="0.35">
      <c r="H31" s="186" t="s">
        <v>153</v>
      </c>
      <c r="I31" s="565">
        <v>80</v>
      </c>
      <c r="J31" s="467">
        <v>73</v>
      </c>
      <c r="K31" s="468">
        <v>75</v>
      </c>
      <c r="L31" s="467">
        <v>49</v>
      </c>
      <c r="M31" s="467">
        <v>16</v>
      </c>
      <c r="N31" s="469">
        <v>25</v>
      </c>
      <c r="O31" s="188">
        <f>I31+K31+M31</f>
        <v>171</v>
      </c>
      <c r="P31" s="188">
        <f>J31+L31+N31</f>
        <v>147</v>
      </c>
      <c r="Q31" s="188"/>
      <c r="R31" s="188"/>
      <c r="S31" s="188"/>
      <c r="T31" s="188"/>
      <c r="U31" s="188"/>
      <c r="V31" s="188"/>
      <c r="W31" s="188"/>
      <c r="X31" s="188"/>
    </row>
    <row r="32" spans="8:24" ht="17.25" thickBot="1" x14ac:dyDescent="0.35">
      <c r="H32" s="186" t="s">
        <v>363</v>
      </c>
      <c r="I32" s="565">
        <v>78</v>
      </c>
      <c r="J32" s="467">
        <v>67</v>
      </c>
      <c r="K32" s="468">
        <v>83</v>
      </c>
      <c r="L32" s="467">
        <v>46</v>
      </c>
      <c r="M32" s="467">
        <v>18</v>
      </c>
      <c r="N32" s="469">
        <v>46</v>
      </c>
      <c r="O32" s="188">
        <f t="shared" ref="O32:P33" si="3">I32+K32+M32</f>
        <v>179</v>
      </c>
      <c r="P32" s="188">
        <f t="shared" si="3"/>
        <v>159</v>
      </c>
      <c r="Q32" s="188"/>
      <c r="R32" s="188"/>
      <c r="S32" s="188"/>
      <c r="T32" s="188"/>
      <c r="U32" s="188"/>
      <c r="V32" s="188"/>
      <c r="W32" s="188"/>
      <c r="X32" s="188"/>
    </row>
    <row r="33" spans="5:24" ht="17.25" thickBot="1" x14ac:dyDescent="0.35">
      <c r="H33" s="186" t="s">
        <v>328</v>
      </c>
      <c r="I33" s="565">
        <v>369</v>
      </c>
      <c r="J33" s="467">
        <v>109</v>
      </c>
      <c r="K33" s="468">
        <v>50</v>
      </c>
      <c r="L33" s="467">
        <v>74</v>
      </c>
      <c r="M33" s="467">
        <v>13</v>
      </c>
      <c r="N33" s="469">
        <v>68</v>
      </c>
      <c r="O33" s="188">
        <f t="shared" si="3"/>
        <v>432</v>
      </c>
      <c r="P33" s="188">
        <f t="shared" si="3"/>
        <v>251</v>
      </c>
      <c r="Q33" s="188"/>
      <c r="R33" s="188"/>
      <c r="S33" s="188"/>
      <c r="T33" s="188"/>
      <c r="U33" s="188"/>
      <c r="V33" s="188"/>
      <c r="W33" s="188"/>
      <c r="X33" s="188"/>
    </row>
    <row r="34" spans="5:24" ht="17.25" thickBot="1" x14ac:dyDescent="0.35">
      <c r="H34" s="186" t="s">
        <v>354</v>
      </c>
      <c r="I34" s="565">
        <v>63</v>
      </c>
      <c r="J34" s="467">
        <v>63</v>
      </c>
      <c r="K34" s="468">
        <v>39</v>
      </c>
      <c r="L34" s="467">
        <v>47</v>
      </c>
      <c r="M34" s="467">
        <v>29</v>
      </c>
      <c r="N34" s="469">
        <v>51</v>
      </c>
      <c r="O34" s="188">
        <f>I34+K34+M34</f>
        <v>131</v>
      </c>
      <c r="P34" s="188">
        <f>J34+L34+N34</f>
        <v>161</v>
      </c>
      <c r="Q34" s="188"/>
      <c r="R34" s="188"/>
      <c r="S34" s="188"/>
      <c r="T34" s="188"/>
      <c r="U34" s="188"/>
      <c r="V34" s="188"/>
      <c r="W34" s="188"/>
      <c r="X34" s="188"/>
    </row>
    <row r="35" spans="5:24" ht="17.25" thickBot="1" x14ac:dyDescent="0.35">
      <c r="H35" s="186" t="s">
        <v>157</v>
      </c>
      <c r="I35" s="565">
        <v>56</v>
      </c>
      <c r="J35" s="467">
        <v>77</v>
      </c>
      <c r="K35" s="468">
        <v>45</v>
      </c>
      <c r="L35" s="467">
        <v>36</v>
      </c>
      <c r="M35" s="467">
        <v>26</v>
      </c>
      <c r="N35" s="469">
        <v>44</v>
      </c>
      <c r="O35" s="188">
        <f>I35+K35+M35</f>
        <v>127</v>
      </c>
      <c r="P35" s="188">
        <f>J35+L35+N35</f>
        <v>157</v>
      </c>
      <c r="Q35" s="188"/>
      <c r="R35" s="188"/>
      <c r="S35" s="188"/>
      <c r="T35" s="188"/>
      <c r="U35" s="188"/>
      <c r="V35" s="188"/>
      <c r="W35" s="188"/>
      <c r="X35" s="188"/>
    </row>
    <row r="36" spans="5:24" ht="17.25" thickBot="1" x14ac:dyDescent="0.35">
      <c r="H36" s="186" t="s">
        <v>602</v>
      </c>
      <c r="I36" s="565">
        <v>47</v>
      </c>
      <c r="J36" s="467">
        <v>85</v>
      </c>
      <c r="K36" s="468">
        <v>69</v>
      </c>
      <c r="L36" s="467">
        <v>78</v>
      </c>
      <c r="M36" s="467">
        <v>34</v>
      </c>
      <c r="N36" s="469">
        <v>73</v>
      </c>
      <c r="O36" s="188">
        <f t="shared" ref="O36:O37" si="4">I36+K36+M36</f>
        <v>150</v>
      </c>
      <c r="P36" s="188">
        <f t="shared" ref="P36:P37" si="5">J36+L36+N36</f>
        <v>236</v>
      </c>
      <c r="Q36" s="188"/>
      <c r="R36" s="188"/>
      <c r="S36" s="188"/>
      <c r="T36" s="188"/>
      <c r="U36" s="188"/>
      <c r="V36" s="188"/>
      <c r="W36" s="188"/>
      <c r="X36" s="188"/>
    </row>
    <row r="37" spans="5:24" ht="17.25" thickBot="1" x14ac:dyDescent="0.35">
      <c r="H37" s="186" t="s">
        <v>384</v>
      </c>
      <c r="I37" s="565">
        <v>96</v>
      </c>
      <c r="J37" s="467">
        <v>56</v>
      </c>
      <c r="K37" s="468">
        <v>42</v>
      </c>
      <c r="L37" s="467">
        <v>55</v>
      </c>
      <c r="M37" s="467">
        <v>12</v>
      </c>
      <c r="N37" s="469">
        <v>47</v>
      </c>
      <c r="O37" s="188">
        <f t="shared" si="4"/>
        <v>150</v>
      </c>
      <c r="P37" s="188">
        <f t="shared" si="5"/>
        <v>158</v>
      </c>
      <c r="Q37" s="188"/>
      <c r="R37" s="188"/>
      <c r="S37" s="188"/>
      <c r="T37" s="188"/>
      <c r="U37" s="188"/>
      <c r="V37" s="188"/>
      <c r="W37" s="188"/>
      <c r="X37" s="188"/>
    </row>
    <row r="38" spans="5:24" ht="17.25" thickBot="1" x14ac:dyDescent="0.35">
      <c r="H38" s="186" t="s">
        <v>164</v>
      </c>
      <c r="I38" s="464">
        <f t="shared" ref="I38:M38" si="6">SUM(I30:I37)</f>
        <v>858</v>
      </c>
      <c r="J38" s="330">
        <f t="shared" si="6"/>
        <v>614</v>
      </c>
      <c r="K38" s="330">
        <f t="shared" si="6"/>
        <v>432</v>
      </c>
      <c r="L38" s="330">
        <f t="shared" si="6"/>
        <v>419</v>
      </c>
      <c r="M38" s="566">
        <f t="shared" si="6"/>
        <v>174</v>
      </c>
      <c r="N38" s="176">
        <f>SUM(N30:N37)</f>
        <v>383</v>
      </c>
      <c r="O38" s="322">
        <f>I38+K38+M38</f>
        <v>1464</v>
      </c>
      <c r="P38" s="322">
        <f>J38+L38+N38</f>
        <v>1416</v>
      </c>
      <c r="Q38" s="188"/>
      <c r="R38" s="188"/>
      <c r="S38" s="188"/>
      <c r="T38" s="188"/>
      <c r="U38" s="188"/>
      <c r="V38" s="188"/>
      <c r="W38" s="188"/>
      <c r="X38" s="188"/>
    </row>
    <row r="39" spans="5:24" ht="17.25" thickBot="1" x14ac:dyDescent="0.35">
      <c r="H39" s="187"/>
      <c r="I39" s="188"/>
      <c r="J39" s="188"/>
      <c r="K39" s="188"/>
      <c r="L39" s="188"/>
      <c r="M39" s="188"/>
      <c r="N39" s="465"/>
      <c r="O39" s="188"/>
      <c r="P39" s="188"/>
      <c r="Q39" s="188"/>
      <c r="R39" s="188"/>
      <c r="S39" s="188"/>
      <c r="T39" s="188"/>
      <c r="U39" s="188"/>
      <c r="V39" s="188"/>
      <c r="W39" s="188"/>
      <c r="X39" s="188"/>
    </row>
    <row r="40" spans="5:24" ht="16.5" x14ac:dyDescent="0.3">
      <c r="H40" s="187"/>
      <c r="I40" s="188">
        <f>I38-J38</f>
        <v>244</v>
      </c>
      <c r="J40" s="188"/>
      <c r="K40" s="188"/>
      <c r="L40" s="188">
        <f>K38-L38</f>
        <v>13</v>
      </c>
      <c r="M40" s="188"/>
      <c r="N40" s="188">
        <f>M38-N38</f>
        <v>-209</v>
      </c>
      <c r="O40" s="188"/>
      <c r="P40" s="188"/>
      <c r="Q40" s="188"/>
      <c r="R40" s="188"/>
      <c r="S40" s="188"/>
      <c r="T40" s="188"/>
      <c r="U40" s="188"/>
      <c r="V40" s="188"/>
      <c r="W40" s="188"/>
      <c r="X40" s="188"/>
    </row>
    <row r="41" spans="5:24" ht="16.5" x14ac:dyDescent="0.3">
      <c r="E41" s="19"/>
      <c r="F41" s="19"/>
      <c r="G41" s="19"/>
      <c r="H41" s="187"/>
      <c r="I41" s="188">
        <f>I38+K38+M38</f>
        <v>1464</v>
      </c>
      <c r="J41" s="188">
        <f>J38+L38+N38</f>
        <v>1416</v>
      </c>
      <c r="K41" s="188"/>
      <c r="L41" s="188"/>
      <c r="M41" s="188"/>
      <c r="N41" s="188"/>
      <c r="O41" s="323">
        <f>((J41-I41)/I41)*100</f>
        <v>-3.278688524590164</v>
      </c>
      <c r="P41" s="188"/>
      <c r="Q41" s="188"/>
      <c r="R41" s="188"/>
      <c r="S41" s="188"/>
      <c r="T41" s="188"/>
      <c r="U41" s="188"/>
      <c r="V41" s="188"/>
    </row>
    <row r="42" spans="5:24" ht="29.25" customHeight="1" x14ac:dyDescent="0.3">
      <c r="H42" s="187"/>
      <c r="I42" s="188"/>
      <c r="J42" s="188">
        <f>J41-I41</f>
        <v>-48</v>
      </c>
      <c r="K42" s="188"/>
      <c r="L42" s="188"/>
      <c r="M42" s="188"/>
      <c r="N42" s="188"/>
    </row>
    <row r="43" spans="5:24" ht="16.5" customHeight="1" x14ac:dyDescent="0.3">
      <c r="H43" s="187"/>
      <c r="I43" s="188"/>
      <c r="J43" s="188"/>
      <c r="K43" s="188"/>
      <c r="L43" s="188"/>
      <c r="M43" s="188"/>
      <c r="N43" s="188"/>
      <c r="O43" s="321"/>
      <c r="P43" s="321"/>
      <c r="Q43" s="321"/>
      <c r="R43" s="321"/>
      <c r="S43" s="321"/>
      <c r="T43" s="321"/>
      <c r="U43" s="321"/>
      <c r="V43" s="321"/>
    </row>
    <row r="44" spans="5:24" ht="16.5" customHeight="1" x14ac:dyDescent="0.3">
      <c r="H44" s="187"/>
      <c r="I44" s="188"/>
      <c r="J44" s="188"/>
      <c r="K44" s="188"/>
      <c r="L44" s="188"/>
      <c r="M44" s="188"/>
      <c r="N44" s="188"/>
      <c r="O44" s="321"/>
      <c r="P44" s="321"/>
      <c r="Q44" s="321"/>
      <c r="R44" s="321"/>
      <c r="S44" s="321"/>
      <c r="T44" s="321"/>
      <c r="U44" s="321"/>
      <c r="V44" s="321"/>
    </row>
    <row r="45" spans="5:24" ht="17.25" customHeight="1" x14ac:dyDescent="0.3">
      <c r="H45" s="187"/>
      <c r="I45" s="188"/>
      <c r="J45" s="188"/>
      <c r="K45" s="188"/>
      <c r="L45" s="188"/>
      <c r="M45" s="188"/>
      <c r="N45" s="188"/>
      <c r="O45" s="322"/>
      <c r="P45" s="322"/>
      <c r="Q45" s="322"/>
      <c r="R45" s="322"/>
      <c r="S45" s="322"/>
      <c r="T45" s="322"/>
      <c r="U45" s="322"/>
      <c r="V45" s="322"/>
    </row>
    <row r="46" spans="5:24" ht="17.25" customHeight="1" x14ac:dyDescent="0.3">
      <c r="H46" s="187"/>
      <c r="I46" s="188"/>
      <c r="J46" s="188"/>
      <c r="K46" s="188"/>
      <c r="L46" s="188"/>
      <c r="M46" s="188"/>
      <c r="N46" s="188"/>
      <c r="O46" s="323"/>
      <c r="P46" s="323"/>
      <c r="Q46" s="323"/>
      <c r="R46" s="323"/>
      <c r="S46" s="323"/>
      <c r="T46" s="323"/>
      <c r="U46" s="323"/>
      <c r="V46" s="323"/>
    </row>
    <row r="47" spans="5:24" ht="17.25" customHeight="1" thickBot="1" x14ac:dyDescent="0.3">
      <c r="O47" s="323"/>
      <c r="P47" s="323"/>
      <c r="Q47" s="323"/>
      <c r="R47" s="323"/>
      <c r="S47" s="323"/>
      <c r="T47" s="323"/>
      <c r="U47" s="323"/>
      <c r="V47" s="323"/>
    </row>
    <row r="48" spans="5:24" ht="17.25" thickBot="1" x14ac:dyDescent="0.3">
      <c r="H48" s="766" t="s">
        <v>110</v>
      </c>
      <c r="I48" s="764"/>
      <c r="J48" s="764"/>
      <c r="K48" s="764"/>
      <c r="L48" s="764"/>
      <c r="M48" s="764"/>
      <c r="N48" s="763"/>
      <c r="O48" s="323"/>
      <c r="P48" s="323"/>
      <c r="Q48" s="323"/>
      <c r="R48" s="323"/>
      <c r="S48" s="323"/>
      <c r="T48" s="323"/>
      <c r="U48" s="323"/>
      <c r="V48" s="323"/>
    </row>
    <row r="49" spans="8:22" ht="17.25" thickBot="1" x14ac:dyDescent="0.3">
      <c r="H49" s="735" t="s">
        <v>319</v>
      </c>
      <c r="I49" s="766" t="s">
        <v>150</v>
      </c>
      <c r="J49" s="737"/>
      <c r="K49" s="739" t="s">
        <v>300</v>
      </c>
      <c r="L49" s="737"/>
      <c r="M49" s="739" t="s">
        <v>149</v>
      </c>
      <c r="N49" s="763"/>
      <c r="O49" s="323"/>
      <c r="P49" s="323"/>
      <c r="Q49" s="323"/>
      <c r="R49" s="323"/>
      <c r="S49" s="323"/>
      <c r="T49" s="323"/>
      <c r="U49" s="323"/>
      <c r="V49" s="323"/>
    </row>
    <row r="50" spans="8:22" ht="17.25" thickBot="1" x14ac:dyDescent="0.3">
      <c r="H50" s="767"/>
      <c r="I50" s="204">
        <v>2025</v>
      </c>
      <c r="J50" s="204">
        <v>2026</v>
      </c>
      <c r="K50" s="204">
        <v>2025</v>
      </c>
      <c r="L50" s="204">
        <v>2026</v>
      </c>
      <c r="M50" s="204">
        <v>2025</v>
      </c>
      <c r="N50" s="204">
        <v>2026</v>
      </c>
      <c r="O50" s="323"/>
      <c r="P50" s="323"/>
      <c r="Q50" s="323"/>
      <c r="R50" s="323"/>
      <c r="S50" s="323"/>
      <c r="T50" s="323"/>
      <c r="U50" s="323"/>
      <c r="V50" s="323"/>
    </row>
    <row r="51" spans="8:22" ht="17.25" thickBot="1" x14ac:dyDescent="0.35">
      <c r="H51" s="201" t="s">
        <v>152</v>
      </c>
      <c r="I51" s="216">
        <v>164</v>
      </c>
      <c r="J51" s="206">
        <v>165</v>
      </c>
      <c r="K51" s="207">
        <v>15</v>
      </c>
      <c r="L51" s="206">
        <v>13</v>
      </c>
      <c r="M51" s="206">
        <v>8</v>
      </c>
      <c r="N51" s="208">
        <v>10</v>
      </c>
      <c r="O51" s="323">
        <f t="shared" ref="O51:P59" si="7">I51+K51+M51</f>
        <v>187</v>
      </c>
      <c r="P51" s="323">
        <f t="shared" si="7"/>
        <v>188</v>
      </c>
      <c r="Q51" s="323"/>
      <c r="R51" s="323"/>
      <c r="S51" s="323"/>
      <c r="T51" s="323"/>
      <c r="U51" s="323"/>
      <c r="V51" s="323"/>
    </row>
    <row r="52" spans="8:22" ht="17.25" thickBot="1" x14ac:dyDescent="0.35">
      <c r="H52" s="186" t="s">
        <v>153</v>
      </c>
      <c r="I52" s="565">
        <v>162</v>
      </c>
      <c r="J52" s="467">
        <v>210</v>
      </c>
      <c r="K52" s="468">
        <v>21</v>
      </c>
      <c r="L52" s="467">
        <v>14</v>
      </c>
      <c r="M52" s="467">
        <v>3</v>
      </c>
      <c r="N52" s="469">
        <v>6</v>
      </c>
      <c r="O52" s="323">
        <f t="shared" si="7"/>
        <v>186</v>
      </c>
      <c r="P52" s="323">
        <f t="shared" si="7"/>
        <v>230</v>
      </c>
      <c r="Q52" s="323"/>
      <c r="R52" s="323"/>
      <c r="S52" s="323"/>
      <c r="T52" s="323"/>
      <c r="U52" s="323"/>
      <c r="V52" s="323"/>
    </row>
    <row r="53" spans="8:22" ht="17.25" thickBot="1" x14ac:dyDescent="0.35">
      <c r="H53" s="186" t="s">
        <v>363</v>
      </c>
      <c r="I53" s="565">
        <v>154</v>
      </c>
      <c r="J53" s="467">
        <v>154</v>
      </c>
      <c r="K53" s="468">
        <v>17</v>
      </c>
      <c r="L53" s="467">
        <v>17</v>
      </c>
      <c r="M53" s="467">
        <v>9</v>
      </c>
      <c r="N53" s="469">
        <v>18</v>
      </c>
      <c r="O53" s="323">
        <f t="shared" si="7"/>
        <v>180</v>
      </c>
      <c r="P53" s="323">
        <f t="shared" si="7"/>
        <v>189</v>
      </c>
      <c r="Q53" s="323"/>
      <c r="R53" s="323"/>
      <c r="S53" s="323"/>
      <c r="T53" s="323"/>
      <c r="U53" s="323"/>
      <c r="V53" s="323"/>
    </row>
    <row r="54" spans="8:22" ht="17.25" thickBot="1" x14ac:dyDescent="0.35">
      <c r="H54" s="186" t="s">
        <v>155</v>
      </c>
      <c r="I54" s="565">
        <v>459</v>
      </c>
      <c r="J54" s="467">
        <v>216</v>
      </c>
      <c r="K54" s="468">
        <v>8</v>
      </c>
      <c r="L54" s="467">
        <v>8</v>
      </c>
      <c r="M54" s="467">
        <v>4</v>
      </c>
      <c r="N54" s="469">
        <v>18</v>
      </c>
      <c r="O54" s="323">
        <f t="shared" si="7"/>
        <v>471</v>
      </c>
      <c r="P54" s="323">
        <f t="shared" si="7"/>
        <v>242</v>
      </c>
      <c r="Q54" s="323"/>
      <c r="R54" s="323"/>
      <c r="S54" s="323"/>
      <c r="T54" s="323"/>
      <c r="U54" s="323"/>
      <c r="V54" s="323"/>
    </row>
    <row r="55" spans="8:22" ht="17.25" thickBot="1" x14ac:dyDescent="0.35">
      <c r="H55" s="186" t="s">
        <v>354</v>
      </c>
      <c r="I55" s="565">
        <v>150</v>
      </c>
      <c r="J55" s="467">
        <v>152</v>
      </c>
      <c r="K55" s="468">
        <v>18</v>
      </c>
      <c r="L55" s="467">
        <v>8</v>
      </c>
      <c r="M55" s="467">
        <v>5</v>
      </c>
      <c r="N55" s="469">
        <v>12</v>
      </c>
      <c r="O55" s="323">
        <f t="shared" si="7"/>
        <v>173</v>
      </c>
      <c r="P55" s="323">
        <f t="shared" si="7"/>
        <v>172</v>
      </c>
      <c r="Q55" s="323"/>
      <c r="R55" s="323"/>
      <c r="S55" s="323"/>
      <c r="T55" s="323"/>
      <c r="U55" s="323"/>
      <c r="V55" s="323"/>
    </row>
    <row r="56" spans="8:22" ht="17.25" thickBot="1" x14ac:dyDescent="0.35">
      <c r="H56" s="186" t="s">
        <v>157</v>
      </c>
      <c r="I56" s="565">
        <v>137</v>
      </c>
      <c r="J56" s="467">
        <v>152</v>
      </c>
      <c r="K56" s="468">
        <v>15</v>
      </c>
      <c r="L56" s="467">
        <v>3</v>
      </c>
      <c r="M56" s="467">
        <v>11</v>
      </c>
      <c r="N56" s="469">
        <v>14</v>
      </c>
      <c r="O56" s="323">
        <f t="shared" ref="O56" si="8">I56+K56+M56</f>
        <v>163</v>
      </c>
      <c r="P56" s="323">
        <f t="shared" ref="P56" si="9">J56+L56+N56</f>
        <v>169</v>
      </c>
      <c r="Q56" s="323"/>
      <c r="R56" s="323"/>
      <c r="S56" s="323"/>
      <c r="T56" s="323"/>
      <c r="U56" s="323"/>
      <c r="V56" s="323"/>
    </row>
    <row r="57" spans="8:22" ht="17.25" thickBot="1" x14ac:dyDescent="0.35">
      <c r="H57" s="186" t="s">
        <v>158</v>
      </c>
      <c r="I57" s="565">
        <v>129</v>
      </c>
      <c r="J57" s="467">
        <v>213</v>
      </c>
      <c r="K57" s="468">
        <v>16</v>
      </c>
      <c r="L57" s="467">
        <v>21</v>
      </c>
      <c r="M57" s="467">
        <v>14</v>
      </c>
      <c r="N57" s="469">
        <v>23</v>
      </c>
      <c r="O57" s="323">
        <f t="shared" ref="O57" si="10">I57+K57+M57</f>
        <v>159</v>
      </c>
      <c r="P57" s="323">
        <f t="shared" ref="P57" si="11">J57+L57+N57</f>
        <v>257</v>
      </c>
      <c r="Q57" s="323"/>
      <c r="R57" s="323"/>
      <c r="S57" s="323"/>
      <c r="T57" s="323"/>
      <c r="U57" s="323"/>
      <c r="V57" s="323"/>
    </row>
    <row r="58" spans="8:22" ht="17.25" thickBot="1" x14ac:dyDescent="0.35">
      <c r="H58" s="186" t="s">
        <v>384</v>
      </c>
      <c r="I58" s="565">
        <v>175</v>
      </c>
      <c r="J58" s="467">
        <v>141</v>
      </c>
      <c r="K58" s="468">
        <v>17</v>
      </c>
      <c r="L58" s="467">
        <v>17</v>
      </c>
      <c r="M58" s="467">
        <v>10</v>
      </c>
      <c r="N58" s="469">
        <v>12</v>
      </c>
      <c r="O58" s="323">
        <f t="shared" si="7"/>
        <v>202</v>
      </c>
      <c r="P58" s="323">
        <f t="shared" si="7"/>
        <v>170</v>
      </c>
      <c r="Q58" s="323"/>
      <c r="R58" s="323"/>
      <c r="S58" s="323"/>
      <c r="T58" s="323"/>
      <c r="U58" s="323"/>
      <c r="V58" s="323"/>
    </row>
    <row r="59" spans="8:22" ht="17.25" thickBot="1" x14ac:dyDescent="0.3">
      <c r="H59" s="326" t="s">
        <v>164</v>
      </c>
      <c r="I59" s="464">
        <f t="shared" ref="I59:N59" si="12">SUM(I51:I58)</f>
        <v>1530</v>
      </c>
      <c r="J59" s="330">
        <f t="shared" si="12"/>
        <v>1403</v>
      </c>
      <c r="K59" s="330">
        <f t="shared" si="12"/>
        <v>127</v>
      </c>
      <c r="L59" s="330">
        <f t="shared" si="12"/>
        <v>101</v>
      </c>
      <c r="M59" s="330">
        <f t="shared" si="12"/>
        <v>64</v>
      </c>
      <c r="N59" s="330">
        <f t="shared" si="12"/>
        <v>113</v>
      </c>
      <c r="O59" s="321">
        <f t="shared" si="7"/>
        <v>1721</v>
      </c>
      <c r="P59" s="321">
        <f t="shared" si="7"/>
        <v>1617</v>
      </c>
      <c r="Q59" s="323"/>
      <c r="R59" s="323"/>
      <c r="S59" s="323"/>
      <c r="T59" s="323"/>
      <c r="U59" s="323"/>
      <c r="V59" s="323"/>
    </row>
    <row r="60" spans="8:22" ht="16.5" x14ac:dyDescent="0.3">
      <c r="H60" s="187"/>
      <c r="I60" s="188"/>
      <c r="J60" s="188"/>
      <c r="K60" s="188"/>
      <c r="L60" s="188"/>
      <c r="M60" s="188"/>
      <c r="N60" s="188"/>
      <c r="O60" s="323"/>
      <c r="P60" s="323"/>
      <c r="Q60" s="323"/>
      <c r="R60" s="323"/>
      <c r="S60" s="323"/>
      <c r="T60" s="323"/>
      <c r="U60" s="323"/>
      <c r="V60" s="323"/>
    </row>
    <row r="61" spans="8:22" ht="16.5" x14ac:dyDescent="0.3">
      <c r="H61" s="187"/>
      <c r="I61" s="188"/>
      <c r="J61" s="188">
        <f>J59-I59</f>
        <v>-127</v>
      </c>
      <c r="K61" s="188"/>
      <c r="L61" s="188">
        <f>L59-K59</f>
        <v>-26</v>
      </c>
      <c r="M61" s="188"/>
      <c r="N61" s="188">
        <f>N59-M59</f>
        <v>49</v>
      </c>
      <c r="O61" s="323"/>
      <c r="P61" s="323"/>
      <c r="Q61" s="323"/>
      <c r="R61" s="323"/>
      <c r="S61" s="323"/>
      <c r="T61" s="323"/>
      <c r="U61" s="323"/>
      <c r="V61" s="323"/>
    </row>
    <row r="62" spans="8:22" ht="16.5" x14ac:dyDescent="0.3">
      <c r="H62" s="187"/>
      <c r="I62" s="188">
        <f>I59+K59+M59</f>
        <v>1721</v>
      </c>
      <c r="J62" s="188">
        <f>J59+L59+N59</f>
        <v>1617</v>
      </c>
      <c r="K62" s="188"/>
      <c r="L62" s="188"/>
      <c r="M62" s="188"/>
      <c r="N62" s="188">
        <f>I62</f>
        <v>1721</v>
      </c>
      <c r="O62" s="323">
        <f>((J62-I62)/I62)*100</f>
        <v>-6.0429982568274259</v>
      </c>
      <c r="P62" s="323"/>
      <c r="Q62" s="323"/>
      <c r="R62" s="323"/>
      <c r="S62" s="323"/>
      <c r="T62" s="323"/>
      <c r="U62" s="323"/>
      <c r="V62" s="323"/>
    </row>
    <row r="63" spans="8:22" ht="16.5" x14ac:dyDescent="0.3">
      <c r="H63" s="187"/>
      <c r="I63" s="188"/>
      <c r="J63" s="188">
        <f>J62-I62</f>
        <v>-104</v>
      </c>
      <c r="K63" s="188"/>
      <c r="L63" s="188"/>
      <c r="M63" s="188"/>
      <c r="N63" s="188">
        <f>J63</f>
        <v>-104</v>
      </c>
      <c r="O63" s="323"/>
      <c r="P63" s="188"/>
      <c r="Q63" s="188"/>
      <c r="R63" s="188"/>
      <c r="S63" s="188"/>
      <c r="T63" s="188"/>
      <c r="U63" s="188"/>
      <c r="V63" s="188"/>
    </row>
    <row r="64" spans="8:22" ht="16.5" x14ac:dyDescent="0.3">
      <c r="H64" s="187"/>
      <c r="I64" s="188"/>
      <c r="J64" s="188"/>
      <c r="K64" s="188"/>
      <c r="L64" s="188"/>
      <c r="M64" s="188"/>
      <c r="N64" s="188"/>
      <c r="O64" s="188"/>
      <c r="P64" s="188"/>
      <c r="Q64" s="188"/>
      <c r="R64" s="188"/>
      <c r="S64" s="188"/>
      <c r="T64" s="188"/>
      <c r="U64" s="188"/>
      <c r="V64" s="188"/>
    </row>
    <row r="65" spans="8:24" ht="16.5" x14ac:dyDescent="0.3">
      <c r="H65" s="187"/>
      <c r="I65" s="188"/>
      <c r="J65" s="188"/>
      <c r="K65" s="188"/>
      <c r="L65" s="188"/>
      <c r="M65" s="188"/>
      <c r="N65" s="188">
        <f>I59</f>
        <v>1530</v>
      </c>
      <c r="O65" s="188"/>
      <c r="P65" s="188"/>
      <c r="Q65" s="188"/>
      <c r="R65" s="188"/>
      <c r="S65" s="188"/>
      <c r="T65" s="188"/>
      <c r="U65" s="188"/>
      <c r="V65" s="188"/>
      <c r="W65" s="188"/>
      <c r="X65" s="188"/>
    </row>
    <row r="66" spans="8:24" ht="16.5" x14ac:dyDescent="0.3">
      <c r="H66" s="187"/>
      <c r="I66" s="188"/>
      <c r="J66" s="188"/>
      <c r="K66" s="188"/>
      <c r="L66" s="188"/>
      <c r="M66" s="188"/>
      <c r="N66" s="188">
        <f>J59-I59</f>
        <v>-127</v>
      </c>
      <c r="O66" s="188"/>
      <c r="P66" s="188"/>
      <c r="Q66" s="188"/>
      <c r="R66" s="188"/>
      <c r="S66" s="188"/>
      <c r="T66" s="188"/>
      <c r="U66" s="188"/>
      <c r="V66" s="188"/>
      <c r="W66" s="188"/>
      <c r="X66" s="188"/>
    </row>
    <row r="67" spans="8:24" ht="16.5" x14ac:dyDescent="0.3">
      <c r="H67" s="187"/>
      <c r="I67" s="188"/>
      <c r="J67" s="188"/>
      <c r="K67" s="188"/>
      <c r="L67" s="188"/>
      <c r="M67" s="188"/>
      <c r="N67" s="188"/>
      <c r="O67" s="188"/>
      <c r="P67" s="188"/>
      <c r="Q67" s="188"/>
      <c r="R67" s="188"/>
      <c r="S67" s="188"/>
      <c r="T67" s="188"/>
      <c r="U67" s="188"/>
      <c r="V67" s="188"/>
      <c r="W67" s="188"/>
      <c r="X67" s="188"/>
    </row>
    <row r="68" spans="8:24" ht="16.5" x14ac:dyDescent="0.3">
      <c r="H68" s="187"/>
      <c r="I68" s="188"/>
      <c r="J68" s="188"/>
      <c r="K68" s="188"/>
      <c r="L68" s="188"/>
      <c r="M68" s="188"/>
      <c r="N68" s="188"/>
      <c r="O68" s="188"/>
      <c r="P68" s="188"/>
      <c r="Q68" s="188"/>
      <c r="R68" s="188"/>
      <c r="S68" s="188"/>
      <c r="T68" s="188"/>
      <c r="U68" s="188"/>
      <c r="V68" s="188"/>
      <c r="W68" s="188"/>
      <c r="X68" s="188"/>
    </row>
    <row r="69" spans="8:24" ht="16.5" x14ac:dyDescent="0.3">
      <c r="H69" s="187"/>
      <c r="I69" s="188"/>
      <c r="J69" s="188"/>
      <c r="K69" s="188"/>
      <c r="L69" s="188"/>
      <c r="M69" s="188"/>
      <c r="N69" s="188"/>
      <c r="O69" s="188"/>
      <c r="P69" s="188"/>
      <c r="Q69" s="188"/>
      <c r="R69" s="188"/>
      <c r="S69" s="188"/>
      <c r="T69" s="188"/>
      <c r="U69" s="188"/>
      <c r="V69" s="188"/>
      <c r="W69" s="188"/>
      <c r="X69" s="188"/>
    </row>
    <row r="70" spans="8:24" ht="16.5" x14ac:dyDescent="0.3">
      <c r="H70" s="187"/>
      <c r="I70" s="188"/>
      <c r="J70" s="188"/>
      <c r="K70" s="188"/>
      <c r="L70" s="188"/>
      <c r="M70" s="188"/>
      <c r="N70" s="188"/>
      <c r="O70" s="188"/>
      <c r="P70" s="188"/>
      <c r="Q70" s="188"/>
      <c r="R70" s="188"/>
      <c r="S70" s="188"/>
      <c r="T70" s="188"/>
      <c r="U70" s="188"/>
      <c r="V70" s="188"/>
      <c r="W70" s="188"/>
      <c r="X70" s="188"/>
    </row>
    <row r="71" spans="8:24" ht="16.5" x14ac:dyDescent="0.3">
      <c r="H71" s="187"/>
      <c r="I71" s="188"/>
      <c r="J71" s="188"/>
      <c r="K71" s="188"/>
      <c r="L71" s="188"/>
      <c r="M71" s="188"/>
      <c r="N71" s="188"/>
      <c r="O71" s="188"/>
      <c r="P71" s="188"/>
      <c r="Q71" s="188"/>
      <c r="R71" s="188"/>
      <c r="S71" s="188"/>
      <c r="T71" s="188"/>
      <c r="U71" s="188"/>
      <c r="V71" s="188"/>
      <c r="W71" s="188"/>
      <c r="X71" s="188"/>
    </row>
    <row r="72" spans="8:24" ht="16.5" x14ac:dyDescent="0.3">
      <c r="H72" s="187"/>
      <c r="I72" s="188"/>
      <c r="J72" s="188"/>
      <c r="K72" s="188"/>
      <c r="L72" s="188"/>
      <c r="M72" s="188"/>
      <c r="N72" s="188"/>
    </row>
    <row r="73" spans="8:24" ht="16.5" x14ac:dyDescent="0.3">
      <c r="H73" s="187"/>
      <c r="I73" s="188"/>
      <c r="J73" s="188"/>
      <c r="K73" s="188"/>
      <c r="L73" s="188"/>
      <c r="M73" s="188"/>
      <c r="N73" s="188"/>
      <c r="O73" s="321"/>
      <c r="P73" s="321"/>
      <c r="Q73" s="321"/>
      <c r="R73" s="321"/>
      <c r="S73" s="321"/>
      <c r="T73" s="321"/>
      <c r="U73" s="321"/>
      <c r="V73" s="321"/>
    </row>
    <row r="74" spans="8:24" ht="16.5" customHeight="1" thickBot="1" x14ac:dyDescent="0.3">
      <c r="O74" s="321"/>
      <c r="P74" s="321"/>
      <c r="Q74" s="321"/>
      <c r="R74" s="321"/>
      <c r="S74" s="321"/>
      <c r="T74" s="321"/>
      <c r="U74" s="321"/>
      <c r="V74" s="321"/>
    </row>
    <row r="75" spans="8:24" ht="17.25" customHeight="1" thickBot="1" x14ac:dyDescent="0.3">
      <c r="H75" s="766" t="s">
        <v>297</v>
      </c>
      <c r="I75" s="764"/>
      <c r="J75" s="764"/>
      <c r="K75" s="764"/>
      <c r="L75" s="764"/>
      <c r="M75" s="764"/>
      <c r="N75" s="763"/>
      <c r="O75" s="322"/>
      <c r="P75" s="322"/>
      <c r="Q75" s="322"/>
      <c r="R75" s="322"/>
      <c r="S75" s="322"/>
      <c r="T75" s="322"/>
      <c r="U75" s="322"/>
      <c r="V75" s="322"/>
    </row>
    <row r="76" spans="8:24" ht="17.25" thickBot="1" x14ac:dyDescent="0.3">
      <c r="H76" s="735" t="s">
        <v>319</v>
      </c>
      <c r="I76" s="766" t="s">
        <v>150</v>
      </c>
      <c r="J76" s="737"/>
      <c r="K76" s="739" t="s">
        <v>300</v>
      </c>
      <c r="L76" s="737"/>
      <c r="M76" s="739" t="s">
        <v>149</v>
      </c>
      <c r="N76" s="763"/>
      <c r="O76" s="323"/>
      <c r="P76" s="323"/>
      <c r="Q76" s="323"/>
      <c r="R76" s="323"/>
      <c r="S76" s="323"/>
      <c r="T76" s="323"/>
      <c r="U76" s="323"/>
      <c r="V76" s="323"/>
    </row>
    <row r="77" spans="8:24" ht="17.25" customHeight="1" thickBot="1" x14ac:dyDescent="0.3">
      <c r="H77" s="767"/>
      <c r="I77" s="204">
        <v>2025</v>
      </c>
      <c r="J77" s="204">
        <v>2026</v>
      </c>
      <c r="K77" s="204">
        <v>2025</v>
      </c>
      <c r="L77" s="204">
        <v>2026</v>
      </c>
      <c r="M77" s="204">
        <v>2025</v>
      </c>
      <c r="N77" s="204">
        <v>2026</v>
      </c>
      <c r="O77" s="323"/>
      <c r="P77" s="323"/>
      <c r="Q77" s="323"/>
      <c r="R77" s="323"/>
      <c r="S77" s="323"/>
      <c r="T77" s="323"/>
      <c r="U77" s="323"/>
      <c r="V77" s="323"/>
    </row>
    <row r="78" spans="8:24" ht="17.25" thickBot="1" x14ac:dyDescent="0.35">
      <c r="H78" s="201" t="s">
        <v>152</v>
      </c>
      <c r="I78" s="216">
        <v>3</v>
      </c>
      <c r="J78" s="206">
        <v>3</v>
      </c>
      <c r="K78" s="207">
        <v>16</v>
      </c>
      <c r="L78" s="206">
        <v>10</v>
      </c>
      <c r="M78" s="206">
        <v>0</v>
      </c>
      <c r="N78" s="208">
        <v>5</v>
      </c>
      <c r="O78" s="323">
        <f t="shared" ref="O78:P86" si="13">I78+K78+M78</f>
        <v>19</v>
      </c>
      <c r="P78" s="323">
        <f t="shared" si="13"/>
        <v>18</v>
      </c>
      <c r="Q78" s="323"/>
      <c r="R78" s="323"/>
      <c r="S78" s="323"/>
      <c r="T78" s="323"/>
      <c r="U78" s="323"/>
      <c r="V78" s="323"/>
    </row>
    <row r="79" spans="8:24" ht="17.25" thickBot="1" x14ac:dyDescent="0.35">
      <c r="H79" s="186" t="s">
        <v>153</v>
      </c>
      <c r="I79" s="565">
        <v>2</v>
      </c>
      <c r="J79" s="467">
        <v>3</v>
      </c>
      <c r="K79" s="468">
        <v>24</v>
      </c>
      <c r="L79" s="467">
        <v>20</v>
      </c>
      <c r="M79" s="467">
        <v>2</v>
      </c>
      <c r="N79" s="469">
        <v>2</v>
      </c>
      <c r="O79" s="323">
        <f t="shared" si="13"/>
        <v>28</v>
      </c>
      <c r="P79" s="323">
        <f t="shared" si="13"/>
        <v>25</v>
      </c>
      <c r="Q79" s="323"/>
      <c r="R79" s="323"/>
      <c r="S79" s="323"/>
      <c r="T79" s="323"/>
      <c r="U79" s="323"/>
      <c r="V79" s="323"/>
    </row>
    <row r="80" spans="8:24" ht="17.25" thickBot="1" x14ac:dyDescent="0.35">
      <c r="H80" s="186" t="s">
        <v>363</v>
      </c>
      <c r="I80" s="565">
        <v>1</v>
      </c>
      <c r="J80" s="467">
        <v>2</v>
      </c>
      <c r="K80" s="468">
        <v>27</v>
      </c>
      <c r="L80" s="467">
        <v>12</v>
      </c>
      <c r="M80" s="467">
        <v>4</v>
      </c>
      <c r="N80" s="469">
        <v>4</v>
      </c>
      <c r="O80" s="323">
        <f t="shared" si="13"/>
        <v>32</v>
      </c>
      <c r="P80" s="323">
        <f t="shared" si="13"/>
        <v>18</v>
      </c>
      <c r="Q80" s="323"/>
      <c r="R80" s="323"/>
      <c r="S80" s="323"/>
      <c r="T80" s="323"/>
      <c r="U80" s="323"/>
      <c r="V80" s="323"/>
    </row>
    <row r="81" spans="8:24" ht="17.25" thickBot="1" x14ac:dyDescent="0.35">
      <c r="H81" s="186" t="s">
        <v>155</v>
      </c>
      <c r="I81" s="565">
        <v>3</v>
      </c>
      <c r="J81" s="467">
        <v>1</v>
      </c>
      <c r="K81" s="468">
        <v>24</v>
      </c>
      <c r="L81" s="467">
        <v>11</v>
      </c>
      <c r="M81" s="467">
        <v>0</v>
      </c>
      <c r="N81" s="469">
        <v>6</v>
      </c>
      <c r="O81" s="323">
        <f t="shared" si="13"/>
        <v>27</v>
      </c>
      <c r="P81" s="323">
        <f t="shared" si="13"/>
        <v>18</v>
      </c>
      <c r="Q81" s="323"/>
      <c r="R81" s="323"/>
      <c r="S81" s="323"/>
      <c r="T81" s="323"/>
      <c r="U81" s="323"/>
      <c r="V81" s="323"/>
    </row>
    <row r="82" spans="8:24" ht="17.25" thickBot="1" x14ac:dyDescent="0.35">
      <c r="H82" s="186" t="s">
        <v>354</v>
      </c>
      <c r="I82" s="565">
        <v>1</v>
      </c>
      <c r="J82" s="467">
        <v>1</v>
      </c>
      <c r="K82" s="468">
        <v>19</v>
      </c>
      <c r="L82" s="467">
        <v>9</v>
      </c>
      <c r="M82" s="467">
        <v>5</v>
      </c>
      <c r="N82" s="469">
        <v>3</v>
      </c>
      <c r="O82" s="323">
        <f t="shared" ref="O82:P84" si="14">I82+K82+M82</f>
        <v>25</v>
      </c>
      <c r="P82" s="323">
        <f t="shared" si="14"/>
        <v>13</v>
      </c>
      <c r="Q82" s="323"/>
      <c r="R82" s="323"/>
      <c r="S82" s="323"/>
      <c r="T82" s="323"/>
      <c r="U82" s="323"/>
      <c r="V82" s="323"/>
    </row>
    <row r="83" spans="8:24" ht="17.25" thickBot="1" x14ac:dyDescent="0.35">
      <c r="H83" s="186" t="s">
        <v>157</v>
      </c>
      <c r="I83" s="565">
        <v>2</v>
      </c>
      <c r="J83" s="467">
        <v>8</v>
      </c>
      <c r="K83" s="468">
        <v>17</v>
      </c>
      <c r="L83" s="467">
        <v>15</v>
      </c>
      <c r="M83" s="467">
        <v>0</v>
      </c>
      <c r="N83" s="469">
        <v>6</v>
      </c>
      <c r="O83" s="323">
        <f t="shared" si="14"/>
        <v>19</v>
      </c>
      <c r="P83" s="323">
        <f t="shared" si="14"/>
        <v>29</v>
      </c>
      <c r="Q83" s="323"/>
      <c r="R83" s="323"/>
      <c r="S83" s="323"/>
      <c r="T83" s="323"/>
      <c r="U83" s="323"/>
      <c r="V83" s="323"/>
    </row>
    <row r="84" spans="8:24" ht="17.25" thickBot="1" x14ac:dyDescent="0.35">
      <c r="H84" s="186" t="s">
        <v>158</v>
      </c>
      <c r="I84" s="565">
        <v>2</v>
      </c>
      <c r="J84" s="467">
        <v>2</v>
      </c>
      <c r="K84" s="468">
        <v>31</v>
      </c>
      <c r="L84" s="467">
        <v>12</v>
      </c>
      <c r="M84" s="467">
        <v>2</v>
      </c>
      <c r="N84" s="469">
        <v>3</v>
      </c>
      <c r="O84" s="323">
        <f t="shared" si="14"/>
        <v>35</v>
      </c>
      <c r="P84" s="323">
        <f t="shared" si="14"/>
        <v>17</v>
      </c>
      <c r="Q84" s="323"/>
      <c r="R84" s="323"/>
      <c r="S84" s="323"/>
      <c r="T84" s="323"/>
      <c r="U84" s="323"/>
      <c r="V84" s="323"/>
    </row>
    <row r="85" spans="8:24" ht="17.25" thickBot="1" x14ac:dyDescent="0.35">
      <c r="H85" s="186" t="s">
        <v>384</v>
      </c>
      <c r="I85" s="565">
        <v>0</v>
      </c>
      <c r="J85" s="467">
        <v>1</v>
      </c>
      <c r="K85" s="468">
        <v>18</v>
      </c>
      <c r="L85" s="467">
        <v>17</v>
      </c>
      <c r="M85" s="467">
        <v>1</v>
      </c>
      <c r="N85" s="469">
        <v>1</v>
      </c>
      <c r="O85" s="323">
        <f t="shared" si="13"/>
        <v>19</v>
      </c>
      <c r="P85" s="323">
        <f t="shared" si="13"/>
        <v>19</v>
      </c>
      <c r="Q85" s="323"/>
      <c r="R85" s="323"/>
      <c r="S85" s="323"/>
      <c r="T85" s="323"/>
      <c r="U85" s="323"/>
      <c r="V85" s="323"/>
    </row>
    <row r="86" spans="8:24" ht="16.5" customHeight="1" thickBot="1" x14ac:dyDescent="0.3">
      <c r="H86" s="326" t="s">
        <v>164</v>
      </c>
      <c r="I86" s="464">
        <f t="shared" ref="I86:N86" si="15">SUM(I78:I85)</f>
        <v>14</v>
      </c>
      <c r="J86" s="330">
        <f t="shared" si="15"/>
        <v>21</v>
      </c>
      <c r="K86" s="330">
        <f t="shared" si="15"/>
        <v>176</v>
      </c>
      <c r="L86" s="330">
        <f t="shared" si="15"/>
        <v>106</v>
      </c>
      <c r="M86" s="330">
        <f t="shared" si="15"/>
        <v>14</v>
      </c>
      <c r="N86" s="465">
        <f t="shared" si="15"/>
        <v>30</v>
      </c>
      <c r="O86" s="321">
        <f t="shared" si="13"/>
        <v>204</v>
      </c>
      <c r="P86" s="321">
        <f t="shared" si="13"/>
        <v>157</v>
      </c>
      <c r="Q86" s="323"/>
      <c r="R86" s="323"/>
      <c r="S86" s="323"/>
      <c r="T86" s="323"/>
      <c r="U86" s="323"/>
      <c r="V86" s="323"/>
    </row>
    <row r="87" spans="8:24" ht="16.5" customHeight="1" x14ac:dyDescent="0.3">
      <c r="H87" s="187"/>
      <c r="I87" s="188"/>
      <c r="J87" s="188"/>
      <c r="K87" s="188"/>
      <c r="L87" s="188"/>
      <c r="M87" s="188"/>
      <c r="N87" s="188"/>
      <c r="O87" s="323"/>
      <c r="P87" s="323"/>
      <c r="Q87" s="323"/>
      <c r="R87" s="323"/>
      <c r="S87" s="323"/>
      <c r="T87" s="323"/>
      <c r="U87" s="323"/>
      <c r="V87" s="323"/>
    </row>
    <row r="88" spans="8:24" ht="16.5" customHeight="1" x14ac:dyDescent="0.3">
      <c r="H88" s="187"/>
      <c r="I88" s="188">
        <f>I86-J86</f>
        <v>-7</v>
      </c>
      <c r="J88" s="188"/>
      <c r="K88" s="188">
        <f>K86-L86</f>
        <v>70</v>
      </c>
      <c r="L88" s="188"/>
      <c r="M88" s="188">
        <f>M86-N86</f>
        <v>-16</v>
      </c>
      <c r="N88" s="188"/>
      <c r="O88" s="323"/>
      <c r="P88" s="323"/>
      <c r="Q88" s="323"/>
      <c r="R88" s="323"/>
      <c r="S88" s="323"/>
      <c r="T88" s="323"/>
      <c r="U88" s="323"/>
      <c r="V88" s="323"/>
    </row>
    <row r="89" spans="8:24" ht="16.5" customHeight="1" x14ac:dyDescent="0.3">
      <c r="H89" s="187"/>
      <c r="I89" s="188">
        <f>I86+K86+M86</f>
        <v>204</v>
      </c>
      <c r="J89" s="188">
        <f>J86+L86+N86</f>
        <v>157</v>
      </c>
      <c r="K89" s="188"/>
      <c r="L89" s="188"/>
      <c r="M89" s="188"/>
      <c r="N89" s="188">
        <f>I89</f>
        <v>204</v>
      </c>
      <c r="O89" s="323">
        <f>((J89-I89)/I89)*100</f>
        <v>-23.03921568627451</v>
      </c>
      <c r="P89" s="323"/>
      <c r="Q89" s="323"/>
      <c r="R89" s="323"/>
      <c r="S89" s="323"/>
      <c r="T89" s="323"/>
      <c r="U89" s="323"/>
      <c r="V89" s="323"/>
    </row>
    <row r="90" spans="8:24" ht="16.5" customHeight="1" x14ac:dyDescent="0.3">
      <c r="H90" s="187"/>
      <c r="I90" s="188"/>
      <c r="J90" s="188">
        <f>I89-J89</f>
        <v>47</v>
      </c>
      <c r="K90" s="188"/>
      <c r="L90" s="188"/>
      <c r="M90" s="188"/>
      <c r="N90" s="188">
        <f>J90</f>
        <v>47</v>
      </c>
      <c r="O90" s="323"/>
      <c r="P90" s="323"/>
      <c r="Q90" s="323"/>
      <c r="R90" s="323"/>
      <c r="S90" s="323"/>
      <c r="T90" s="323"/>
      <c r="U90" s="323"/>
      <c r="V90" s="323"/>
    </row>
    <row r="91" spans="8:24" ht="16.5" customHeight="1" x14ac:dyDescent="0.3">
      <c r="H91" s="187"/>
      <c r="I91" s="188"/>
      <c r="J91" s="188"/>
      <c r="K91" s="188"/>
      <c r="L91" s="188"/>
      <c r="M91" s="188"/>
      <c r="N91" s="188"/>
      <c r="O91" s="323"/>
      <c r="P91" s="323"/>
      <c r="Q91" s="323"/>
      <c r="R91" s="323"/>
      <c r="S91" s="323"/>
      <c r="T91" s="323"/>
      <c r="U91" s="323"/>
      <c r="V91" s="323"/>
    </row>
    <row r="92" spans="8:24" ht="16.5" customHeight="1" x14ac:dyDescent="0.3">
      <c r="H92" s="187"/>
      <c r="I92" s="188"/>
      <c r="J92" s="188"/>
      <c r="L92" s="188"/>
      <c r="M92" s="188"/>
      <c r="N92" s="188"/>
      <c r="O92" s="323"/>
      <c r="P92" s="323"/>
      <c r="Q92" s="323"/>
      <c r="R92" s="323"/>
      <c r="S92" s="323"/>
      <c r="T92" s="323"/>
      <c r="U92" s="323"/>
      <c r="V92" s="323"/>
    </row>
    <row r="93" spans="8:24" ht="16.5" x14ac:dyDescent="0.3">
      <c r="H93" s="187"/>
      <c r="I93" s="188"/>
      <c r="J93" s="188"/>
      <c r="K93" s="188"/>
      <c r="L93" s="188"/>
      <c r="M93" s="188"/>
      <c r="N93" s="188"/>
      <c r="O93" s="188"/>
      <c r="P93" s="188"/>
      <c r="Q93" s="188"/>
      <c r="R93" s="188"/>
      <c r="S93" s="188"/>
      <c r="T93" s="188"/>
      <c r="U93" s="188"/>
      <c r="V93" s="188"/>
    </row>
    <row r="94" spans="8:24" ht="17.25" thickBot="1" x14ac:dyDescent="0.35">
      <c r="O94" s="188"/>
      <c r="P94" s="188"/>
      <c r="Q94" s="188"/>
      <c r="R94" s="188"/>
      <c r="S94" s="188"/>
      <c r="T94" s="188"/>
      <c r="U94" s="188"/>
      <c r="V94" s="188"/>
    </row>
    <row r="95" spans="8:24" ht="17.25" thickBot="1" x14ac:dyDescent="0.35">
      <c r="H95" s="766" t="s">
        <v>298</v>
      </c>
      <c r="I95" s="764"/>
      <c r="J95" s="764"/>
      <c r="K95" s="764"/>
      <c r="L95" s="764"/>
      <c r="M95" s="764"/>
      <c r="N95" s="763"/>
      <c r="O95" s="188"/>
      <c r="P95" s="188"/>
      <c r="Q95" s="188"/>
      <c r="R95" s="188"/>
      <c r="S95" s="188"/>
      <c r="T95" s="188"/>
      <c r="U95" s="188"/>
      <c r="V95" s="188"/>
      <c r="W95" s="188"/>
      <c r="X95" s="188"/>
    </row>
    <row r="96" spans="8:24" ht="17.25" thickBot="1" x14ac:dyDescent="0.35">
      <c r="H96" s="769" t="s">
        <v>319</v>
      </c>
      <c r="I96" s="737" t="s">
        <v>150</v>
      </c>
      <c r="J96" s="738"/>
      <c r="K96" s="739" t="s">
        <v>300</v>
      </c>
      <c r="L96" s="737"/>
      <c r="M96" s="738" t="s">
        <v>149</v>
      </c>
      <c r="N96" s="765"/>
      <c r="O96" s="188"/>
      <c r="P96" s="188"/>
      <c r="Q96" s="188"/>
      <c r="R96" s="188"/>
      <c r="S96" s="188"/>
      <c r="T96" s="188"/>
      <c r="U96" s="188"/>
      <c r="V96" s="188"/>
      <c r="W96" s="188"/>
      <c r="X96" s="188"/>
    </row>
    <row r="97" spans="8:24" ht="17.25" thickBot="1" x14ac:dyDescent="0.35">
      <c r="H97" s="770"/>
      <c r="I97" s="204">
        <v>2025</v>
      </c>
      <c r="J97" s="204">
        <v>2026</v>
      </c>
      <c r="K97" s="204">
        <v>2025</v>
      </c>
      <c r="L97" s="204">
        <v>2026</v>
      </c>
      <c r="M97" s="204">
        <v>2025</v>
      </c>
      <c r="N97" s="204">
        <v>2026</v>
      </c>
      <c r="O97" s="188"/>
      <c r="P97" s="188"/>
      <c r="Q97" s="188"/>
      <c r="R97" s="188"/>
      <c r="S97" s="188"/>
      <c r="T97" s="188"/>
      <c r="U97" s="188"/>
      <c r="V97" s="188"/>
      <c r="W97" s="188"/>
      <c r="X97" s="188"/>
    </row>
    <row r="98" spans="8:24" ht="17.25" thickBot="1" x14ac:dyDescent="0.35">
      <c r="H98" s="215" t="s">
        <v>152</v>
      </c>
      <c r="I98" s="466">
        <v>6</v>
      </c>
      <c r="J98" s="467">
        <v>11</v>
      </c>
      <c r="K98" s="468">
        <v>1</v>
      </c>
      <c r="L98" s="467">
        <v>2</v>
      </c>
      <c r="M98" s="467">
        <v>2</v>
      </c>
      <c r="N98" s="469">
        <v>0</v>
      </c>
      <c r="O98" s="188">
        <f t="shared" ref="O98:O105" si="16">I98+K98+N98</f>
        <v>7</v>
      </c>
      <c r="P98" s="188">
        <f t="shared" ref="P98:P106" si="17">J98+L98+N98</f>
        <v>13</v>
      </c>
      <c r="Q98" s="188"/>
      <c r="R98" s="188"/>
      <c r="S98" s="188"/>
      <c r="T98" s="188"/>
      <c r="U98" s="188"/>
      <c r="V98" s="188"/>
      <c r="W98" s="188"/>
      <c r="X98" s="188"/>
    </row>
    <row r="99" spans="8:24" ht="17.25" thickBot="1" x14ac:dyDescent="0.35">
      <c r="H99" s="186" t="s">
        <v>153</v>
      </c>
      <c r="I99" s="466">
        <v>11</v>
      </c>
      <c r="J99" s="467">
        <v>6</v>
      </c>
      <c r="K99" s="468">
        <v>0</v>
      </c>
      <c r="L99" s="467">
        <v>0</v>
      </c>
      <c r="M99" s="467">
        <v>0</v>
      </c>
      <c r="N99" s="469">
        <v>0</v>
      </c>
      <c r="O99" s="188">
        <f t="shared" si="16"/>
        <v>11</v>
      </c>
      <c r="P99" s="188">
        <f t="shared" si="17"/>
        <v>6</v>
      </c>
      <c r="Q99" s="188"/>
      <c r="R99" s="188"/>
      <c r="S99" s="188"/>
      <c r="T99" s="188"/>
      <c r="U99" s="188"/>
      <c r="V99" s="188"/>
      <c r="W99" s="188"/>
      <c r="X99" s="188"/>
    </row>
    <row r="100" spans="8:24" ht="17.25" thickBot="1" x14ac:dyDescent="0.35">
      <c r="H100" s="186" t="s">
        <v>363</v>
      </c>
      <c r="I100" s="466">
        <v>3</v>
      </c>
      <c r="J100" s="467">
        <v>4</v>
      </c>
      <c r="K100" s="468">
        <v>2</v>
      </c>
      <c r="L100" s="467">
        <v>1</v>
      </c>
      <c r="M100" s="467">
        <v>0</v>
      </c>
      <c r="N100" s="469">
        <v>0</v>
      </c>
      <c r="O100" s="188">
        <f t="shared" si="16"/>
        <v>5</v>
      </c>
      <c r="P100" s="188">
        <f t="shared" si="17"/>
        <v>5</v>
      </c>
      <c r="Q100" s="188"/>
      <c r="R100" s="188"/>
      <c r="S100" s="188"/>
      <c r="T100" s="188"/>
      <c r="U100" s="188"/>
      <c r="V100" s="188"/>
      <c r="W100" s="188"/>
      <c r="X100" s="188"/>
    </row>
    <row r="101" spans="8:24" ht="17.25" thickBot="1" x14ac:dyDescent="0.35">
      <c r="H101" s="186" t="s">
        <v>328</v>
      </c>
      <c r="I101" s="466">
        <v>11</v>
      </c>
      <c r="J101" s="467">
        <v>6</v>
      </c>
      <c r="K101" s="468">
        <v>1</v>
      </c>
      <c r="L101" s="467">
        <v>0</v>
      </c>
      <c r="M101" s="467">
        <v>0</v>
      </c>
      <c r="N101" s="469">
        <v>0</v>
      </c>
      <c r="O101" s="188">
        <f t="shared" si="16"/>
        <v>12</v>
      </c>
      <c r="P101" s="188">
        <f t="shared" si="17"/>
        <v>6</v>
      </c>
      <c r="Q101" s="188"/>
      <c r="R101" s="188"/>
      <c r="S101" s="188"/>
      <c r="T101" s="188"/>
      <c r="U101" s="188"/>
      <c r="V101" s="188"/>
      <c r="W101" s="188"/>
      <c r="X101" s="188"/>
    </row>
    <row r="102" spans="8:24" ht="17.25" thickBot="1" x14ac:dyDescent="0.35">
      <c r="H102" s="186" t="s">
        <v>354</v>
      </c>
      <c r="I102" s="466">
        <v>4</v>
      </c>
      <c r="J102" s="467">
        <v>6</v>
      </c>
      <c r="K102" s="468">
        <v>2</v>
      </c>
      <c r="L102" s="467">
        <v>2</v>
      </c>
      <c r="M102" s="467">
        <v>0</v>
      </c>
      <c r="N102" s="469">
        <v>0</v>
      </c>
      <c r="O102" s="188">
        <f t="shared" si="16"/>
        <v>6</v>
      </c>
      <c r="P102" s="188">
        <f>J102+L102+N102</f>
        <v>8</v>
      </c>
      <c r="Q102" s="188"/>
      <c r="R102" s="188"/>
      <c r="S102" s="188"/>
      <c r="T102" s="188"/>
      <c r="U102" s="188"/>
      <c r="V102" s="188"/>
      <c r="W102" s="188"/>
      <c r="X102" s="188"/>
    </row>
    <row r="103" spans="8:24" ht="17.25" thickBot="1" x14ac:dyDescent="0.35">
      <c r="H103" s="186" t="s">
        <v>157</v>
      </c>
      <c r="I103" s="466">
        <v>6</v>
      </c>
      <c r="J103" s="467">
        <v>5</v>
      </c>
      <c r="K103" s="468">
        <v>2</v>
      </c>
      <c r="L103" s="467">
        <v>1</v>
      </c>
      <c r="M103" s="467">
        <v>0</v>
      </c>
      <c r="N103" s="469">
        <v>0</v>
      </c>
      <c r="O103" s="188">
        <f t="shared" ref="O103" si="18">I103+K103+N103</f>
        <v>8</v>
      </c>
      <c r="P103" s="188">
        <f>J103+L103+N103</f>
        <v>6</v>
      </c>
      <c r="Q103" s="188"/>
      <c r="R103" s="188"/>
      <c r="S103" s="188"/>
      <c r="T103" s="188"/>
      <c r="U103" s="188"/>
      <c r="V103" s="188"/>
      <c r="W103" s="188"/>
      <c r="X103" s="188"/>
    </row>
    <row r="104" spans="8:24" ht="17.25" thickBot="1" x14ac:dyDescent="0.35">
      <c r="H104" s="186" t="s">
        <v>602</v>
      </c>
      <c r="I104" s="466">
        <v>6</v>
      </c>
      <c r="J104" s="467">
        <v>2</v>
      </c>
      <c r="K104" s="468">
        <v>4</v>
      </c>
      <c r="L104" s="467">
        <v>0</v>
      </c>
      <c r="M104" s="467">
        <v>0</v>
      </c>
      <c r="N104" s="469">
        <v>0</v>
      </c>
      <c r="O104" s="188">
        <f t="shared" ref="O104" si="19">I104+K104+N104</f>
        <v>10</v>
      </c>
      <c r="P104" s="188">
        <f>J104+L104+N104</f>
        <v>2</v>
      </c>
      <c r="Q104" s="188"/>
      <c r="R104" s="188"/>
      <c r="S104" s="188"/>
      <c r="T104" s="188"/>
      <c r="U104" s="188"/>
      <c r="V104" s="188"/>
      <c r="W104" s="188"/>
      <c r="X104" s="188"/>
    </row>
    <row r="105" spans="8:24" ht="17.25" thickBot="1" x14ac:dyDescent="0.35">
      <c r="H105" s="186" t="s">
        <v>384</v>
      </c>
      <c r="I105" s="466">
        <v>6</v>
      </c>
      <c r="J105" s="467">
        <v>6</v>
      </c>
      <c r="K105" s="468">
        <v>2</v>
      </c>
      <c r="L105" s="467">
        <v>1</v>
      </c>
      <c r="M105" s="467">
        <v>0</v>
      </c>
      <c r="N105" s="469">
        <v>0</v>
      </c>
      <c r="O105" s="188">
        <f t="shared" si="16"/>
        <v>8</v>
      </c>
      <c r="P105" s="188">
        <f t="shared" si="17"/>
        <v>7</v>
      </c>
      <c r="Q105" s="188"/>
      <c r="R105" s="188"/>
      <c r="S105" s="188"/>
      <c r="T105" s="188"/>
      <c r="U105" s="188"/>
      <c r="V105" s="188"/>
      <c r="W105" s="188"/>
      <c r="X105" s="188"/>
    </row>
    <row r="106" spans="8:24" ht="17.25" thickBot="1" x14ac:dyDescent="0.35">
      <c r="H106" s="186" t="s">
        <v>164</v>
      </c>
      <c r="I106" s="464">
        <f t="shared" ref="I106:N106" si="20">SUM(I98:I105)</f>
        <v>53</v>
      </c>
      <c r="J106" s="330">
        <f t="shared" si="20"/>
        <v>46</v>
      </c>
      <c r="K106" s="330">
        <f t="shared" si="20"/>
        <v>14</v>
      </c>
      <c r="L106" s="330">
        <f t="shared" si="20"/>
        <v>7</v>
      </c>
      <c r="M106" s="330">
        <f t="shared" si="20"/>
        <v>2</v>
      </c>
      <c r="N106" s="465">
        <f t="shared" si="20"/>
        <v>0</v>
      </c>
      <c r="O106" s="322">
        <f>I106+K106+M106</f>
        <v>69</v>
      </c>
      <c r="P106" s="322">
        <f t="shared" si="17"/>
        <v>53</v>
      </c>
      <c r="Q106" s="188"/>
      <c r="R106" s="188"/>
      <c r="S106" s="188"/>
      <c r="T106" s="188"/>
      <c r="U106" s="188"/>
      <c r="V106" s="188"/>
      <c r="W106" s="188"/>
      <c r="X106" s="188"/>
    </row>
    <row r="107" spans="8:24" ht="16.5" x14ac:dyDescent="0.3">
      <c r="H107" s="187"/>
      <c r="I107" s="188">
        <f>I106-J106</f>
        <v>7</v>
      </c>
      <c r="J107" s="188"/>
      <c r="K107" s="188">
        <f>K106-L106</f>
        <v>7</v>
      </c>
      <c r="L107" s="188"/>
      <c r="M107" s="188">
        <f>M106-N106</f>
        <v>2</v>
      </c>
      <c r="N107" s="188"/>
      <c r="O107" s="188">
        <f>I107+K107+M107</f>
        <v>16</v>
      </c>
      <c r="P107" s="188"/>
      <c r="Q107" s="188"/>
      <c r="R107" s="188"/>
      <c r="S107" s="188"/>
      <c r="T107" s="188"/>
      <c r="U107" s="188"/>
      <c r="V107" s="188"/>
      <c r="W107" s="188"/>
      <c r="X107" s="188"/>
    </row>
    <row r="108" spans="8:24" ht="16.5" x14ac:dyDescent="0.3">
      <c r="H108" s="187"/>
      <c r="I108" s="188">
        <f>I106+K106+M106</f>
        <v>69</v>
      </c>
      <c r="J108" s="188">
        <f>J106+L106+N106</f>
        <v>53</v>
      </c>
      <c r="K108" s="188"/>
      <c r="L108" s="188"/>
      <c r="M108" s="188"/>
      <c r="N108" s="188">
        <f>I108</f>
        <v>69</v>
      </c>
      <c r="O108" s="323">
        <f>((J108-I108)/I108)*100</f>
        <v>-23.188405797101449</v>
      </c>
      <c r="P108" s="188"/>
      <c r="Q108" s="188"/>
      <c r="R108" s="188"/>
      <c r="S108" s="188"/>
      <c r="T108" s="188"/>
      <c r="U108" s="188"/>
      <c r="V108" s="188"/>
      <c r="W108" s="188"/>
      <c r="X108" s="188"/>
    </row>
    <row r="109" spans="8:24" ht="16.5" x14ac:dyDescent="0.3">
      <c r="H109" s="187"/>
      <c r="I109" s="188"/>
      <c r="J109" s="188">
        <f>I108-J108</f>
        <v>16</v>
      </c>
      <c r="K109" s="188"/>
      <c r="L109" s="188"/>
      <c r="M109" s="188"/>
      <c r="N109" s="188">
        <f>J109</f>
        <v>16</v>
      </c>
      <c r="O109" s="188"/>
      <c r="P109" s="188"/>
      <c r="Q109" s="188"/>
      <c r="R109" s="188"/>
      <c r="S109" s="188"/>
      <c r="T109" s="188"/>
      <c r="U109" s="188"/>
      <c r="V109" s="188"/>
      <c r="W109" s="188"/>
      <c r="X109" s="188"/>
    </row>
    <row r="110" spans="8:24" ht="16.5" x14ac:dyDescent="0.3">
      <c r="H110" s="187"/>
      <c r="I110" s="188"/>
      <c r="J110" s="188"/>
      <c r="K110" s="188"/>
      <c r="L110" s="188"/>
      <c r="M110" s="188"/>
      <c r="N110" s="188">
        <v>39</v>
      </c>
      <c r="O110" s="188"/>
      <c r="P110" s="188"/>
      <c r="Q110" s="188"/>
      <c r="R110" s="188"/>
      <c r="S110" s="188"/>
      <c r="T110" s="188"/>
      <c r="U110" s="188"/>
      <c r="V110" s="188"/>
      <c r="W110" s="188"/>
      <c r="X110" s="188"/>
    </row>
    <row r="111" spans="8:24" ht="16.5" x14ac:dyDescent="0.3">
      <c r="H111" s="187"/>
      <c r="I111" s="188"/>
      <c r="J111" s="188"/>
      <c r="K111" s="188"/>
      <c r="L111" s="188"/>
      <c r="M111" s="188"/>
      <c r="N111" s="188">
        <v>6</v>
      </c>
      <c r="O111" s="188"/>
      <c r="P111" s="188"/>
      <c r="Q111" s="188"/>
      <c r="R111" s="188"/>
      <c r="S111" s="188"/>
      <c r="T111" s="188"/>
      <c r="U111" s="188"/>
      <c r="V111" s="188"/>
      <c r="W111" s="188"/>
      <c r="X111" s="188"/>
    </row>
    <row r="112" spans="8:24" ht="17.25" thickBot="1" x14ac:dyDescent="0.35">
      <c r="O112" s="188"/>
      <c r="P112" s="188"/>
      <c r="Q112" s="188"/>
      <c r="R112" s="188"/>
      <c r="S112" s="188"/>
      <c r="T112" s="188"/>
      <c r="U112" s="188"/>
      <c r="V112" s="188"/>
      <c r="W112" s="188"/>
      <c r="X112" s="188"/>
    </row>
    <row r="113" spans="8:24" ht="17.25" thickBot="1" x14ac:dyDescent="0.35">
      <c r="H113" s="766" t="s">
        <v>145</v>
      </c>
      <c r="I113" s="764"/>
      <c r="J113" s="764"/>
      <c r="K113" s="764"/>
      <c r="L113" s="764"/>
      <c r="M113" s="764"/>
      <c r="N113" s="763"/>
      <c r="O113" s="188"/>
      <c r="P113" s="188"/>
      <c r="Q113" s="188"/>
      <c r="R113" s="188"/>
      <c r="S113" s="188"/>
      <c r="T113" s="188"/>
      <c r="U113" s="188"/>
      <c r="V113" s="188"/>
      <c r="W113" s="188"/>
      <c r="X113" s="188"/>
    </row>
    <row r="114" spans="8:24" ht="17.25" thickBot="1" x14ac:dyDescent="0.35">
      <c r="H114" s="769" t="s">
        <v>319</v>
      </c>
      <c r="I114" s="737" t="s">
        <v>150</v>
      </c>
      <c r="J114" s="738"/>
      <c r="K114" s="739" t="s">
        <v>300</v>
      </c>
      <c r="L114" s="737"/>
      <c r="M114" s="738" t="s">
        <v>149</v>
      </c>
      <c r="N114" s="765"/>
      <c r="O114" s="188"/>
      <c r="P114" s="188"/>
      <c r="Q114" s="188"/>
      <c r="R114" s="188"/>
      <c r="S114" s="188"/>
      <c r="T114" s="188"/>
      <c r="U114" s="188"/>
      <c r="V114" s="188"/>
      <c r="W114" s="188"/>
      <c r="X114" s="188"/>
    </row>
    <row r="115" spans="8:24" ht="15.75" thickBot="1" x14ac:dyDescent="0.3">
      <c r="H115" s="770"/>
      <c r="I115" s="204">
        <v>2025</v>
      </c>
      <c r="J115" s="204">
        <v>2026</v>
      </c>
      <c r="K115" s="204">
        <v>2025</v>
      </c>
      <c r="L115" s="204">
        <v>2026</v>
      </c>
      <c r="M115" s="204">
        <v>2025</v>
      </c>
      <c r="N115" s="204">
        <v>2026</v>
      </c>
    </row>
    <row r="116" spans="8:24" ht="16.5" customHeight="1" thickBot="1" x14ac:dyDescent="0.35">
      <c r="H116" s="215" t="s">
        <v>152</v>
      </c>
      <c r="I116" s="205">
        <v>2</v>
      </c>
      <c r="J116" s="206">
        <v>4</v>
      </c>
      <c r="K116" s="207">
        <v>0</v>
      </c>
      <c r="L116" s="206">
        <v>0</v>
      </c>
      <c r="M116" s="206">
        <v>0</v>
      </c>
      <c r="N116" s="208">
        <v>0</v>
      </c>
      <c r="O116" s="323">
        <f t="shared" ref="O116:P124" si="21">I116+K116+M116</f>
        <v>2</v>
      </c>
      <c r="P116" s="323">
        <f t="shared" si="21"/>
        <v>4</v>
      </c>
      <c r="Q116" s="321"/>
      <c r="R116" s="321"/>
      <c r="S116" s="321"/>
      <c r="T116" s="321"/>
      <c r="U116" s="321"/>
      <c r="V116" s="321"/>
    </row>
    <row r="117" spans="8:24" ht="16.5" customHeight="1" thickBot="1" x14ac:dyDescent="0.35">
      <c r="H117" s="186" t="s">
        <v>153</v>
      </c>
      <c r="I117" s="466">
        <v>2</v>
      </c>
      <c r="J117" s="467">
        <v>6</v>
      </c>
      <c r="K117" s="468">
        <v>0</v>
      </c>
      <c r="L117" s="467">
        <v>0</v>
      </c>
      <c r="M117" s="467">
        <v>0</v>
      </c>
      <c r="N117" s="469">
        <v>0</v>
      </c>
      <c r="O117" s="323">
        <f t="shared" si="21"/>
        <v>2</v>
      </c>
      <c r="P117" s="323">
        <f t="shared" si="21"/>
        <v>6</v>
      </c>
      <c r="Q117" s="321"/>
      <c r="R117" s="321"/>
      <c r="S117" s="321"/>
      <c r="T117" s="321"/>
      <c r="U117" s="321"/>
      <c r="V117" s="321"/>
    </row>
    <row r="118" spans="8:24" ht="16.5" customHeight="1" thickBot="1" x14ac:dyDescent="0.35">
      <c r="H118" s="186" t="s">
        <v>363</v>
      </c>
      <c r="I118" s="466">
        <v>7</v>
      </c>
      <c r="J118" s="467">
        <v>7</v>
      </c>
      <c r="K118" s="468">
        <v>0</v>
      </c>
      <c r="L118" s="467">
        <v>0</v>
      </c>
      <c r="M118" s="467">
        <v>0</v>
      </c>
      <c r="N118" s="469">
        <v>0</v>
      </c>
      <c r="O118" s="323">
        <f t="shared" si="21"/>
        <v>7</v>
      </c>
      <c r="P118" s="323">
        <f t="shared" si="21"/>
        <v>7</v>
      </c>
      <c r="Q118" s="321"/>
      <c r="R118" s="321"/>
      <c r="S118" s="321"/>
      <c r="T118" s="321"/>
      <c r="U118" s="321"/>
      <c r="V118" s="321"/>
    </row>
    <row r="119" spans="8:24" ht="16.5" customHeight="1" thickBot="1" x14ac:dyDescent="0.35">
      <c r="H119" s="186" t="s">
        <v>328</v>
      </c>
      <c r="I119" s="466">
        <v>8</v>
      </c>
      <c r="J119" s="467">
        <v>6</v>
      </c>
      <c r="K119" s="468">
        <v>0</v>
      </c>
      <c r="L119" s="467">
        <v>0</v>
      </c>
      <c r="M119" s="467">
        <v>0</v>
      </c>
      <c r="N119" s="469">
        <v>0</v>
      </c>
      <c r="O119" s="323">
        <f t="shared" si="21"/>
        <v>8</v>
      </c>
      <c r="P119" s="323">
        <f t="shared" si="21"/>
        <v>6</v>
      </c>
      <c r="Q119" s="321"/>
      <c r="R119" s="321"/>
      <c r="S119" s="321"/>
      <c r="T119" s="321"/>
      <c r="U119" s="321"/>
      <c r="V119" s="321"/>
    </row>
    <row r="120" spans="8:24" ht="16.5" customHeight="1" thickBot="1" x14ac:dyDescent="0.35">
      <c r="H120" s="186" t="s">
        <v>354</v>
      </c>
      <c r="I120" s="466">
        <v>14</v>
      </c>
      <c r="J120" s="467">
        <v>7</v>
      </c>
      <c r="K120" s="468">
        <v>0</v>
      </c>
      <c r="L120" s="467">
        <v>0</v>
      </c>
      <c r="M120" s="467">
        <v>0</v>
      </c>
      <c r="N120" s="469">
        <v>0</v>
      </c>
      <c r="O120" s="323">
        <f t="shared" ref="O120:P122" si="22">I120+K120+M120</f>
        <v>14</v>
      </c>
      <c r="P120" s="323">
        <f t="shared" si="22"/>
        <v>7</v>
      </c>
      <c r="Q120" s="321"/>
      <c r="R120" s="321"/>
      <c r="S120" s="321"/>
      <c r="T120" s="321"/>
      <c r="U120" s="321"/>
      <c r="V120" s="321"/>
    </row>
    <row r="121" spans="8:24" ht="16.5" customHeight="1" thickBot="1" x14ac:dyDescent="0.35">
      <c r="H121" s="186" t="s">
        <v>157</v>
      </c>
      <c r="I121" s="466">
        <v>8</v>
      </c>
      <c r="J121" s="467">
        <v>11</v>
      </c>
      <c r="K121" s="468">
        <v>0</v>
      </c>
      <c r="L121" s="467">
        <v>0</v>
      </c>
      <c r="M121" s="467">
        <v>0</v>
      </c>
      <c r="N121" s="469">
        <v>0</v>
      </c>
      <c r="O121" s="323">
        <f t="shared" si="22"/>
        <v>8</v>
      </c>
      <c r="P121" s="323">
        <f t="shared" si="22"/>
        <v>11</v>
      </c>
      <c r="Q121" s="321"/>
      <c r="R121" s="321"/>
      <c r="S121" s="321"/>
      <c r="T121" s="321"/>
      <c r="U121" s="321"/>
      <c r="V121" s="321"/>
    </row>
    <row r="122" spans="8:24" ht="16.5" customHeight="1" thickBot="1" x14ac:dyDescent="0.35">
      <c r="H122" s="186" t="s">
        <v>158</v>
      </c>
      <c r="I122" s="466">
        <v>13</v>
      </c>
      <c r="J122" s="467">
        <v>16</v>
      </c>
      <c r="K122" s="468">
        <v>0</v>
      </c>
      <c r="L122" s="467">
        <v>0</v>
      </c>
      <c r="M122" s="467">
        <v>0</v>
      </c>
      <c r="N122" s="469">
        <v>0</v>
      </c>
      <c r="O122" s="323">
        <f t="shared" si="22"/>
        <v>13</v>
      </c>
      <c r="P122" s="323">
        <f t="shared" si="22"/>
        <v>16</v>
      </c>
      <c r="Q122" s="321"/>
      <c r="R122" s="321"/>
      <c r="S122" s="321"/>
      <c r="T122" s="321"/>
      <c r="U122" s="321"/>
      <c r="V122" s="321"/>
    </row>
    <row r="123" spans="8:24" ht="16.5" customHeight="1" thickBot="1" x14ac:dyDescent="0.35">
      <c r="H123" s="186" t="s">
        <v>159</v>
      </c>
      <c r="I123" s="466">
        <v>8</v>
      </c>
      <c r="J123" s="467">
        <v>7</v>
      </c>
      <c r="K123" s="468">
        <v>0</v>
      </c>
      <c r="L123" s="467">
        <v>0</v>
      </c>
      <c r="M123" s="467">
        <v>0</v>
      </c>
      <c r="N123" s="469">
        <v>0</v>
      </c>
      <c r="O123" s="323">
        <f t="shared" si="21"/>
        <v>8</v>
      </c>
      <c r="P123" s="323">
        <f t="shared" si="21"/>
        <v>7</v>
      </c>
      <c r="Q123" s="321"/>
      <c r="R123" s="321"/>
      <c r="S123" s="321"/>
      <c r="T123" s="321"/>
      <c r="U123" s="321"/>
      <c r="V123" s="321"/>
    </row>
    <row r="124" spans="8:24" ht="16.5" customHeight="1" thickBot="1" x14ac:dyDescent="0.3">
      <c r="H124" s="186" t="s">
        <v>164</v>
      </c>
      <c r="I124" s="464">
        <f t="shared" ref="I124:N124" si="23">SUM(I116:I123)</f>
        <v>62</v>
      </c>
      <c r="J124" s="330">
        <f t="shared" si="23"/>
        <v>64</v>
      </c>
      <c r="K124" s="330">
        <f t="shared" si="23"/>
        <v>0</v>
      </c>
      <c r="L124" s="330">
        <f t="shared" si="23"/>
        <v>0</v>
      </c>
      <c r="M124" s="330">
        <f t="shared" si="23"/>
        <v>0</v>
      </c>
      <c r="N124" s="465">
        <f t="shared" si="23"/>
        <v>0</v>
      </c>
      <c r="O124" s="321">
        <f t="shared" si="21"/>
        <v>62</v>
      </c>
      <c r="P124" s="321">
        <f t="shared" si="21"/>
        <v>64</v>
      </c>
      <c r="Q124" s="321"/>
      <c r="R124" s="321"/>
      <c r="S124" s="321"/>
      <c r="T124" s="321"/>
      <c r="U124" s="321"/>
      <c r="V124" s="321"/>
    </row>
    <row r="125" spans="8:24" ht="17.25" customHeight="1" x14ac:dyDescent="0.25">
      <c r="O125" s="322"/>
      <c r="P125" s="322"/>
      <c r="Q125" s="322"/>
      <c r="R125" s="322"/>
      <c r="S125" s="322"/>
      <c r="T125" s="322"/>
      <c r="U125" s="322"/>
      <c r="V125" s="322"/>
    </row>
    <row r="126" spans="8:24" ht="16.5" x14ac:dyDescent="0.25">
      <c r="O126" s="323"/>
      <c r="P126" s="323"/>
      <c r="Q126" s="323"/>
      <c r="R126" s="323"/>
      <c r="S126" s="323"/>
      <c r="T126" s="323"/>
      <c r="U126" s="323"/>
      <c r="V126" s="323"/>
    </row>
    <row r="127" spans="8:24" ht="17.25" customHeight="1" x14ac:dyDescent="0.25">
      <c r="O127" s="323"/>
      <c r="P127" s="323"/>
      <c r="Q127" s="323"/>
      <c r="R127" s="323"/>
      <c r="S127" s="323"/>
      <c r="T127" s="323"/>
      <c r="U127" s="323"/>
      <c r="V127" s="323"/>
    </row>
    <row r="128" spans="8:24" ht="16.5" x14ac:dyDescent="0.25">
      <c r="O128" s="323"/>
      <c r="P128" s="323"/>
      <c r="Q128" s="323"/>
      <c r="R128" s="323"/>
      <c r="S128" s="323"/>
      <c r="T128" s="323"/>
      <c r="U128" s="323"/>
      <c r="V128" s="323"/>
    </row>
    <row r="129" spans="8:24" ht="16.5" x14ac:dyDescent="0.25">
      <c r="O129" s="323"/>
      <c r="P129" s="323"/>
      <c r="Q129" s="323"/>
      <c r="R129" s="323"/>
      <c r="S129" s="323"/>
      <c r="T129" s="323"/>
      <c r="U129" s="323"/>
      <c r="V129" s="323"/>
    </row>
    <row r="130" spans="8:24" ht="16.5" x14ac:dyDescent="0.25">
      <c r="O130" s="323"/>
      <c r="P130" s="323"/>
      <c r="Q130" s="323"/>
      <c r="R130" s="323"/>
      <c r="S130" s="323"/>
      <c r="T130" s="323"/>
      <c r="U130" s="323"/>
      <c r="V130" s="323"/>
    </row>
    <row r="131" spans="8:24" ht="16.5" x14ac:dyDescent="0.25">
      <c r="O131" s="323"/>
      <c r="P131" s="323"/>
      <c r="Q131" s="323"/>
      <c r="R131" s="323"/>
      <c r="S131" s="323"/>
      <c r="T131" s="323"/>
      <c r="U131" s="323"/>
      <c r="V131" s="323"/>
    </row>
    <row r="132" spans="8:24" ht="16.5" x14ac:dyDescent="0.25">
      <c r="O132" s="323"/>
      <c r="P132" s="323"/>
      <c r="Q132" s="323"/>
      <c r="R132" s="323"/>
      <c r="S132" s="323"/>
      <c r="T132" s="323"/>
      <c r="U132" s="323"/>
      <c r="V132" s="323"/>
    </row>
    <row r="133" spans="8:24" ht="16.5" x14ac:dyDescent="0.25">
      <c r="O133" s="323"/>
      <c r="P133" s="323"/>
      <c r="Q133" s="323"/>
      <c r="R133" s="323"/>
      <c r="S133" s="323"/>
      <c r="T133" s="323"/>
      <c r="U133" s="323"/>
      <c r="V133" s="323"/>
    </row>
    <row r="134" spans="8:24" ht="16.5" x14ac:dyDescent="0.25">
      <c r="O134" s="323"/>
      <c r="P134" s="323"/>
      <c r="Q134" s="323"/>
      <c r="R134" s="323"/>
      <c r="S134" s="323"/>
      <c r="T134" s="323"/>
      <c r="U134" s="323"/>
      <c r="V134" s="323"/>
    </row>
    <row r="135" spans="8:24" ht="16.5" x14ac:dyDescent="0.25">
      <c r="O135" s="323"/>
      <c r="P135" s="323"/>
      <c r="Q135" s="323"/>
      <c r="R135" s="323"/>
      <c r="S135" s="323"/>
      <c r="T135" s="323"/>
      <c r="U135" s="323"/>
      <c r="V135" s="323"/>
    </row>
    <row r="136" spans="8:24" ht="17.25" thickBot="1" x14ac:dyDescent="0.35">
      <c r="O136" s="323"/>
      <c r="P136" s="188"/>
      <c r="Q136" s="188"/>
      <c r="R136" s="188"/>
      <c r="S136" s="188"/>
      <c r="T136" s="188"/>
      <c r="U136" s="188"/>
      <c r="V136" s="188"/>
    </row>
    <row r="137" spans="8:24" ht="17.25" thickBot="1" x14ac:dyDescent="0.35">
      <c r="H137" s="735" t="s">
        <v>319</v>
      </c>
      <c r="I137" s="764" t="s">
        <v>197</v>
      </c>
      <c r="J137" s="737"/>
      <c r="K137" s="739" t="s">
        <v>198</v>
      </c>
      <c r="L137" s="764"/>
      <c r="M137" s="739" t="s">
        <v>199</v>
      </c>
      <c r="N137" s="763"/>
      <c r="O137" s="188"/>
      <c r="P137" s="188"/>
      <c r="Q137" s="188"/>
      <c r="R137" s="188"/>
      <c r="S137" s="188"/>
      <c r="T137" s="188"/>
      <c r="U137" s="188"/>
      <c r="V137" s="188"/>
      <c r="W137" s="188"/>
      <c r="X137" s="188"/>
    </row>
    <row r="138" spans="8:24" ht="17.25" thickBot="1" x14ac:dyDescent="0.35">
      <c r="H138" s="768"/>
      <c r="I138" s="176">
        <v>2025</v>
      </c>
      <c r="J138" s="611">
        <v>2026</v>
      </c>
      <c r="K138" s="176">
        <v>2025</v>
      </c>
      <c r="L138" s="611">
        <v>2026</v>
      </c>
      <c r="M138" s="176">
        <v>2025</v>
      </c>
      <c r="N138" s="176">
        <v>2026</v>
      </c>
      <c r="O138" s="188"/>
      <c r="P138" s="188"/>
      <c r="Q138" s="188"/>
      <c r="R138" s="188"/>
      <c r="S138" s="188"/>
      <c r="T138" s="188"/>
      <c r="U138" s="188"/>
      <c r="V138" s="188"/>
      <c r="W138" s="188"/>
      <c r="X138" s="188"/>
    </row>
    <row r="139" spans="8:24" ht="17.25" thickBot="1" x14ac:dyDescent="0.35">
      <c r="H139" s="326" t="s">
        <v>152</v>
      </c>
      <c r="I139" s="179">
        <v>163</v>
      </c>
      <c r="J139" s="618">
        <v>178</v>
      </c>
      <c r="K139" s="179">
        <v>124</v>
      </c>
      <c r="L139" s="618">
        <v>147</v>
      </c>
      <c r="M139" s="619">
        <v>187</v>
      </c>
      <c r="N139" s="619">
        <v>188</v>
      </c>
      <c r="O139" s="188">
        <f t="shared" ref="O139:P142" si="24">I139+K139+M139</f>
        <v>474</v>
      </c>
      <c r="P139" s="188">
        <f t="shared" si="24"/>
        <v>513</v>
      </c>
      <c r="Q139" s="188"/>
      <c r="R139" s="188"/>
      <c r="S139" s="188"/>
      <c r="T139" s="188"/>
      <c r="U139" s="188"/>
      <c r="V139" s="188"/>
      <c r="W139" s="188"/>
      <c r="X139" s="188"/>
    </row>
    <row r="140" spans="8:24" ht="17.25" thickBot="1" x14ac:dyDescent="0.35">
      <c r="H140" s="326" t="s">
        <v>153</v>
      </c>
      <c r="I140" s="179">
        <v>184</v>
      </c>
      <c r="J140" s="618">
        <v>175</v>
      </c>
      <c r="K140" s="179">
        <v>171</v>
      </c>
      <c r="L140" s="618">
        <v>147</v>
      </c>
      <c r="M140" s="619">
        <v>186</v>
      </c>
      <c r="N140" s="619">
        <v>230</v>
      </c>
      <c r="O140" s="188">
        <f t="shared" si="24"/>
        <v>541</v>
      </c>
      <c r="P140" s="188">
        <f t="shared" si="24"/>
        <v>552</v>
      </c>
      <c r="Q140" s="188"/>
      <c r="R140" s="188"/>
      <c r="S140" s="188"/>
      <c r="T140" s="188"/>
      <c r="U140" s="188"/>
      <c r="V140" s="188"/>
      <c r="W140" s="188"/>
      <c r="X140" s="188"/>
    </row>
    <row r="141" spans="8:24" ht="17.25" thickBot="1" x14ac:dyDescent="0.35">
      <c r="H141" s="326" t="s">
        <v>363</v>
      </c>
      <c r="I141" s="179">
        <v>187</v>
      </c>
      <c r="J141" s="618">
        <v>202</v>
      </c>
      <c r="K141" s="179">
        <v>179</v>
      </c>
      <c r="L141" s="618">
        <v>179</v>
      </c>
      <c r="M141" s="619">
        <v>180</v>
      </c>
      <c r="N141" s="619">
        <v>189</v>
      </c>
      <c r="O141" s="188">
        <f t="shared" si="24"/>
        <v>546</v>
      </c>
      <c r="P141" s="188">
        <f t="shared" si="24"/>
        <v>570</v>
      </c>
      <c r="Q141" s="188"/>
      <c r="R141" s="188"/>
      <c r="S141" s="188"/>
      <c r="T141" s="188"/>
      <c r="U141" s="188"/>
      <c r="V141" s="188"/>
      <c r="W141" s="188"/>
      <c r="X141" s="188"/>
    </row>
    <row r="142" spans="8:24" ht="17.25" thickBot="1" x14ac:dyDescent="0.35">
      <c r="H142" s="326" t="s">
        <v>328</v>
      </c>
      <c r="I142" s="179">
        <v>442</v>
      </c>
      <c r="J142" s="618">
        <v>273</v>
      </c>
      <c r="K142" s="179">
        <v>432</v>
      </c>
      <c r="L142" s="618">
        <v>251</v>
      </c>
      <c r="M142" s="619">
        <v>471</v>
      </c>
      <c r="N142" s="619">
        <v>242</v>
      </c>
      <c r="O142" s="188">
        <f t="shared" si="24"/>
        <v>1345</v>
      </c>
      <c r="P142" s="188">
        <f t="shared" si="24"/>
        <v>766</v>
      </c>
      <c r="Q142" s="188"/>
      <c r="R142" s="188"/>
      <c r="S142" s="188"/>
      <c r="T142" s="188"/>
      <c r="U142" s="188"/>
      <c r="V142" s="188"/>
      <c r="W142" s="188"/>
      <c r="X142" s="188"/>
    </row>
    <row r="143" spans="8:24" ht="17.25" thickBot="1" x14ac:dyDescent="0.35">
      <c r="H143" s="326" t="s">
        <v>354</v>
      </c>
      <c r="I143" s="179">
        <v>145</v>
      </c>
      <c r="J143" s="618">
        <v>219</v>
      </c>
      <c r="K143" s="179">
        <v>131</v>
      </c>
      <c r="L143" s="618">
        <v>161</v>
      </c>
      <c r="M143" s="619">
        <v>173</v>
      </c>
      <c r="N143" s="619">
        <v>172</v>
      </c>
      <c r="O143" s="188">
        <f t="shared" ref="O143:P146" si="25">I143+K143+M143</f>
        <v>449</v>
      </c>
      <c r="P143" s="188">
        <f t="shared" si="25"/>
        <v>552</v>
      </c>
      <c r="Q143" s="188"/>
      <c r="R143" s="188"/>
      <c r="S143" s="188"/>
      <c r="T143" s="188"/>
      <c r="U143" s="188"/>
      <c r="V143" s="188"/>
      <c r="W143" s="188"/>
      <c r="X143" s="188"/>
    </row>
    <row r="144" spans="8:24" ht="17.25" thickBot="1" x14ac:dyDescent="0.35">
      <c r="H144" s="326" t="s">
        <v>157</v>
      </c>
      <c r="I144" s="179">
        <v>149</v>
      </c>
      <c r="J144" s="618">
        <v>180</v>
      </c>
      <c r="K144" s="179">
        <v>127</v>
      </c>
      <c r="L144" s="618">
        <v>157</v>
      </c>
      <c r="M144" s="619">
        <v>163</v>
      </c>
      <c r="N144" s="619">
        <v>169</v>
      </c>
      <c r="O144" s="188">
        <f t="shared" si="25"/>
        <v>439</v>
      </c>
      <c r="P144" s="188">
        <f t="shared" si="25"/>
        <v>506</v>
      </c>
      <c r="Q144" s="188"/>
      <c r="R144" s="188"/>
      <c r="S144" s="188"/>
      <c r="T144" s="188"/>
      <c r="U144" s="188"/>
      <c r="V144" s="188"/>
      <c r="W144" s="188"/>
      <c r="X144" s="188"/>
    </row>
    <row r="145" spans="8:24" ht="17.25" thickBot="1" x14ac:dyDescent="0.35">
      <c r="H145" s="326" t="s">
        <v>158</v>
      </c>
      <c r="I145" s="179">
        <v>179</v>
      </c>
      <c r="J145" s="618">
        <v>305</v>
      </c>
      <c r="K145" s="179">
        <v>150</v>
      </c>
      <c r="L145" s="618">
        <v>236</v>
      </c>
      <c r="M145" s="619">
        <v>159</v>
      </c>
      <c r="N145" s="619">
        <v>257</v>
      </c>
      <c r="O145" s="188">
        <f t="shared" ref="O145" si="26">I145+K145+M145</f>
        <v>488</v>
      </c>
      <c r="P145" s="188">
        <f t="shared" ref="P145" si="27">J145+L145+N145</f>
        <v>798</v>
      </c>
      <c r="Q145" s="188"/>
      <c r="R145" s="188"/>
      <c r="S145" s="188"/>
      <c r="T145" s="188"/>
      <c r="U145" s="188"/>
      <c r="V145" s="188"/>
      <c r="W145" s="188"/>
      <c r="X145" s="188"/>
    </row>
    <row r="146" spans="8:24" ht="17.25" thickBot="1" x14ac:dyDescent="0.35">
      <c r="H146" s="326" t="s">
        <v>384</v>
      </c>
      <c r="I146" s="179">
        <v>167</v>
      </c>
      <c r="J146" s="618">
        <v>193</v>
      </c>
      <c r="K146" s="179">
        <v>150</v>
      </c>
      <c r="L146" s="618">
        <v>158</v>
      </c>
      <c r="M146" s="619">
        <v>202</v>
      </c>
      <c r="N146" s="619">
        <v>170</v>
      </c>
      <c r="O146" s="188">
        <f t="shared" si="25"/>
        <v>519</v>
      </c>
      <c r="P146" s="188">
        <f t="shared" si="25"/>
        <v>521</v>
      </c>
      <c r="Q146" s="188"/>
      <c r="R146" s="188"/>
      <c r="S146" s="188"/>
      <c r="T146" s="188"/>
      <c r="U146" s="188"/>
      <c r="V146" s="188"/>
      <c r="W146" s="188"/>
      <c r="X146" s="188"/>
    </row>
    <row r="147" spans="8:24" ht="17.25" thickBot="1" x14ac:dyDescent="0.35">
      <c r="H147" s="186" t="s">
        <v>164</v>
      </c>
      <c r="I147" s="578">
        <f>SUM(I139:I146)</f>
        <v>1616</v>
      </c>
      <c r="J147" s="579">
        <f t="shared" ref="J147:P147" si="28">SUM(J139:J146)</f>
        <v>1725</v>
      </c>
      <c r="K147" s="579">
        <f t="shared" si="28"/>
        <v>1464</v>
      </c>
      <c r="L147" s="579">
        <f t="shared" si="28"/>
        <v>1436</v>
      </c>
      <c r="M147" s="579">
        <f t="shared" si="28"/>
        <v>1721</v>
      </c>
      <c r="N147" s="579">
        <f t="shared" si="28"/>
        <v>1617</v>
      </c>
      <c r="O147" s="322">
        <f t="shared" si="28"/>
        <v>4801</v>
      </c>
      <c r="P147" s="322">
        <f t="shared" si="28"/>
        <v>4778</v>
      </c>
      <c r="Q147" s="322"/>
      <c r="R147" s="188"/>
      <c r="S147" s="188"/>
      <c r="T147" s="188"/>
      <c r="U147" s="188"/>
      <c r="V147" s="188"/>
      <c r="W147" s="188"/>
      <c r="X147" s="188"/>
    </row>
    <row r="148" spans="8:24" ht="16.5" x14ac:dyDescent="0.3">
      <c r="O148" s="188"/>
      <c r="P148" s="188"/>
      <c r="Q148" s="188"/>
      <c r="R148" s="188"/>
      <c r="S148" s="188"/>
      <c r="T148" s="188"/>
      <c r="U148" s="188"/>
      <c r="V148" s="188"/>
      <c r="W148" s="188"/>
      <c r="X148" s="188"/>
    </row>
    <row r="149" spans="8:24" ht="16.5" x14ac:dyDescent="0.3">
      <c r="I149">
        <f>I147+K147+M147</f>
        <v>4801</v>
      </c>
      <c r="J149">
        <f>J147+L147+N147</f>
        <v>4778</v>
      </c>
      <c r="N149">
        <f>I149</f>
        <v>4801</v>
      </c>
      <c r="O149" s="323">
        <f>((J149-I149)/I149)*100</f>
        <v>-0.47906686107061025</v>
      </c>
      <c r="P149" s="188"/>
      <c r="Q149" s="188"/>
      <c r="R149" s="188"/>
      <c r="S149" s="188"/>
      <c r="T149" s="188"/>
      <c r="U149" s="188"/>
      <c r="V149" s="188"/>
      <c r="W149" s="188"/>
      <c r="X149" s="188"/>
    </row>
    <row r="150" spans="8:24" ht="15" customHeight="1" x14ac:dyDescent="0.3">
      <c r="J150">
        <f>J149-I149</f>
        <v>-23</v>
      </c>
      <c r="N150">
        <f>J150</f>
        <v>-23</v>
      </c>
      <c r="O150" s="323"/>
      <c r="P150" s="188"/>
      <c r="Q150" s="188"/>
      <c r="R150" s="188"/>
      <c r="S150" s="188"/>
      <c r="T150" s="188"/>
      <c r="U150" s="188"/>
      <c r="V150" s="188"/>
      <c r="W150" s="188"/>
      <c r="X150" s="188"/>
    </row>
    <row r="151" spans="8:24" ht="16.5" x14ac:dyDescent="0.3">
      <c r="O151" s="188"/>
    </row>
    <row r="152" spans="8:24" ht="16.5" customHeight="1" x14ac:dyDescent="0.25">
      <c r="I152">
        <f>J147-I147</f>
        <v>109</v>
      </c>
      <c r="K152">
        <f>L147-K147</f>
        <v>-28</v>
      </c>
      <c r="M152">
        <f>N147-M147</f>
        <v>-104</v>
      </c>
      <c r="N152">
        <f>K147</f>
        <v>1464</v>
      </c>
      <c r="O152" s="321"/>
      <c r="P152" s="321"/>
      <c r="Q152" s="321"/>
      <c r="R152" s="321"/>
      <c r="S152" s="321"/>
      <c r="T152" s="321"/>
      <c r="U152" s="321"/>
      <c r="V152" s="321"/>
    </row>
    <row r="153" spans="8:24" ht="16.5" customHeight="1" x14ac:dyDescent="0.25">
      <c r="N153">
        <f>L147-K147</f>
        <v>-28</v>
      </c>
      <c r="O153" s="321"/>
      <c r="P153" s="321"/>
      <c r="Q153" s="321"/>
      <c r="R153" s="321"/>
      <c r="S153" s="321"/>
      <c r="T153" s="321"/>
      <c r="U153" s="321"/>
      <c r="V153" s="321"/>
    </row>
    <row r="154" spans="8:24" ht="17.25" customHeight="1" x14ac:dyDescent="0.25">
      <c r="O154" s="322"/>
      <c r="P154" s="322"/>
      <c r="Q154" s="322"/>
      <c r="R154" s="322"/>
      <c r="S154" s="322"/>
      <c r="T154" s="322"/>
      <c r="U154" s="322"/>
      <c r="V154" s="322"/>
    </row>
    <row r="155" spans="8:24" ht="17.25" thickBot="1" x14ac:dyDescent="0.3">
      <c r="O155" s="323"/>
      <c r="P155" s="323"/>
      <c r="Q155" s="323"/>
      <c r="R155" s="323"/>
      <c r="S155" s="323"/>
      <c r="T155" s="323"/>
      <c r="U155" s="323"/>
      <c r="V155" s="323"/>
    </row>
    <row r="156" spans="8:24" ht="26.25" customHeight="1" thickBot="1" x14ac:dyDescent="0.3">
      <c r="H156" s="735" t="s">
        <v>319</v>
      </c>
      <c r="I156" s="764" t="s">
        <v>297</v>
      </c>
      <c r="J156" s="737"/>
      <c r="K156" s="739" t="s">
        <v>298</v>
      </c>
      <c r="L156" s="764"/>
      <c r="M156" s="739" t="s">
        <v>145</v>
      </c>
      <c r="N156" s="763"/>
      <c r="O156" s="323"/>
      <c r="P156" s="323"/>
      <c r="Q156" s="323"/>
      <c r="R156" s="323"/>
      <c r="S156" s="323"/>
      <c r="T156" s="323"/>
      <c r="U156" s="323"/>
      <c r="V156" s="323"/>
    </row>
    <row r="157" spans="8:24" ht="17.25" thickBot="1" x14ac:dyDescent="0.3">
      <c r="H157" s="767"/>
      <c r="I157" s="204">
        <v>2025</v>
      </c>
      <c r="J157" s="204">
        <v>2026</v>
      </c>
      <c r="K157" s="204">
        <v>2025</v>
      </c>
      <c r="L157" s="204">
        <v>2026</v>
      </c>
      <c r="M157" s="204">
        <v>2025</v>
      </c>
      <c r="N157" s="204">
        <v>2026</v>
      </c>
      <c r="O157" s="323"/>
      <c r="P157" s="323"/>
      <c r="Q157" s="323"/>
      <c r="R157" s="323"/>
      <c r="S157" s="323"/>
      <c r="T157" s="323"/>
      <c r="U157" s="323"/>
      <c r="V157" s="323"/>
    </row>
    <row r="158" spans="8:24" ht="17.25" thickBot="1" x14ac:dyDescent="0.35">
      <c r="H158" s="326" t="s">
        <v>152</v>
      </c>
      <c r="I158" s="591">
        <v>19</v>
      </c>
      <c r="J158" s="620">
        <v>18</v>
      </c>
      <c r="K158" s="599">
        <v>9</v>
      </c>
      <c r="L158" s="620">
        <v>13</v>
      </c>
      <c r="M158" s="620">
        <v>2</v>
      </c>
      <c r="N158" s="621">
        <v>4</v>
      </c>
      <c r="O158" s="323">
        <f t="shared" ref="O158:P166" si="29">I158+K158+M158</f>
        <v>30</v>
      </c>
      <c r="P158" s="323">
        <f t="shared" si="29"/>
        <v>35</v>
      </c>
      <c r="Q158" s="323"/>
      <c r="R158" s="323"/>
      <c r="S158" s="323"/>
      <c r="T158" s="323"/>
      <c r="U158" s="323"/>
      <c r="V158" s="323"/>
    </row>
    <row r="159" spans="8:24" ht="17.25" thickBot="1" x14ac:dyDescent="0.35">
      <c r="H159" s="326" t="s">
        <v>153</v>
      </c>
      <c r="I159" s="591">
        <v>28</v>
      </c>
      <c r="J159" s="620">
        <v>25</v>
      </c>
      <c r="K159" s="599">
        <v>11</v>
      </c>
      <c r="L159" s="620">
        <v>6</v>
      </c>
      <c r="M159" s="620">
        <v>2</v>
      </c>
      <c r="N159" s="621">
        <v>6</v>
      </c>
      <c r="O159" s="323">
        <f t="shared" si="29"/>
        <v>41</v>
      </c>
      <c r="P159" s="323">
        <f t="shared" si="29"/>
        <v>37</v>
      </c>
      <c r="Q159" s="323"/>
      <c r="R159" s="323"/>
      <c r="S159" s="323"/>
      <c r="T159" s="323"/>
      <c r="U159" s="323"/>
      <c r="V159" s="323"/>
    </row>
    <row r="160" spans="8:24" ht="17.25" thickBot="1" x14ac:dyDescent="0.35">
      <c r="H160" s="326" t="s">
        <v>363</v>
      </c>
      <c r="I160" s="591">
        <v>32</v>
      </c>
      <c r="J160" s="620">
        <v>18</v>
      </c>
      <c r="K160" s="599">
        <v>5</v>
      </c>
      <c r="L160" s="620">
        <v>5</v>
      </c>
      <c r="M160" s="620">
        <v>7</v>
      </c>
      <c r="N160" s="621">
        <v>7</v>
      </c>
      <c r="O160" s="323">
        <f t="shared" si="29"/>
        <v>44</v>
      </c>
      <c r="P160" s="323">
        <f t="shared" si="29"/>
        <v>30</v>
      </c>
      <c r="Q160" s="323"/>
      <c r="R160" s="323"/>
      <c r="S160" s="323"/>
      <c r="T160" s="323"/>
      <c r="U160" s="323"/>
      <c r="V160" s="323"/>
    </row>
    <row r="161" spans="2:22" ht="17.25" thickBot="1" x14ac:dyDescent="0.35">
      <c r="H161" s="326" t="s">
        <v>328</v>
      </c>
      <c r="I161" s="591">
        <v>27</v>
      </c>
      <c r="J161" s="620">
        <v>18</v>
      </c>
      <c r="K161" s="599">
        <v>12</v>
      </c>
      <c r="L161" s="620">
        <v>6</v>
      </c>
      <c r="M161" s="620">
        <v>8</v>
      </c>
      <c r="N161" s="621">
        <v>6</v>
      </c>
      <c r="O161" s="323">
        <f>I161+K161+M161</f>
        <v>47</v>
      </c>
      <c r="P161" s="323">
        <f>J161+L161+N161</f>
        <v>30</v>
      </c>
      <c r="Q161" s="323"/>
      <c r="R161" s="323"/>
      <c r="S161" s="323"/>
      <c r="T161" s="323"/>
      <c r="U161" s="323"/>
      <c r="V161" s="323"/>
    </row>
    <row r="162" spans="2:22" ht="17.25" thickBot="1" x14ac:dyDescent="0.35">
      <c r="H162" s="326" t="s">
        <v>354</v>
      </c>
      <c r="I162" s="591">
        <v>25</v>
      </c>
      <c r="J162" s="620">
        <v>13</v>
      </c>
      <c r="K162" s="599">
        <v>6</v>
      </c>
      <c r="L162" s="620">
        <v>8</v>
      </c>
      <c r="M162" s="620">
        <v>14</v>
      </c>
      <c r="N162" s="621">
        <v>7</v>
      </c>
      <c r="O162" s="323">
        <f>I162+K162+M162</f>
        <v>45</v>
      </c>
      <c r="P162" s="323">
        <f>J162+L162+N162</f>
        <v>28</v>
      </c>
      <c r="Q162" s="323"/>
      <c r="R162" s="323"/>
      <c r="S162" s="323"/>
      <c r="T162" s="323"/>
      <c r="U162" s="323"/>
      <c r="V162" s="323"/>
    </row>
    <row r="163" spans="2:22" ht="17.25" thickBot="1" x14ac:dyDescent="0.35">
      <c r="H163" s="186" t="s">
        <v>157</v>
      </c>
      <c r="I163" s="591">
        <v>19</v>
      </c>
      <c r="J163" s="620">
        <v>29</v>
      </c>
      <c r="K163" s="599">
        <v>8</v>
      </c>
      <c r="L163" s="620">
        <v>6</v>
      </c>
      <c r="M163" s="620">
        <v>8</v>
      </c>
      <c r="N163" s="621">
        <v>11</v>
      </c>
      <c r="O163" s="323">
        <f t="shared" ref="O163" si="30">I163+K163+M163</f>
        <v>35</v>
      </c>
      <c r="P163" s="323">
        <f t="shared" ref="P163" si="31">J163+L163+N163</f>
        <v>46</v>
      </c>
      <c r="Q163" s="323"/>
      <c r="R163" s="323"/>
      <c r="S163" s="323"/>
      <c r="T163" s="323"/>
      <c r="U163" s="323"/>
      <c r="V163" s="323"/>
    </row>
    <row r="164" spans="2:22" ht="17.25" thickBot="1" x14ac:dyDescent="0.35">
      <c r="H164" s="186" t="s">
        <v>157</v>
      </c>
      <c r="I164" s="591">
        <v>35</v>
      </c>
      <c r="J164" s="620">
        <v>17</v>
      </c>
      <c r="K164" s="599">
        <v>10</v>
      </c>
      <c r="L164" s="620">
        <v>2</v>
      </c>
      <c r="M164" s="620">
        <v>13</v>
      </c>
      <c r="N164" s="621">
        <v>16</v>
      </c>
      <c r="O164" s="323">
        <f t="shared" ref="O164" si="32">I164+K164+M164</f>
        <v>58</v>
      </c>
      <c r="P164" s="323">
        <f t="shared" ref="P164" si="33">J164+L164+N164</f>
        <v>35</v>
      </c>
      <c r="Q164" s="323"/>
      <c r="R164" s="323"/>
      <c r="S164" s="323"/>
      <c r="T164" s="323"/>
      <c r="U164" s="323"/>
      <c r="V164" s="323"/>
    </row>
    <row r="165" spans="2:22" ht="17.25" thickBot="1" x14ac:dyDescent="0.35">
      <c r="H165" s="186" t="s">
        <v>384</v>
      </c>
      <c r="I165" s="591">
        <v>19</v>
      </c>
      <c r="J165" s="620">
        <v>19</v>
      </c>
      <c r="K165" s="599">
        <v>8</v>
      </c>
      <c r="L165" s="620">
        <v>7</v>
      </c>
      <c r="M165" s="620">
        <v>8</v>
      </c>
      <c r="N165" s="621">
        <v>7</v>
      </c>
      <c r="O165" s="323">
        <f>I165+K165+M165</f>
        <v>35</v>
      </c>
      <c r="P165" s="323">
        <f>J165+L165+N165</f>
        <v>33</v>
      </c>
      <c r="Q165" s="323"/>
      <c r="R165" s="323"/>
      <c r="S165" s="323"/>
      <c r="T165" s="323"/>
      <c r="U165" s="323"/>
      <c r="V165" s="323"/>
    </row>
    <row r="166" spans="2:22" ht="17.25" thickBot="1" x14ac:dyDescent="0.3">
      <c r="H166" s="186" t="s">
        <v>164</v>
      </c>
      <c r="I166" s="579">
        <f t="shared" ref="I166:N166" si="34">SUM(I158:I165)</f>
        <v>204</v>
      </c>
      <c r="J166" s="578">
        <f>SUM(J158:J165)</f>
        <v>157</v>
      </c>
      <c r="K166" s="578">
        <f t="shared" si="34"/>
        <v>69</v>
      </c>
      <c r="L166" s="578">
        <f t="shared" si="34"/>
        <v>53</v>
      </c>
      <c r="M166" s="578">
        <f t="shared" si="34"/>
        <v>62</v>
      </c>
      <c r="N166" s="579">
        <f t="shared" si="34"/>
        <v>64</v>
      </c>
      <c r="O166" s="321">
        <f t="shared" si="29"/>
        <v>335</v>
      </c>
      <c r="P166" s="321">
        <f t="shared" si="29"/>
        <v>274</v>
      </c>
      <c r="Q166" s="323"/>
      <c r="R166" s="323"/>
      <c r="S166" s="323"/>
      <c r="T166" s="323"/>
      <c r="U166" s="323"/>
      <c r="V166" s="323"/>
    </row>
    <row r="167" spans="2:22" ht="16.5" x14ac:dyDescent="0.25">
      <c r="H167" s="187"/>
      <c r="I167" s="322"/>
      <c r="J167" s="322"/>
      <c r="K167" s="322"/>
      <c r="L167" s="322"/>
      <c r="M167" s="322"/>
      <c r="N167" s="322"/>
      <c r="O167" s="321"/>
      <c r="P167" s="321"/>
      <c r="Q167" s="323"/>
      <c r="R167" s="323"/>
      <c r="S167" s="323"/>
      <c r="T167" s="323"/>
      <c r="U167" s="323"/>
      <c r="V167" s="323"/>
    </row>
    <row r="168" spans="2:22" ht="16.5" x14ac:dyDescent="0.25">
      <c r="I168">
        <f>I166-J166</f>
        <v>47</v>
      </c>
      <c r="K168">
        <f>K166-L166</f>
        <v>16</v>
      </c>
      <c r="M168">
        <f>M166-N166</f>
        <v>-2</v>
      </c>
      <c r="O168" s="323"/>
      <c r="P168" s="323"/>
      <c r="Q168" s="323"/>
      <c r="R168" s="323"/>
      <c r="S168" s="323"/>
      <c r="T168" s="323"/>
      <c r="U168" s="323"/>
      <c r="V168" s="323"/>
    </row>
    <row r="169" spans="2:22" ht="16.5" x14ac:dyDescent="0.25">
      <c r="I169">
        <f>I166+K166+M166</f>
        <v>335</v>
      </c>
      <c r="J169">
        <f>J166+L166+N166</f>
        <v>274</v>
      </c>
      <c r="N169">
        <f>I169</f>
        <v>335</v>
      </c>
      <c r="O169" s="323">
        <f>((J169-I169)/I169)*100</f>
        <v>-18.208955223880597</v>
      </c>
      <c r="P169" s="323"/>
      <c r="Q169" s="323"/>
      <c r="R169" s="323"/>
      <c r="S169" s="323"/>
      <c r="T169" s="323"/>
      <c r="U169" s="323"/>
      <c r="V169" s="323"/>
    </row>
    <row r="170" spans="2:22" ht="16.5" x14ac:dyDescent="0.25">
      <c r="G170" t="s">
        <v>506</v>
      </c>
      <c r="O170" s="323"/>
      <c r="P170" s="323"/>
      <c r="Q170" s="323"/>
      <c r="R170" s="323"/>
      <c r="S170" s="323"/>
      <c r="T170" s="323"/>
      <c r="U170" s="323"/>
      <c r="V170" s="323"/>
    </row>
    <row r="171" spans="2:22" ht="16.5" x14ac:dyDescent="0.25">
      <c r="J171">
        <f>I169-J169</f>
        <v>61</v>
      </c>
      <c r="O171" s="323"/>
      <c r="P171" s="323"/>
      <c r="Q171" s="323"/>
      <c r="R171" s="323"/>
      <c r="S171" s="323"/>
      <c r="T171" s="323"/>
      <c r="U171" s="323"/>
      <c r="V171" s="323"/>
    </row>
    <row r="172" spans="2:22" ht="16.5" x14ac:dyDescent="0.25">
      <c r="O172" s="323"/>
      <c r="P172" s="323"/>
      <c r="Q172" s="323"/>
      <c r="R172" s="323"/>
      <c r="S172" s="323"/>
      <c r="T172" s="323"/>
      <c r="U172" s="323"/>
      <c r="V172" s="323"/>
    </row>
    <row r="173" spans="2:22" ht="16.5" x14ac:dyDescent="0.25">
      <c r="O173" s="323"/>
      <c r="P173" s="323"/>
      <c r="Q173" s="323"/>
      <c r="R173" s="323"/>
      <c r="S173" s="323"/>
      <c r="T173" s="323"/>
      <c r="U173" s="323"/>
      <c r="V173" s="323"/>
    </row>
    <row r="175" spans="2:22" ht="15.75" customHeight="1" x14ac:dyDescent="0.25">
      <c r="O175" s="321"/>
      <c r="P175" s="321"/>
      <c r="Q175" s="321"/>
      <c r="R175" s="321"/>
      <c r="S175" s="321"/>
      <c r="T175" s="321"/>
      <c r="U175" s="321"/>
      <c r="V175" s="321"/>
    </row>
    <row r="176" spans="2:22" x14ac:dyDescent="0.25">
      <c r="B176" s="109"/>
      <c r="C176" s="316" t="s">
        <v>197</v>
      </c>
      <c r="D176" s="316" t="s">
        <v>198</v>
      </c>
      <c r="E176" s="316" t="s">
        <v>199</v>
      </c>
      <c r="O176" s="322"/>
      <c r="P176" s="322"/>
      <c r="Q176" s="322"/>
      <c r="R176" s="322"/>
      <c r="S176" s="322"/>
      <c r="T176" s="322"/>
      <c r="U176" s="322"/>
      <c r="V176" s="322"/>
    </row>
    <row r="177" spans="2:22" ht="16.5" x14ac:dyDescent="0.25">
      <c r="B177" s="316">
        <v>2025</v>
      </c>
      <c r="C177" s="47">
        <f>I147</f>
        <v>1616</v>
      </c>
      <c r="D177" s="47">
        <f>K147</f>
        <v>1464</v>
      </c>
      <c r="E177" s="47">
        <f>M147</f>
        <v>1721</v>
      </c>
      <c r="O177" s="323"/>
      <c r="P177" s="323"/>
      <c r="Q177" s="323"/>
      <c r="R177" s="323"/>
      <c r="S177" s="323"/>
      <c r="T177" s="323"/>
      <c r="U177" s="323"/>
      <c r="V177" s="323"/>
    </row>
    <row r="178" spans="2:22" ht="16.5" x14ac:dyDescent="0.25">
      <c r="B178" s="316">
        <v>2026</v>
      </c>
      <c r="C178" s="47">
        <f>J147</f>
        <v>1725</v>
      </c>
      <c r="D178" s="47">
        <f>L147</f>
        <v>1436</v>
      </c>
      <c r="E178" s="47">
        <f>N147</f>
        <v>1617</v>
      </c>
      <c r="O178" s="323"/>
      <c r="P178" s="323"/>
      <c r="Q178" s="323"/>
      <c r="R178" s="323"/>
      <c r="S178" s="323"/>
      <c r="T178" s="323"/>
      <c r="U178" s="323"/>
      <c r="V178" s="323"/>
    </row>
    <row r="179" spans="2:22" ht="16.5" x14ac:dyDescent="0.25">
      <c r="O179" s="323"/>
      <c r="P179" s="323"/>
      <c r="Q179" s="323"/>
      <c r="R179" s="323"/>
      <c r="S179" s="323"/>
      <c r="T179" s="323"/>
      <c r="U179" s="323"/>
      <c r="V179" s="323"/>
    </row>
    <row r="180" spans="2:22" ht="16.5" x14ac:dyDescent="0.25">
      <c r="O180" s="323"/>
      <c r="P180" s="323"/>
      <c r="Q180" s="323"/>
      <c r="R180" s="323"/>
      <c r="S180" s="323"/>
      <c r="T180" s="323"/>
      <c r="U180" s="323"/>
      <c r="V180" s="323"/>
    </row>
    <row r="181" spans="2:22" ht="16.5" x14ac:dyDescent="0.25">
      <c r="O181" s="323"/>
      <c r="P181" s="323"/>
      <c r="Q181" s="323"/>
      <c r="R181" s="323"/>
      <c r="S181" s="323"/>
      <c r="T181" s="323"/>
      <c r="U181" s="323"/>
      <c r="V181" s="323"/>
    </row>
    <row r="182" spans="2:22" ht="16.5" x14ac:dyDescent="0.25">
      <c r="O182" s="323"/>
      <c r="P182" s="323"/>
      <c r="Q182" s="323"/>
      <c r="R182" s="323"/>
      <c r="S182" s="323"/>
      <c r="T182" s="323"/>
      <c r="U182" s="323"/>
      <c r="V182" s="323"/>
    </row>
    <row r="183" spans="2:22" ht="16.5" x14ac:dyDescent="0.25">
      <c r="O183" s="323"/>
      <c r="P183" s="323"/>
      <c r="Q183" s="323"/>
      <c r="R183" s="323"/>
      <c r="S183" s="323"/>
      <c r="T183" s="323"/>
      <c r="U183" s="323"/>
      <c r="V183" s="323"/>
    </row>
    <row r="184" spans="2:22" ht="16.5" x14ac:dyDescent="0.25">
      <c r="O184" s="323"/>
      <c r="P184" s="323"/>
      <c r="Q184" s="323"/>
      <c r="R184" s="323"/>
      <c r="S184" s="323"/>
      <c r="T184" s="323"/>
      <c r="U184" s="323"/>
      <c r="V184" s="323"/>
    </row>
    <row r="185" spans="2:22" ht="16.5" x14ac:dyDescent="0.25">
      <c r="O185" s="323"/>
      <c r="P185" s="323"/>
      <c r="Q185" s="323"/>
      <c r="R185" s="323"/>
      <c r="S185" s="323"/>
      <c r="T185" s="323"/>
      <c r="U185" s="323"/>
      <c r="V185" s="323"/>
    </row>
    <row r="186" spans="2:22" ht="18" customHeight="1" x14ac:dyDescent="0.25">
      <c r="O186" s="323"/>
      <c r="P186" s="323"/>
      <c r="Q186" s="323"/>
      <c r="R186" s="323"/>
      <c r="S186" s="323"/>
      <c r="T186" s="323"/>
      <c r="U186" s="323"/>
      <c r="V186" s="323"/>
    </row>
    <row r="187" spans="2:22" ht="16.5" x14ac:dyDescent="0.3">
      <c r="O187" s="188"/>
      <c r="P187" s="188"/>
      <c r="Q187" s="188"/>
      <c r="R187" s="188"/>
      <c r="S187" s="188"/>
      <c r="T187" s="188"/>
      <c r="U187" s="188"/>
      <c r="V187" s="188"/>
    </row>
    <row r="193" spans="2:22" x14ac:dyDescent="0.25">
      <c r="O193" s="322"/>
      <c r="P193" s="322"/>
      <c r="Q193" s="322"/>
      <c r="R193" s="322"/>
      <c r="S193" s="322"/>
      <c r="T193" s="322"/>
      <c r="U193" s="322"/>
      <c r="V193" s="322"/>
    </row>
    <row r="194" spans="2:22" ht="16.5" x14ac:dyDescent="0.25">
      <c r="O194" s="323"/>
      <c r="P194" s="323"/>
      <c r="Q194" s="323"/>
      <c r="R194" s="323"/>
      <c r="S194" s="323"/>
      <c r="T194" s="323"/>
      <c r="U194" s="323"/>
      <c r="V194" s="323"/>
    </row>
    <row r="195" spans="2:22" ht="16.5" x14ac:dyDescent="0.25">
      <c r="O195" s="323"/>
      <c r="P195" s="323"/>
      <c r="Q195" s="323"/>
      <c r="R195" s="323"/>
      <c r="S195" s="323"/>
      <c r="T195" s="323"/>
      <c r="U195" s="323"/>
      <c r="V195" s="323"/>
    </row>
    <row r="196" spans="2:22" ht="35.25" customHeight="1" x14ac:dyDescent="0.25">
      <c r="B196" s="47"/>
      <c r="C196" s="470" t="s">
        <v>374</v>
      </c>
      <c r="D196" s="470" t="s">
        <v>375</v>
      </c>
      <c r="E196" s="470" t="s">
        <v>145</v>
      </c>
      <c r="O196" s="323"/>
      <c r="P196" s="323"/>
      <c r="Q196" s="323"/>
      <c r="R196" s="323"/>
      <c r="S196" s="323"/>
      <c r="T196" s="323"/>
      <c r="U196" s="323"/>
      <c r="V196" s="323"/>
    </row>
    <row r="197" spans="2:22" ht="16.5" x14ac:dyDescent="0.25">
      <c r="B197" s="316">
        <v>2025</v>
      </c>
      <c r="C197" s="47">
        <f>I166</f>
        <v>204</v>
      </c>
      <c r="D197" s="47">
        <f>K166</f>
        <v>69</v>
      </c>
      <c r="E197" s="47">
        <f>M166</f>
        <v>62</v>
      </c>
      <c r="O197" s="323"/>
      <c r="P197" s="323"/>
      <c r="Q197" s="323"/>
      <c r="R197" s="323"/>
      <c r="S197" s="323"/>
      <c r="T197" s="323"/>
      <c r="U197" s="323"/>
      <c r="V197" s="323"/>
    </row>
    <row r="198" spans="2:22" ht="16.5" x14ac:dyDescent="0.25">
      <c r="B198" s="316">
        <v>2026</v>
      </c>
      <c r="C198" s="47">
        <f>J166</f>
        <v>157</v>
      </c>
      <c r="D198" s="47">
        <f>L166</f>
        <v>53</v>
      </c>
      <c r="E198" s="47">
        <f>N166</f>
        <v>64</v>
      </c>
      <c r="O198" s="323"/>
      <c r="P198" s="323"/>
      <c r="Q198" s="323"/>
      <c r="R198" s="323"/>
      <c r="S198" s="323"/>
      <c r="T198" s="323"/>
      <c r="U198" s="323"/>
      <c r="V198" s="323"/>
    </row>
    <row r="199" spans="2:22" ht="16.5" x14ac:dyDescent="0.25">
      <c r="O199" s="323"/>
      <c r="P199" s="323"/>
      <c r="Q199" s="323"/>
      <c r="R199" s="323"/>
      <c r="S199" s="323"/>
      <c r="T199" s="323"/>
      <c r="U199" s="323"/>
      <c r="V199" s="323"/>
    </row>
    <row r="200" spans="2:22" ht="16.5" x14ac:dyDescent="0.25">
      <c r="O200" s="323"/>
      <c r="P200" s="323"/>
      <c r="Q200" s="323"/>
      <c r="R200" s="323"/>
      <c r="S200" s="323"/>
      <c r="T200" s="323"/>
      <c r="U200" s="323"/>
      <c r="V200" s="323"/>
    </row>
    <row r="201" spans="2:22" ht="16.5" x14ac:dyDescent="0.25">
      <c r="O201" s="323"/>
      <c r="P201" s="323"/>
      <c r="Q201" s="323"/>
      <c r="R201" s="323"/>
      <c r="S201" s="323"/>
      <c r="T201" s="323"/>
      <c r="U201" s="323"/>
      <c r="V201" s="323"/>
    </row>
    <row r="202" spans="2:22" ht="16.5" x14ac:dyDescent="0.25">
      <c r="O202" s="323"/>
      <c r="P202" s="323"/>
      <c r="Q202" s="323"/>
      <c r="R202" s="323"/>
      <c r="S202" s="323"/>
      <c r="T202" s="323"/>
      <c r="U202" s="323"/>
      <c r="V202" s="323"/>
    </row>
    <row r="203" spans="2:22" ht="16.5" x14ac:dyDescent="0.25">
      <c r="O203" s="323"/>
      <c r="P203" s="323"/>
      <c r="Q203" s="323"/>
      <c r="R203" s="323"/>
      <c r="S203" s="323"/>
      <c r="T203" s="323"/>
      <c r="U203" s="323"/>
      <c r="V203" s="323"/>
    </row>
    <row r="204" spans="2:22" ht="16.5" x14ac:dyDescent="0.3">
      <c r="O204" s="188">
        <f>N166-M166</f>
        <v>2</v>
      </c>
      <c r="P204" s="188"/>
      <c r="Q204" s="188"/>
      <c r="R204" s="188"/>
      <c r="S204" s="188"/>
      <c r="T204" s="188"/>
      <c r="U204" s="188"/>
      <c r="V204" s="188"/>
    </row>
    <row r="217" spans="3:5" ht="15.75" thickBot="1" x14ac:dyDescent="0.3"/>
    <row r="218" spans="3:5" ht="15.75" thickBot="1" x14ac:dyDescent="0.3">
      <c r="C218" s="214" t="s">
        <v>343</v>
      </c>
      <c r="D218" s="213">
        <v>45658</v>
      </c>
      <c r="E218" s="213">
        <v>46023</v>
      </c>
    </row>
    <row r="219" spans="3:5" ht="16.5" x14ac:dyDescent="0.3">
      <c r="C219" s="183" t="s">
        <v>141</v>
      </c>
      <c r="D219" s="455">
        <f>I147</f>
        <v>1616</v>
      </c>
      <c r="E219" s="462">
        <f>J147</f>
        <v>1725</v>
      </c>
    </row>
    <row r="220" spans="3:5" ht="16.5" x14ac:dyDescent="0.3">
      <c r="C220" s="184" t="s">
        <v>198</v>
      </c>
      <c r="D220" s="453">
        <f>K147</f>
        <v>1464</v>
      </c>
      <c r="E220" s="473">
        <f>L147</f>
        <v>1436</v>
      </c>
    </row>
    <row r="221" spans="3:5" ht="17.25" thickBot="1" x14ac:dyDescent="0.35">
      <c r="C221" s="185" t="s">
        <v>199</v>
      </c>
      <c r="D221" s="454">
        <f>M147</f>
        <v>1721</v>
      </c>
      <c r="E221" s="474">
        <f>N147</f>
        <v>1617</v>
      </c>
    </row>
    <row r="222" spans="3:5" ht="17.25" thickBot="1" x14ac:dyDescent="0.35">
      <c r="C222" s="186" t="s">
        <v>164</v>
      </c>
      <c r="D222" s="472">
        <f>SUM(D219:D221)</f>
        <v>4801</v>
      </c>
      <c r="E222" s="179">
        <f>SUM(E219:E221)</f>
        <v>4778</v>
      </c>
    </row>
    <row r="237" spans="27:27" x14ac:dyDescent="0.25">
      <c r="AA237" t="s">
        <v>355</v>
      </c>
    </row>
    <row r="240" spans="27:27" ht="15.75" thickBot="1" x14ac:dyDescent="0.3"/>
    <row r="241" spans="3:5" ht="15.75" thickBot="1" x14ac:dyDescent="0.3">
      <c r="C241" s="214" t="s">
        <v>343</v>
      </c>
      <c r="D241" s="213">
        <v>45658</v>
      </c>
      <c r="E241" s="213">
        <v>46023</v>
      </c>
    </row>
    <row r="242" spans="3:5" ht="16.5" x14ac:dyDescent="0.25">
      <c r="C242" s="183" t="s">
        <v>297</v>
      </c>
      <c r="D242" s="462">
        <f>I166</f>
        <v>204</v>
      </c>
      <c r="E242" s="462">
        <f>J166</f>
        <v>157</v>
      </c>
    </row>
    <row r="243" spans="3:5" ht="16.5" x14ac:dyDescent="0.25">
      <c r="C243" s="184" t="s">
        <v>144</v>
      </c>
      <c r="D243" s="473">
        <f>K166</f>
        <v>69</v>
      </c>
      <c r="E243" s="473">
        <f>L166</f>
        <v>53</v>
      </c>
    </row>
    <row r="244" spans="3:5" ht="17.25" thickBot="1" x14ac:dyDescent="0.3">
      <c r="C244" s="185" t="s">
        <v>145</v>
      </c>
      <c r="D244" s="475">
        <f>M166</f>
        <v>62</v>
      </c>
      <c r="E244" s="475">
        <f>N166</f>
        <v>64</v>
      </c>
    </row>
    <row r="245" spans="3:5" ht="17.25" thickBot="1" x14ac:dyDescent="0.35">
      <c r="C245" s="186" t="s">
        <v>164</v>
      </c>
      <c r="D245" s="179">
        <f>SUM(D242:D244)</f>
        <v>335</v>
      </c>
      <c r="E245" s="179">
        <f>SUM(E242:E244)</f>
        <v>274</v>
      </c>
    </row>
    <row r="265" spans="3:11" x14ac:dyDescent="0.25">
      <c r="J265">
        <v>421</v>
      </c>
      <c r="K265">
        <v>435</v>
      </c>
    </row>
    <row r="266" spans="3:11" x14ac:dyDescent="0.25">
      <c r="C266" t="s">
        <v>484</v>
      </c>
      <c r="D266" s="19" t="s">
        <v>150</v>
      </c>
      <c r="E266" s="19" t="s">
        <v>148</v>
      </c>
      <c r="F266" s="19" t="s">
        <v>207</v>
      </c>
      <c r="J266">
        <v>296</v>
      </c>
      <c r="K266">
        <v>236</v>
      </c>
    </row>
    <row r="267" spans="3:11" x14ac:dyDescent="0.25">
      <c r="C267">
        <v>2025</v>
      </c>
      <c r="D267">
        <v>421</v>
      </c>
      <c r="E267">
        <v>296</v>
      </c>
      <c r="F267">
        <v>43</v>
      </c>
      <c r="J267">
        <v>43</v>
      </c>
      <c r="K267">
        <v>72</v>
      </c>
    </row>
    <row r="268" spans="3:11" x14ac:dyDescent="0.25">
      <c r="C268">
        <v>2026</v>
      </c>
    </row>
    <row r="269" spans="3:11" x14ac:dyDescent="0.25">
      <c r="C269" t="s">
        <v>485</v>
      </c>
    </row>
  </sheetData>
  <mergeCells count="38">
    <mergeCell ref="M96:N96"/>
    <mergeCell ref="H95:N95"/>
    <mergeCell ref="H114:H115"/>
    <mergeCell ref="I114:J114"/>
    <mergeCell ref="K114:L114"/>
    <mergeCell ref="M114:N114"/>
    <mergeCell ref="H113:N113"/>
    <mergeCell ref="H28:H29"/>
    <mergeCell ref="I28:J28"/>
    <mergeCell ref="H6:H7"/>
    <mergeCell ref="I6:J6"/>
    <mergeCell ref="H5:N5"/>
    <mergeCell ref="I156:J156"/>
    <mergeCell ref="H137:H138"/>
    <mergeCell ref="I137:J137"/>
    <mergeCell ref="K137:L137"/>
    <mergeCell ref="H49:H50"/>
    <mergeCell ref="I49:J49"/>
    <mergeCell ref="H96:H97"/>
    <mergeCell ref="I96:J96"/>
    <mergeCell ref="H76:H77"/>
    <mergeCell ref="I76:J76"/>
    <mergeCell ref="M137:N137"/>
    <mergeCell ref="K156:L156"/>
    <mergeCell ref="M156:N156"/>
    <mergeCell ref="K6:L6"/>
    <mergeCell ref="M6:N6"/>
    <mergeCell ref="K28:L28"/>
    <mergeCell ref="M28:N28"/>
    <mergeCell ref="H27:N27"/>
    <mergeCell ref="H48:N48"/>
    <mergeCell ref="K49:L49"/>
    <mergeCell ref="M49:N49"/>
    <mergeCell ref="K76:L76"/>
    <mergeCell ref="M76:N76"/>
    <mergeCell ref="H75:N75"/>
    <mergeCell ref="K96:L96"/>
    <mergeCell ref="H156:H157"/>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DD92-2EF5-444F-A255-6631FE628E41}">
  <dimension ref="C3:BD125"/>
  <sheetViews>
    <sheetView topLeftCell="Z55" workbookViewId="0">
      <selection activeCell="AG80" sqref="AG80"/>
    </sheetView>
  </sheetViews>
  <sheetFormatPr baseColWidth="10" defaultRowHeight="15" x14ac:dyDescent="0.25"/>
  <cols>
    <col min="3" max="3" width="31.28515625" bestFit="1" customWidth="1"/>
    <col min="4" max="4" width="33.7109375" customWidth="1"/>
    <col min="5" max="5" width="30.140625" customWidth="1"/>
    <col min="6" max="6" width="25.5703125" customWidth="1"/>
    <col min="8" max="8" width="31.28515625" bestFit="1" customWidth="1"/>
    <col min="9" max="9" width="25.7109375" bestFit="1" customWidth="1"/>
    <col min="10" max="10" width="27.42578125" bestFit="1" customWidth="1"/>
    <col min="11" max="11" width="23" bestFit="1" customWidth="1"/>
    <col min="13" max="13" width="31.28515625" bestFit="1" customWidth="1"/>
    <col min="14" max="14" width="25.7109375" bestFit="1" customWidth="1"/>
    <col min="15" max="15" width="27.42578125" bestFit="1" customWidth="1"/>
    <col min="16" max="16" width="23" bestFit="1" customWidth="1"/>
    <col min="18" max="18" width="31.28515625" bestFit="1" customWidth="1"/>
    <col min="19" max="19" width="25.7109375" bestFit="1" customWidth="1"/>
    <col min="20" max="20" width="27.42578125" bestFit="1" customWidth="1"/>
    <col min="21" max="21" width="23" bestFit="1" customWidth="1"/>
    <col min="23" max="23" width="31.28515625" bestFit="1" customWidth="1"/>
    <col min="24" max="24" width="25.7109375" bestFit="1" customWidth="1"/>
    <col min="25" max="25" width="27.42578125" bestFit="1" customWidth="1"/>
    <col min="26" max="26" width="23" bestFit="1" customWidth="1"/>
    <col min="28" max="28" width="31.28515625" bestFit="1" customWidth="1"/>
    <col min="29" max="29" width="25.7109375" bestFit="1" customWidth="1"/>
    <col min="30" max="30" width="27.42578125" bestFit="1" customWidth="1"/>
    <col min="31" max="31" width="23" bestFit="1" customWidth="1"/>
    <col min="33" max="33" width="31.28515625" bestFit="1" customWidth="1"/>
    <col min="34" max="34" width="25.7109375" bestFit="1" customWidth="1"/>
    <col min="35" max="35" width="27.42578125" bestFit="1" customWidth="1"/>
    <col min="36" max="36" width="23" bestFit="1" customWidth="1"/>
    <col min="38" max="38" width="31.28515625" bestFit="1" customWidth="1"/>
    <col min="39" max="39" width="25.7109375" bestFit="1" customWidth="1"/>
    <col min="40" max="40" width="27.42578125" bestFit="1" customWidth="1"/>
    <col min="41" max="41" width="23" bestFit="1" customWidth="1"/>
    <col min="43" max="43" width="31.28515625" bestFit="1" customWidth="1"/>
    <col min="44" max="44" width="25.7109375" bestFit="1" customWidth="1"/>
    <col min="45" max="45" width="27.42578125" bestFit="1" customWidth="1"/>
    <col min="46" max="46" width="23" bestFit="1" customWidth="1"/>
    <col min="48" max="48" width="31.28515625" bestFit="1" customWidth="1"/>
    <col min="49" max="49" width="25.7109375" bestFit="1" customWidth="1"/>
    <col min="50" max="50" width="27.42578125" bestFit="1" customWidth="1"/>
    <col min="51" max="51" width="23" bestFit="1" customWidth="1"/>
    <col min="53" max="53" width="31.28515625" bestFit="1" customWidth="1"/>
    <col min="54" max="54" width="25.7109375" bestFit="1" customWidth="1"/>
    <col min="55" max="55" width="27.42578125" bestFit="1" customWidth="1"/>
    <col min="56" max="56" width="23" bestFit="1" customWidth="1"/>
  </cols>
  <sheetData>
    <row r="3" spans="3:56" ht="15.75" thickBot="1" x14ac:dyDescent="0.3"/>
    <row r="4" spans="3:56" ht="19.5" customHeight="1" x14ac:dyDescent="0.25">
      <c r="C4" s="777" t="s">
        <v>437</v>
      </c>
      <c r="D4" s="778"/>
      <c r="E4" s="778"/>
      <c r="F4" s="779"/>
      <c r="H4" s="777" t="s">
        <v>437</v>
      </c>
      <c r="I4" s="778"/>
      <c r="J4" s="778"/>
      <c r="K4" s="779"/>
      <c r="M4" s="777" t="s">
        <v>437</v>
      </c>
      <c r="N4" s="778"/>
      <c r="O4" s="778"/>
      <c r="P4" s="779"/>
      <c r="R4" s="777" t="s">
        <v>437</v>
      </c>
      <c r="S4" s="778"/>
      <c r="T4" s="778"/>
      <c r="U4" s="779"/>
      <c r="W4" s="777" t="s">
        <v>437</v>
      </c>
      <c r="X4" s="778"/>
      <c r="Y4" s="778"/>
      <c r="Z4" s="779"/>
      <c r="AB4" s="777" t="s">
        <v>437</v>
      </c>
      <c r="AC4" s="778"/>
      <c r="AD4" s="778"/>
      <c r="AE4" s="779"/>
      <c r="AG4" s="777" t="s">
        <v>437</v>
      </c>
      <c r="AH4" s="778"/>
      <c r="AI4" s="778"/>
      <c r="AJ4" s="779"/>
      <c r="AL4" s="777" t="s">
        <v>313</v>
      </c>
      <c r="AM4" s="778"/>
      <c r="AN4" s="778"/>
      <c r="AO4" s="779"/>
      <c r="AQ4" s="777" t="s">
        <v>313</v>
      </c>
      <c r="AR4" s="778"/>
      <c r="AS4" s="778"/>
      <c r="AT4" s="779"/>
      <c r="AV4" s="777" t="s">
        <v>313</v>
      </c>
      <c r="AW4" s="778"/>
      <c r="AX4" s="778"/>
      <c r="AY4" s="779"/>
      <c r="BA4" s="777" t="s">
        <v>313</v>
      </c>
      <c r="BB4" s="778"/>
      <c r="BC4" s="778"/>
      <c r="BD4" s="779"/>
    </row>
    <row r="5" spans="3:56" ht="16.5" x14ac:dyDescent="0.3">
      <c r="C5" s="160" t="s">
        <v>302</v>
      </c>
      <c r="D5" s="159" t="s">
        <v>303</v>
      </c>
      <c r="E5" s="159" t="s">
        <v>304</v>
      </c>
      <c r="F5" s="161" t="s">
        <v>305</v>
      </c>
      <c r="H5" s="160" t="s">
        <v>302</v>
      </c>
      <c r="I5" s="159" t="s">
        <v>303</v>
      </c>
      <c r="J5" s="159" t="s">
        <v>304</v>
      </c>
      <c r="K5" s="161" t="s">
        <v>305</v>
      </c>
      <c r="M5" s="160" t="s">
        <v>302</v>
      </c>
      <c r="N5" s="159" t="s">
        <v>303</v>
      </c>
      <c r="O5" s="159" t="s">
        <v>304</v>
      </c>
      <c r="P5" s="161" t="s">
        <v>305</v>
      </c>
      <c r="R5" s="160" t="s">
        <v>302</v>
      </c>
      <c r="S5" s="159" t="s">
        <v>303</v>
      </c>
      <c r="T5" s="159" t="s">
        <v>304</v>
      </c>
      <c r="U5" s="161" t="s">
        <v>305</v>
      </c>
      <c r="W5" s="160" t="s">
        <v>302</v>
      </c>
      <c r="X5" s="159" t="s">
        <v>303</v>
      </c>
      <c r="Y5" s="159" t="s">
        <v>304</v>
      </c>
      <c r="Z5" s="161" t="s">
        <v>305</v>
      </c>
      <c r="AB5" s="160" t="s">
        <v>302</v>
      </c>
      <c r="AC5" s="159" t="s">
        <v>303</v>
      </c>
      <c r="AD5" s="159" t="s">
        <v>304</v>
      </c>
      <c r="AE5" s="161" t="s">
        <v>305</v>
      </c>
      <c r="AG5" s="160" t="s">
        <v>302</v>
      </c>
      <c r="AH5" s="159" t="s">
        <v>303</v>
      </c>
      <c r="AI5" s="159" t="s">
        <v>304</v>
      </c>
      <c r="AJ5" s="161" t="s">
        <v>305</v>
      </c>
      <c r="AL5" s="160" t="s">
        <v>302</v>
      </c>
      <c r="AM5" s="159" t="s">
        <v>303</v>
      </c>
      <c r="AN5" s="159" t="s">
        <v>304</v>
      </c>
      <c r="AO5" s="161" t="s">
        <v>305</v>
      </c>
      <c r="AQ5" s="160" t="s">
        <v>302</v>
      </c>
      <c r="AR5" s="159" t="s">
        <v>303</v>
      </c>
      <c r="AS5" s="159" t="s">
        <v>304</v>
      </c>
      <c r="AT5" s="161" t="s">
        <v>305</v>
      </c>
      <c r="AV5" s="160" t="s">
        <v>302</v>
      </c>
      <c r="AW5" s="159" t="s">
        <v>303</v>
      </c>
      <c r="AX5" s="159" t="s">
        <v>304</v>
      </c>
      <c r="AY5" s="161" t="s">
        <v>305</v>
      </c>
      <c r="BA5" s="160" t="s">
        <v>302</v>
      </c>
      <c r="BB5" s="159" t="s">
        <v>303</v>
      </c>
      <c r="BC5" s="159" t="s">
        <v>304</v>
      </c>
      <c r="BD5" s="161" t="s">
        <v>305</v>
      </c>
    </row>
    <row r="6" spans="3:56" ht="16.5" x14ac:dyDescent="0.3">
      <c r="C6" s="160">
        <v>340</v>
      </c>
      <c r="D6" s="159">
        <v>336</v>
      </c>
      <c r="E6" s="159">
        <f>C6-D6</f>
        <v>4</v>
      </c>
      <c r="F6" s="162">
        <f>D6/C6</f>
        <v>0.9882352941176471</v>
      </c>
      <c r="H6" s="160">
        <v>340</v>
      </c>
      <c r="I6" s="159">
        <v>340</v>
      </c>
      <c r="J6" s="159">
        <f>H6-I6</f>
        <v>0</v>
      </c>
      <c r="K6" s="162">
        <f>I6/H6</f>
        <v>1</v>
      </c>
      <c r="M6" s="160">
        <v>340</v>
      </c>
      <c r="N6" s="159">
        <v>340</v>
      </c>
      <c r="O6" s="159">
        <f>M6-N6</f>
        <v>0</v>
      </c>
      <c r="P6" s="162">
        <f>N6/M6</f>
        <v>1</v>
      </c>
      <c r="R6" s="160">
        <v>340</v>
      </c>
      <c r="S6" s="159">
        <v>340</v>
      </c>
      <c r="T6" s="159">
        <f>R6-S6</f>
        <v>0</v>
      </c>
      <c r="U6" s="162">
        <f>S6/R6</f>
        <v>1</v>
      </c>
      <c r="W6" s="160">
        <v>340</v>
      </c>
      <c r="X6" s="159">
        <v>340</v>
      </c>
      <c r="Y6" s="159">
        <f>W6-X6</f>
        <v>0</v>
      </c>
      <c r="Z6" s="162">
        <f>X6/W6</f>
        <v>1</v>
      </c>
      <c r="AB6" s="160">
        <v>340</v>
      </c>
      <c r="AC6" s="159">
        <v>340</v>
      </c>
      <c r="AD6" s="159">
        <f>AB6-AC6</f>
        <v>0</v>
      </c>
      <c r="AE6" s="162">
        <f>AC6/AB6</f>
        <v>1</v>
      </c>
      <c r="AG6" s="160">
        <v>340</v>
      </c>
      <c r="AH6" s="159">
        <v>340</v>
      </c>
      <c r="AI6" s="159">
        <f>AG6-AH6</f>
        <v>0</v>
      </c>
      <c r="AJ6" s="162">
        <f>AH6/AG6</f>
        <v>1</v>
      </c>
      <c r="AL6" s="160">
        <v>324</v>
      </c>
      <c r="AM6" s="159">
        <v>324</v>
      </c>
      <c r="AN6" s="159">
        <v>324</v>
      </c>
      <c r="AO6" s="162">
        <f>AM6/AL6</f>
        <v>1</v>
      </c>
      <c r="AQ6" s="160">
        <v>324</v>
      </c>
      <c r="AR6" s="159">
        <v>324</v>
      </c>
      <c r="AS6" s="159">
        <v>324</v>
      </c>
      <c r="AT6" s="162">
        <f>AR6/AQ6</f>
        <v>1</v>
      </c>
      <c r="AV6" s="160">
        <v>324</v>
      </c>
      <c r="AW6" s="159">
        <v>324</v>
      </c>
      <c r="AX6" s="159">
        <v>324</v>
      </c>
      <c r="AY6" s="162">
        <f>AW6/AV6</f>
        <v>1</v>
      </c>
      <c r="BA6" s="160">
        <v>324</v>
      </c>
      <c r="BB6" s="159">
        <v>324</v>
      </c>
      <c r="BC6" s="159">
        <v>324</v>
      </c>
      <c r="BD6" s="162">
        <f>BB6/BA6</f>
        <v>1</v>
      </c>
    </row>
    <row r="7" spans="3:56" ht="16.5" x14ac:dyDescent="0.3">
      <c r="C7" s="160" t="s">
        <v>308</v>
      </c>
      <c r="D7" s="159" t="s">
        <v>306</v>
      </c>
      <c r="E7" s="159" t="s">
        <v>307</v>
      </c>
      <c r="F7" s="161" t="s">
        <v>305</v>
      </c>
      <c r="H7" s="160" t="s">
        <v>308</v>
      </c>
      <c r="I7" s="159" t="s">
        <v>306</v>
      </c>
      <c r="J7" s="159" t="s">
        <v>307</v>
      </c>
      <c r="K7" s="161" t="s">
        <v>305</v>
      </c>
      <c r="M7" s="160" t="s">
        <v>308</v>
      </c>
      <c r="N7" s="159" t="s">
        <v>306</v>
      </c>
      <c r="O7" s="159" t="s">
        <v>307</v>
      </c>
      <c r="P7" s="161" t="s">
        <v>305</v>
      </c>
      <c r="R7" s="160" t="s">
        <v>308</v>
      </c>
      <c r="S7" s="159" t="s">
        <v>306</v>
      </c>
      <c r="T7" s="159" t="s">
        <v>307</v>
      </c>
      <c r="U7" s="161" t="s">
        <v>305</v>
      </c>
      <c r="W7" s="160" t="s">
        <v>308</v>
      </c>
      <c r="X7" s="159" t="s">
        <v>306</v>
      </c>
      <c r="Y7" s="159" t="s">
        <v>307</v>
      </c>
      <c r="Z7" s="161" t="s">
        <v>305</v>
      </c>
      <c r="AB7" s="160" t="s">
        <v>308</v>
      </c>
      <c r="AC7" s="159" t="s">
        <v>306</v>
      </c>
      <c r="AD7" s="159" t="s">
        <v>307</v>
      </c>
      <c r="AE7" s="161" t="s">
        <v>305</v>
      </c>
      <c r="AG7" s="160" t="s">
        <v>308</v>
      </c>
      <c r="AH7" s="159" t="s">
        <v>306</v>
      </c>
      <c r="AI7" s="159" t="s">
        <v>307</v>
      </c>
      <c r="AJ7" s="161" t="s">
        <v>305</v>
      </c>
      <c r="AL7" s="160" t="s">
        <v>308</v>
      </c>
      <c r="AM7" s="159" t="s">
        <v>306</v>
      </c>
      <c r="AN7" s="159" t="s">
        <v>307</v>
      </c>
      <c r="AO7" s="161" t="s">
        <v>305</v>
      </c>
      <c r="AQ7" s="160" t="s">
        <v>308</v>
      </c>
      <c r="AR7" s="159" t="s">
        <v>306</v>
      </c>
      <c r="AS7" s="159" t="s">
        <v>307</v>
      </c>
      <c r="AT7" s="161" t="s">
        <v>305</v>
      </c>
      <c r="AV7" s="160" t="s">
        <v>308</v>
      </c>
      <c r="AW7" s="159" t="s">
        <v>306</v>
      </c>
      <c r="AX7" s="159" t="s">
        <v>307</v>
      </c>
      <c r="AY7" s="161" t="s">
        <v>305</v>
      </c>
      <c r="BA7" s="160" t="s">
        <v>308</v>
      </c>
      <c r="BB7" s="159" t="s">
        <v>306</v>
      </c>
      <c r="BC7" s="159" t="s">
        <v>307</v>
      </c>
      <c r="BD7" s="161" t="s">
        <v>305</v>
      </c>
    </row>
    <row r="8" spans="3:56" ht="16.5" x14ac:dyDescent="0.3">
      <c r="C8" s="160">
        <v>336</v>
      </c>
      <c r="D8" s="159">
        <v>318</v>
      </c>
      <c r="E8" s="159">
        <v>18</v>
      </c>
      <c r="F8" s="162">
        <f>D8/C8</f>
        <v>0.9464285714285714</v>
      </c>
      <c r="H8" s="160">
        <v>340</v>
      </c>
      <c r="I8" s="159">
        <v>321</v>
      </c>
      <c r="J8" s="159">
        <v>19</v>
      </c>
      <c r="K8" s="162">
        <f>I8/H8</f>
        <v>0.94411764705882351</v>
      </c>
      <c r="M8" s="160">
        <v>340</v>
      </c>
      <c r="N8" s="159">
        <v>321</v>
      </c>
      <c r="O8" s="159">
        <v>19</v>
      </c>
      <c r="P8" s="162">
        <f>N8/M8</f>
        <v>0.94411764705882351</v>
      </c>
      <c r="R8" s="160">
        <v>340</v>
      </c>
      <c r="S8" s="159">
        <v>321</v>
      </c>
      <c r="T8" s="159">
        <v>19</v>
      </c>
      <c r="U8" s="162">
        <f>S8/R8</f>
        <v>0.94411764705882351</v>
      </c>
      <c r="W8" s="160">
        <v>340</v>
      </c>
      <c r="X8" s="159">
        <v>321</v>
      </c>
      <c r="Y8" s="159">
        <v>19</v>
      </c>
      <c r="Z8" s="162">
        <f>X8/W8</f>
        <v>0.94411764705882351</v>
      </c>
      <c r="AB8" s="160">
        <v>340</v>
      </c>
      <c r="AC8" s="159">
        <v>321</v>
      </c>
      <c r="AD8" s="159">
        <v>19</v>
      </c>
      <c r="AE8" s="162">
        <f>AC8/AB8</f>
        <v>0.94411764705882351</v>
      </c>
      <c r="AG8" s="160">
        <v>340</v>
      </c>
      <c r="AH8" s="159">
        <v>321</v>
      </c>
      <c r="AI8" s="159">
        <v>19</v>
      </c>
      <c r="AJ8" s="162">
        <f>AH8/AG8</f>
        <v>0.94411764705882351</v>
      </c>
      <c r="AL8" s="160">
        <f>AM6</f>
        <v>324</v>
      </c>
      <c r="AM8" s="159">
        <v>307</v>
      </c>
      <c r="AN8" s="159">
        <v>21</v>
      </c>
      <c r="AO8" s="162">
        <f>AM8/AL8</f>
        <v>0.94753086419753085</v>
      </c>
      <c r="AQ8" s="160">
        <f>AR6</f>
        <v>324</v>
      </c>
      <c r="AR8" s="159">
        <v>307</v>
      </c>
      <c r="AS8" s="159">
        <v>21</v>
      </c>
      <c r="AT8" s="162">
        <f>AR8/AQ8</f>
        <v>0.94753086419753085</v>
      </c>
      <c r="AV8" s="160">
        <f>AW6</f>
        <v>324</v>
      </c>
      <c r="AW8" s="159">
        <v>307</v>
      </c>
      <c r="AX8" s="159">
        <v>21</v>
      </c>
      <c r="AY8" s="162">
        <f>AW8/AV8</f>
        <v>0.94753086419753085</v>
      </c>
      <c r="BA8" s="160">
        <f>BB6</f>
        <v>324</v>
      </c>
      <c r="BB8" s="159">
        <v>307</v>
      </c>
      <c r="BC8" s="159">
        <v>21</v>
      </c>
      <c r="BD8" s="162">
        <f>BB8/BA8</f>
        <v>0.94753086419753085</v>
      </c>
    </row>
    <row r="9" spans="3:56" ht="16.5" x14ac:dyDescent="0.3">
      <c r="C9" s="160" t="s">
        <v>308</v>
      </c>
      <c r="D9" s="159" t="s">
        <v>309</v>
      </c>
      <c r="E9" s="159" t="s">
        <v>310</v>
      </c>
      <c r="F9" s="161" t="s">
        <v>311</v>
      </c>
      <c r="H9" s="160" t="s">
        <v>308</v>
      </c>
      <c r="I9" s="159" t="s">
        <v>309</v>
      </c>
      <c r="J9" s="159" t="s">
        <v>310</v>
      </c>
      <c r="K9" s="161" t="s">
        <v>311</v>
      </c>
      <c r="M9" s="160" t="s">
        <v>308</v>
      </c>
      <c r="N9" s="159" t="s">
        <v>309</v>
      </c>
      <c r="O9" s="159" t="s">
        <v>310</v>
      </c>
      <c r="P9" s="161" t="s">
        <v>311</v>
      </c>
      <c r="R9" s="160" t="s">
        <v>308</v>
      </c>
      <c r="S9" s="159" t="s">
        <v>309</v>
      </c>
      <c r="T9" s="159" t="s">
        <v>310</v>
      </c>
      <c r="U9" s="161" t="s">
        <v>311</v>
      </c>
      <c r="W9" s="160" t="s">
        <v>308</v>
      </c>
      <c r="X9" s="159" t="s">
        <v>309</v>
      </c>
      <c r="Y9" s="159" t="s">
        <v>310</v>
      </c>
      <c r="Z9" s="161" t="s">
        <v>311</v>
      </c>
      <c r="AB9" s="160" t="s">
        <v>308</v>
      </c>
      <c r="AC9" s="159" t="s">
        <v>309</v>
      </c>
      <c r="AD9" s="159" t="s">
        <v>310</v>
      </c>
      <c r="AE9" s="161" t="s">
        <v>311</v>
      </c>
      <c r="AG9" s="160" t="s">
        <v>308</v>
      </c>
      <c r="AH9" s="159" t="s">
        <v>309</v>
      </c>
      <c r="AI9" s="159" t="s">
        <v>310</v>
      </c>
      <c r="AJ9" s="161" t="s">
        <v>311</v>
      </c>
      <c r="AL9" s="160" t="s">
        <v>308</v>
      </c>
      <c r="AM9" s="159" t="s">
        <v>309</v>
      </c>
      <c r="AN9" s="159" t="s">
        <v>310</v>
      </c>
      <c r="AO9" s="161" t="s">
        <v>311</v>
      </c>
      <c r="AQ9" s="160" t="s">
        <v>308</v>
      </c>
      <c r="AR9" s="159" t="s">
        <v>309</v>
      </c>
      <c r="AS9" s="159" t="s">
        <v>310</v>
      </c>
      <c r="AT9" s="161" t="s">
        <v>311</v>
      </c>
      <c r="AV9" s="160" t="s">
        <v>308</v>
      </c>
      <c r="AW9" s="159" t="s">
        <v>309</v>
      </c>
      <c r="AX9" s="159" t="s">
        <v>310</v>
      </c>
      <c r="AY9" s="161" t="s">
        <v>311</v>
      </c>
      <c r="BA9" s="160" t="s">
        <v>308</v>
      </c>
      <c r="BB9" s="159" t="s">
        <v>309</v>
      </c>
      <c r="BC9" s="159" t="s">
        <v>310</v>
      </c>
      <c r="BD9" s="161" t="s">
        <v>311</v>
      </c>
    </row>
    <row r="10" spans="3:56" ht="17.25" thickBot="1" x14ac:dyDescent="0.35">
      <c r="C10" s="163">
        <v>336</v>
      </c>
      <c r="D10" s="164">
        <v>294</v>
      </c>
      <c r="E10" s="164">
        <f>C10-D10</f>
        <v>42</v>
      </c>
      <c r="F10" s="165">
        <f>D10/C10</f>
        <v>0.875</v>
      </c>
      <c r="H10" s="160">
        <v>340</v>
      </c>
      <c r="I10" s="164">
        <v>299</v>
      </c>
      <c r="J10" s="164">
        <f>H10-I10</f>
        <v>41</v>
      </c>
      <c r="K10" s="165">
        <f>I10/H10</f>
        <v>0.87941176470588234</v>
      </c>
      <c r="M10" s="160">
        <v>340</v>
      </c>
      <c r="N10" s="164">
        <v>299</v>
      </c>
      <c r="O10" s="164">
        <f>M10-N10</f>
        <v>41</v>
      </c>
      <c r="P10" s="165">
        <f>N10/M10</f>
        <v>0.87941176470588234</v>
      </c>
      <c r="R10" s="163">
        <v>340</v>
      </c>
      <c r="S10" s="164">
        <v>299</v>
      </c>
      <c r="T10" s="164">
        <f>R10-S10</f>
        <v>41</v>
      </c>
      <c r="U10" s="165">
        <f>S10/R10</f>
        <v>0.87941176470588234</v>
      </c>
      <c r="W10" s="163">
        <v>340</v>
      </c>
      <c r="X10" s="164">
        <v>299</v>
      </c>
      <c r="Y10" s="164">
        <f>W10-X10</f>
        <v>41</v>
      </c>
      <c r="Z10" s="165">
        <f>X10/W10</f>
        <v>0.87941176470588234</v>
      </c>
      <c r="AB10" s="163">
        <v>340</v>
      </c>
      <c r="AC10" s="164">
        <v>299</v>
      </c>
      <c r="AD10" s="164">
        <f>AB10-AC10</f>
        <v>41</v>
      </c>
      <c r="AE10" s="165">
        <f>AC10/AB10</f>
        <v>0.87941176470588234</v>
      </c>
      <c r="AG10" s="163">
        <v>340</v>
      </c>
      <c r="AH10" s="164">
        <v>299</v>
      </c>
      <c r="AI10" s="164">
        <f>AG10-AH10</f>
        <v>41</v>
      </c>
      <c r="AJ10" s="165">
        <f>AH10/AG10</f>
        <v>0.87941176470588234</v>
      </c>
      <c r="AL10" s="163">
        <f>AM6</f>
        <v>324</v>
      </c>
      <c r="AM10" s="164">
        <v>271</v>
      </c>
      <c r="AN10" s="164">
        <v>53</v>
      </c>
      <c r="AO10" s="165">
        <f>AM10/AL10</f>
        <v>0.8364197530864198</v>
      </c>
      <c r="AQ10" s="163">
        <f>AR6</f>
        <v>324</v>
      </c>
      <c r="AR10" s="164">
        <v>271</v>
      </c>
      <c r="AS10" s="164">
        <v>53</v>
      </c>
      <c r="AT10" s="165">
        <f>AR10/AQ10</f>
        <v>0.8364197530864198</v>
      </c>
      <c r="AV10" s="163">
        <f>AW6</f>
        <v>324</v>
      </c>
      <c r="AW10" s="164">
        <v>271</v>
      </c>
      <c r="AX10" s="164">
        <v>53</v>
      </c>
      <c r="AY10" s="165">
        <f>AW10/AV10</f>
        <v>0.8364197530864198</v>
      </c>
      <c r="BA10" s="163">
        <f>BB6</f>
        <v>324</v>
      </c>
      <c r="BB10" s="164">
        <v>271</v>
      </c>
      <c r="BC10" s="164">
        <v>53</v>
      </c>
      <c r="BD10" s="165">
        <f>BB10/BA10</f>
        <v>0.8364197530864198</v>
      </c>
    </row>
    <row r="13" spans="3:56" ht="15.75" thickBot="1" x14ac:dyDescent="0.3"/>
    <row r="14" spans="3:56" x14ac:dyDescent="0.25">
      <c r="H14" s="777" t="s">
        <v>522</v>
      </c>
      <c r="I14" s="778"/>
      <c r="J14" s="778"/>
      <c r="K14" s="779"/>
      <c r="M14" s="783" t="s">
        <v>522</v>
      </c>
      <c r="N14" s="784"/>
      <c r="O14" s="784"/>
      <c r="P14" s="785"/>
      <c r="R14" s="783" t="s">
        <v>522</v>
      </c>
      <c r="S14" s="784"/>
      <c r="T14" s="784"/>
      <c r="U14" s="785"/>
      <c r="W14" s="783" t="s">
        <v>522</v>
      </c>
      <c r="X14" s="784"/>
      <c r="Y14" s="784"/>
      <c r="Z14" s="785"/>
      <c r="AB14" s="783" t="s">
        <v>522</v>
      </c>
      <c r="AC14" s="784"/>
      <c r="AD14" s="784"/>
      <c r="AE14" s="785"/>
      <c r="AG14" s="783" t="s">
        <v>522</v>
      </c>
      <c r="AH14" s="784"/>
      <c r="AI14" s="784"/>
      <c r="AJ14" s="785"/>
      <c r="AL14" s="777" t="s">
        <v>318</v>
      </c>
      <c r="AM14" s="778"/>
      <c r="AN14" s="778"/>
      <c r="AO14" s="779"/>
      <c r="AQ14" s="777" t="s">
        <v>318</v>
      </c>
      <c r="AR14" s="778"/>
      <c r="AS14" s="778"/>
      <c r="AT14" s="779"/>
      <c r="AV14" s="777" t="s">
        <v>318</v>
      </c>
      <c r="AW14" s="778"/>
      <c r="AX14" s="778"/>
      <c r="AY14" s="779"/>
      <c r="BA14" s="777" t="s">
        <v>318</v>
      </c>
      <c r="BB14" s="778"/>
      <c r="BC14" s="778"/>
      <c r="BD14" s="779"/>
    </row>
    <row r="15" spans="3:56" ht="16.5" x14ac:dyDescent="0.3">
      <c r="H15" s="160" t="s">
        <v>320</v>
      </c>
      <c r="I15" s="159" t="s">
        <v>303</v>
      </c>
      <c r="J15" s="159" t="s">
        <v>304</v>
      </c>
      <c r="K15" s="161" t="s">
        <v>305</v>
      </c>
      <c r="M15" s="160" t="s">
        <v>320</v>
      </c>
      <c r="N15" s="159" t="s">
        <v>303</v>
      </c>
      <c r="O15" s="159" t="s">
        <v>304</v>
      </c>
      <c r="P15" s="161" t="s">
        <v>305</v>
      </c>
      <c r="R15" s="160" t="s">
        <v>320</v>
      </c>
      <c r="S15" s="159" t="s">
        <v>303</v>
      </c>
      <c r="T15" s="159" t="s">
        <v>304</v>
      </c>
      <c r="U15" s="161" t="s">
        <v>305</v>
      </c>
      <c r="W15" s="160" t="s">
        <v>320</v>
      </c>
      <c r="X15" s="159" t="s">
        <v>303</v>
      </c>
      <c r="Y15" s="159" t="s">
        <v>304</v>
      </c>
      <c r="Z15" s="161" t="s">
        <v>305</v>
      </c>
      <c r="AB15" s="160" t="s">
        <v>320</v>
      </c>
      <c r="AC15" s="159" t="s">
        <v>303</v>
      </c>
      <c r="AD15" s="159" t="s">
        <v>304</v>
      </c>
      <c r="AE15" s="161" t="s">
        <v>305</v>
      </c>
      <c r="AG15" s="160" t="s">
        <v>320</v>
      </c>
      <c r="AH15" s="159" t="s">
        <v>303</v>
      </c>
      <c r="AI15" s="159" t="s">
        <v>304</v>
      </c>
      <c r="AJ15" s="161" t="s">
        <v>305</v>
      </c>
      <c r="AL15" s="160" t="s">
        <v>320</v>
      </c>
      <c r="AM15" s="159" t="s">
        <v>303</v>
      </c>
      <c r="AN15" s="159" t="s">
        <v>304</v>
      </c>
      <c r="AO15" s="161" t="s">
        <v>305</v>
      </c>
      <c r="AQ15" s="160" t="s">
        <v>320</v>
      </c>
      <c r="AR15" s="159" t="s">
        <v>303</v>
      </c>
      <c r="AS15" s="159" t="s">
        <v>304</v>
      </c>
      <c r="AT15" s="161" t="s">
        <v>305</v>
      </c>
      <c r="AV15" s="160" t="s">
        <v>320</v>
      </c>
      <c r="AW15" s="159" t="s">
        <v>303</v>
      </c>
      <c r="AX15" s="159" t="s">
        <v>304</v>
      </c>
      <c r="AY15" s="161" t="s">
        <v>305</v>
      </c>
      <c r="BA15" s="160" t="s">
        <v>320</v>
      </c>
      <c r="BB15" s="159" t="s">
        <v>303</v>
      </c>
      <c r="BC15" s="159" t="s">
        <v>304</v>
      </c>
      <c r="BD15" s="161" t="s">
        <v>305</v>
      </c>
    </row>
    <row r="16" spans="3:56" ht="16.5" x14ac:dyDescent="0.3">
      <c r="H16" s="160">
        <v>403</v>
      </c>
      <c r="I16" s="159">
        <v>402</v>
      </c>
      <c r="J16" s="159">
        <v>1</v>
      </c>
      <c r="K16" s="162">
        <f>I16/H16</f>
        <v>0.9975186104218362</v>
      </c>
      <c r="M16" s="160">
        <v>403</v>
      </c>
      <c r="N16" s="159">
        <v>403</v>
      </c>
      <c r="O16" s="159">
        <v>0</v>
      </c>
      <c r="P16" s="162">
        <f>N16/M16</f>
        <v>1</v>
      </c>
      <c r="R16" s="160">
        <v>403</v>
      </c>
      <c r="S16" s="159">
        <v>403</v>
      </c>
      <c r="T16" s="159">
        <v>0</v>
      </c>
      <c r="U16" s="162">
        <f>S16/R16</f>
        <v>1</v>
      </c>
      <c r="W16" s="160">
        <v>403</v>
      </c>
      <c r="X16" s="159">
        <v>403</v>
      </c>
      <c r="Y16" s="159">
        <v>0</v>
      </c>
      <c r="Z16" s="162">
        <f>X16/W16</f>
        <v>1</v>
      </c>
      <c r="AB16" s="160">
        <v>403</v>
      </c>
      <c r="AC16" s="159">
        <v>403</v>
      </c>
      <c r="AD16" s="159">
        <v>0</v>
      </c>
      <c r="AE16" s="162">
        <f>AC16/AB16</f>
        <v>1</v>
      </c>
      <c r="AG16" s="160">
        <v>403</v>
      </c>
      <c r="AH16" s="159">
        <v>403</v>
      </c>
      <c r="AI16" s="159">
        <v>0</v>
      </c>
      <c r="AJ16" s="162">
        <f>AH16/AG16</f>
        <v>1</v>
      </c>
      <c r="AL16" s="160">
        <v>373</v>
      </c>
      <c r="AM16" s="159">
        <v>373</v>
      </c>
      <c r="AN16" s="159">
        <v>0</v>
      </c>
      <c r="AO16" s="162">
        <f>AM16/AL16</f>
        <v>1</v>
      </c>
      <c r="AQ16" s="160">
        <v>373</v>
      </c>
      <c r="AR16" s="159">
        <v>373</v>
      </c>
      <c r="AS16" s="159">
        <v>0</v>
      </c>
      <c r="AT16" s="162">
        <f>AR16/AQ16</f>
        <v>1</v>
      </c>
      <c r="AV16" s="160">
        <v>373</v>
      </c>
      <c r="AW16" s="159">
        <v>373</v>
      </c>
      <c r="AX16" s="159">
        <v>0</v>
      </c>
      <c r="AY16" s="162">
        <f>AW16/AV16</f>
        <v>1</v>
      </c>
      <c r="BA16" s="160">
        <v>373</v>
      </c>
      <c r="BB16" s="159">
        <v>373</v>
      </c>
      <c r="BC16" s="159">
        <v>0</v>
      </c>
      <c r="BD16" s="162">
        <f>BB16/BA16</f>
        <v>1</v>
      </c>
    </row>
    <row r="17" spans="8:56" ht="16.5" x14ac:dyDescent="0.3">
      <c r="H17" s="160" t="s">
        <v>308</v>
      </c>
      <c r="I17" s="159" t="s">
        <v>306</v>
      </c>
      <c r="J17" s="159" t="s">
        <v>307</v>
      </c>
      <c r="K17" s="161" t="s">
        <v>305</v>
      </c>
      <c r="M17" s="160" t="s">
        <v>308</v>
      </c>
      <c r="N17" s="159" t="s">
        <v>306</v>
      </c>
      <c r="O17" s="159" t="s">
        <v>307</v>
      </c>
      <c r="P17" s="161" t="s">
        <v>305</v>
      </c>
      <c r="R17" s="160" t="s">
        <v>308</v>
      </c>
      <c r="S17" s="159" t="s">
        <v>306</v>
      </c>
      <c r="T17" s="159" t="s">
        <v>307</v>
      </c>
      <c r="U17" s="161" t="s">
        <v>305</v>
      </c>
      <c r="W17" s="160" t="s">
        <v>308</v>
      </c>
      <c r="X17" s="159" t="s">
        <v>306</v>
      </c>
      <c r="Y17" s="159" t="s">
        <v>307</v>
      </c>
      <c r="Z17" s="161" t="s">
        <v>305</v>
      </c>
      <c r="AB17" s="160" t="s">
        <v>308</v>
      </c>
      <c r="AC17" s="159" t="s">
        <v>306</v>
      </c>
      <c r="AD17" s="159" t="s">
        <v>307</v>
      </c>
      <c r="AE17" s="161" t="s">
        <v>305</v>
      </c>
      <c r="AG17" s="160" t="s">
        <v>308</v>
      </c>
      <c r="AH17" s="159" t="s">
        <v>306</v>
      </c>
      <c r="AI17" s="159" t="s">
        <v>307</v>
      </c>
      <c r="AJ17" s="161" t="s">
        <v>305</v>
      </c>
      <c r="AL17" s="160" t="s">
        <v>308</v>
      </c>
      <c r="AM17" s="159" t="s">
        <v>306</v>
      </c>
      <c r="AN17" s="159" t="s">
        <v>307</v>
      </c>
      <c r="AO17" s="161" t="s">
        <v>305</v>
      </c>
      <c r="AQ17" s="160" t="s">
        <v>308</v>
      </c>
      <c r="AR17" s="159" t="s">
        <v>306</v>
      </c>
      <c r="AS17" s="159" t="s">
        <v>307</v>
      </c>
      <c r="AT17" s="161" t="s">
        <v>305</v>
      </c>
      <c r="AV17" s="160" t="s">
        <v>308</v>
      </c>
      <c r="AW17" s="159" t="s">
        <v>306</v>
      </c>
      <c r="AX17" s="159" t="s">
        <v>307</v>
      </c>
      <c r="AY17" s="161" t="s">
        <v>305</v>
      </c>
      <c r="BA17" s="160" t="s">
        <v>308</v>
      </c>
      <c r="BB17" s="159" t="s">
        <v>306</v>
      </c>
      <c r="BC17" s="159" t="s">
        <v>307</v>
      </c>
      <c r="BD17" s="161" t="s">
        <v>305</v>
      </c>
    </row>
    <row r="18" spans="8:56" ht="16.5" x14ac:dyDescent="0.3">
      <c r="H18" s="160">
        <v>402</v>
      </c>
      <c r="I18" s="159">
        <v>388</v>
      </c>
      <c r="J18" s="159">
        <f>H18-I18</f>
        <v>14</v>
      </c>
      <c r="K18" s="162">
        <f>I18/H18</f>
        <v>0.96517412935323388</v>
      </c>
      <c r="M18" s="160">
        <v>403</v>
      </c>
      <c r="N18" s="159">
        <v>389</v>
      </c>
      <c r="O18" s="159">
        <f>M18-N18</f>
        <v>14</v>
      </c>
      <c r="P18" s="162">
        <f>N18/M18</f>
        <v>0.9652605459057072</v>
      </c>
      <c r="R18" s="160">
        <v>403</v>
      </c>
      <c r="S18" s="159">
        <v>389</v>
      </c>
      <c r="T18" s="159">
        <f>R18-S18</f>
        <v>14</v>
      </c>
      <c r="U18" s="162">
        <f>S18/R18</f>
        <v>0.9652605459057072</v>
      </c>
      <c r="W18" s="160">
        <v>403</v>
      </c>
      <c r="X18" s="159">
        <v>389</v>
      </c>
      <c r="Y18" s="159">
        <f>W18-X18</f>
        <v>14</v>
      </c>
      <c r="Z18" s="162">
        <f>X18/W18</f>
        <v>0.9652605459057072</v>
      </c>
      <c r="AB18" s="160">
        <v>403</v>
      </c>
      <c r="AC18" s="159">
        <v>389</v>
      </c>
      <c r="AD18" s="159">
        <f>AB18-AC18</f>
        <v>14</v>
      </c>
      <c r="AE18" s="162">
        <f>AC18/AB18</f>
        <v>0.9652605459057072</v>
      </c>
      <c r="AG18" s="160">
        <v>403</v>
      </c>
      <c r="AH18" s="159">
        <v>389</v>
      </c>
      <c r="AI18" s="159">
        <f>AG18-AH18</f>
        <v>14</v>
      </c>
      <c r="AJ18" s="162">
        <f>AH18/AG18</f>
        <v>0.9652605459057072</v>
      </c>
      <c r="AL18" s="160">
        <f>AM16</f>
        <v>373</v>
      </c>
      <c r="AM18" s="159">
        <v>338</v>
      </c>
      <c r="AN18" s="159">
        <f>AL18-AM18</f>
        <v>35</v>
      </c>
      <c r="AO18" s="162">
        <f>AM18/AL18</f>
        <v>0.90616621983914214</v>
      </c>
      <c r="AQ18" s="160">
        <f>AR16</f>
        <v>373</v>
      </c>
      <c r="AR18" s="159">
        <v>338</v>
      </c>
      <c r="AS18" s="159">
        <f>AQ18-AR18</f>
        <v>35</v>
      </c>
      <c r="AT18" s="162">
        <f>AR18/AQ18</f>
        <v>0.90616621983914214</v>
      </c>
      <c r="AV18" s="160">
        <f>AW16</f>
        <v>373</v>
      </c>
      <c r="AW18" s="159">
        <v>338</v>
      </c>
      <c r="AX18" s="159">
        <f>AV18-AW18</f>
        <v>35</v>
      </c>
      <c r="AY18" s="162">
        <f>AW18/AV18</f>
        <v>0.90616621983914214</v>
      </c>
      <c r="BA18" s="160">
        <f>BB16</f>
        <v>373</v>
      </c>
      <c r="BB18" s="159">
        <v>338</v>
      </c>
      <c r="BC18" s="159">
        <f>BA18-BB18</f>
        <v>35</v>
      </c>
      <c r="BD18" s="162">
        <f>BB18/BA18</f>
        <v>0.90616621983914214</v>
      </c>
    </row>
    <row r="19" spans="8:56" ht="16.5" x14ac:dyDescent="0.3">
      <c r="H19" s="160" t="s">
        <v>308</v>
      </c>
      <c r="I19" s="159" t="s">
        <v>309</v>
      </c>
      <c r="J19" s="159" t="s">
        <v>310</v>
      </c>
      <c r="K19" s="161" t="s">
        <v>311</v>
      </c>
      <c r="M19" s="160" t="s">
        <v>308</v>
      </c>
      <c r="N19" s="159" t="s">
        <v>309</v>
      </c>
      <c r="O19" s="159" t="s">
        <v>310</v>
      </c>
      <c r="P19" s="161" t="s">
        <v>311</v>
      </c>
      <c r="R19" s="160" t="s">
        <v>308</v>
      </c>
      <c r="S19" s="159" t="s">
        <v>309</v>
      </c>
      <c r="T19" s="159" t="s">
        <v>310</v>
      </c>
      <c r="U19" s="161" t="s">
        <v>311</v>
      </c>
      <c r="W19" s="160" t="s">
        <v>308</v>
      </c>
      <c r="X19" s="159" t="s">
        <v>309</v>
      </c>
      <c r="Y19" s="159" t="s">
        <v>310</v>
      </c>
      <c r="Z19" s="161" t="s">
        <v>311</v>
      </c>
      <c r="AB19" s="160" t="s">
        <v>308</v>
      </c>
      <c r="AC19" s="159" t="s">
        <v>309</v>
      </c>
      <c r="AD19" s="159" t="s">
        <v>310</v>
      </c>
      <c r="AE19" s="161" t="s">
        <v>311</v>
      </c>
      <c r="AG19" s="160" t="s">
        <v>308</v>
      </c>
      <c r="AH19" s="159" t="s">
        <v>309</v>
      </c>
      <c r="AI19" s="159" t="s">
        <v>310</v>
      </c>
      <c r="AJ19" s="161" t="s">
        <v>311</v>
      </c>
      <c r="AL19" s="160" t="s">
        <v>308</v>
      </c>
      <c r="AM19" s="159" t="s">
        <v>309</v>
      </c>
      <c r="AN19" s="159" t="s">
        <v>310</v>
      </c>
      <c r="AO19" s="161" t="s">
        <v>311</v>
      </c>
      <c r="AQ19" s="160" t="s">
        <v>308</v>
      </c>
      <c r="AR19" s="159" t="s">
        <v>309</v>
      </c>
      <c r="AS19" s="159" t="s">
        <v>310</v>
      </c>
      <c r="AT19" s="161" t="s">
        <v>311</v>
      </c>
      <c r="AV19" s="160" t="s">
        <v>308</v>
      </c>
      <c r="AW19" s="159" t="s">
        <v>309</v>
      </c>
      <c r="AX19" s="159" t="s">
        <v>310</v>
      </c>
      <c r="AY19" s="161" t="s">
        <v>311</v>
      </c>
      <c r="BA19" s="160" t="s">
        <v>308</v>
      </c>
      <c r="BB19" s="159" t="s">
        <v>309</v>
      </c>
      <c r="BC19" s="159" t="s">
        <v>310</v>
      </c>
      <c r="BD19" s="161" t="s">
        <v>311</v>
      </c>
    </row>
    <row r="20" spans="8:56" ht="17.25" thickBot="1" x14ac:dyDescent="0.35">
      <c r="H20" s="163">
        <v>402</v>
      </c>
      <c r="I20" s="164">
        <v>366</v>
      </c>
      <c r="J20" s="164">
        <v>36</v>
      </c>
      <c r="K20" s="165">
        <f>I20/H20</f>
        <v>0.91044776119402981</v>
      </c>
      <c r="M20" s="163">
        <v>403</v>
      </c>
      <c r="N20" s="164">
        <v>366</v>
      </c>
      <c r="O20" s="164">
        <f>M20-N20</f>
        <v>37</v>
      </c>
      <c r="P20" s="165">
        <f>N20/M20</f>
        <v>0.90818858560794047</v>
      </c>
      <c r="R20" s="163">
        <v>403</v>
      </c>
      <c r="S20" s="164">
        <v>366</v>
      </c>
      <c r="T20" s="164">
        <f>R20-S20</f>
        <v>37</v>
      </c>
      <c r="U20" s="165">
        <f>S20/R20</f>
        <v>0.90818858560794047</v>
      </c>
      <c r="W20" s="163">
        <v>403</v>
      </c>
      <c r="X20" s="164">
        <v>366</v>
      </c>
      <c r="Y20" s="164">
        <f>W20-X20</f>
        <v>37</v>
      </c>
      <c r="Z20" s="165">
        <f>X20/W20</f>
        <v>0.90818858560794047</v>
      </c>
      <c r="AB20" s="163">
        <v>403</v>
      </c>
      <c r="AC20" s="164">
        <v>366</v>
      </c>
      <c r="AD20" s="164">
        <f>AB20-AC20</f>
        <v>37</v>
      </c>
      <c r="AE20" s="165">
        <f>AC20/AB20</f>
        <v>0.90818858560794047</v>
      </c>
      <c r="AG20" s="163">
        <v>403</v>
      </c>
      <c r="AH20" s="164">
        <v>366</v>
      </c>
      <c r="AI20" s="164">
        <f>AG20-AH20</f>
        <v>37</v>
      </c>
      <c r="AJ20" s="165">
        <f>AH20/AG20</f>
        <v>0.90818858560794047</v>
      </c>
      <c r="AL20" s="163">
        <f>AM16</f>
        <v>373</v>
      </c>
      <c r="AM20" s="164">
        <v>319</v>
      </c>
      <c r="AN20" s="164">
        <v>54</v>
      </c>
      <c r="AO20" s="165">
        <f>AM20/AL20</f>
        <v>0.85522788203753353</v>
      </c>
      <c r="AQ20" s="163">
        <f>AR16</f>
        <v>373</v>
      </c>
      <c r="AR20" s="164">
        <v>319</v>
      </c>
      <c r="AS20" s="164">
        <v>54</v>
      </c>
      <c r="AT20" s="165">
        <f>AR20/AQ20</f>
        <v>0.85522788203753353</v>
      </c>
      <c r="AV20" s="163">
        <f>AW16</f>
        <v>373</v>
      </c>
      <c r="AW20" s="164">
        <v>319</v>
      </c>
      <c r="AX20" s="164">
        <v>54</v>
      </c>
      <c r="AY20" s="165">
        <f>AW20/AV20</f>
        <v>0.85522788203753353</v>
      </c>
      <c r="BA20" s="163">
        <f>BB16</f>
        <v>373</v>
      </c>
      <c r="BB20" s="164">
        <v>319</v>
      </c>
      <c r="BC20" s="164">
        <v>54</v>
      </c>
      <c r="BD20" s="165">
        <f>BB20/BA20</f>
        <v>0.85522788203753353</v>
      </c>
    </row>
    <row r="23" spans="8:56" ht="15.75" thickBot="1" x14ac:dyDescent="0.3"/>
    <row r="24" spans="8:56" x14ac:dyDescent="0.25">
      <c r="M24" s="777" t="s">
        <v>523</v>
      </c>
      <c r="N24" s="778"/>
      <c r="O24" s="778"/>
      <c r="P24" s="779"/>
      <c r="R24" s="777" t="s">
        <v>523</v>
      </c>
      <c r="S24" s="778"/>
      <c r="T24" s="778"/>
      <c r="U24" s="779"/>
      <c r="W24" s="777" t="s">
        <v>523</v>
      </c>
      <c r="X24" s="778"/>
      <c r="Y24" s="778"/>
      <c r="Z24" s="779"/>
      <c r="AB24" s="777" t="s">
        <v>523</v>
      </c>
      <c r="AC24" s="778"/>
      <c r="AD24" s="778"/>
      <c r="AE24" s="779"/>
      <c r="AG24" s="777" t="s">
        <v>523</v>
      </c>
      <c r="AH24" s="778"/>
      <c r="AI24" s="778"/>
      <c r="AJ24" s="779"/>
      <c r="AL24" s="777" t="s">
        <v>329</v>
      </c>
      <c r="AM24" s="778"/>
      <c r="AN24" s="778"/>
      <c r="AO24" s="779"/>
      <c r="AQ24" s="777" t="s">
        <v>329</v>
      </c>
      <c r="AR24" s="778"/>
      <c r="AS24" s="778"/>
      <c r="AT24" s="779"/>
      <c r="AV24" s="777" t="s">
        <v>329</v>
      </c>
      <c r="AW24" s="778"/>
      <c r="AX24" s="778"/>
      <c r="AY24" s="779"/>
      <c r="BA24" s="777" t="s">
        <v>329</v>
      </c>
      <c r="BB24" s="778"/>
      <c r="BC24" s="778"/>
      <c r="BD24" s="779"/>
    </row>
    <row r="25" spans="8:56" ht="16.5" x14ac:dyDescent="0.3">
      <c r="M25" s="160" t="s">
        <v>330</v>
      </c>
      <c r="N25" s="159" t="s">
        <v>303</v>
      </c>
      <c r="O25" s="159" t="s">
        <v>304</v>
      </c>
      <c r="P25" s="161" t="s">
        <v>305</v>
      </c>
      <c r="R25" s="160" t="s">
        <v>330</v>
      </c>
      <c r="S25" s="159" t="s">
        <v>303</v>
      </c>
      <c r="T25" s="159" t="s">
        <v>304</v>
      </c>
      <c r="U25" s="161" t="s">
        <v>305</v>
      </c>
      <c r="W25" s="160" t="s">
        <v>330</v>
      </c>
      <c r="X25" s="159" t="s">
        <v>303</v>
      </c>
      <c r="Y25" s="159" t="s">
        <v>304</v>
      </c>
      <c r="Z25" s="161" t="s">
        <v>305</v>
      </c>
      <c r="AB25" s="160" t="s">
        <v>330</v>
      </c>
      <c r="AC25" s="159" t="s">
        <v>303</v>
      </c>
      <c r="AD25" s="159" t="s">
        <v>304</v>
      </c>
      <c r="AE25" s="161" t="s">
        <v>305</v>
      </c>
      <c r="AG25" s="160" t="s">
        <v>330</v>
      </c>
      <c r="AH25" s="159" t="s">
        <v>303</v>
      </c>
      <c r="AI25" s="159" t="s">
        <v>304</v>
      </c>
      <c r="AJ25" s="161" t="s">
        <v>305</v>
      </c>
      <c r="AL25" s="160" t="s">
        <v>330</v>
      </c>
      <c r="AM25" s="159" t="s">
        <v>303</v>
      </c>
      <c r="AN25" s="159" t="s">
        <v>304</v>
      </c>
      <c r="AO25" s="161" t="s">
        <v>305</v>
      </c>
      <c r="AQ25" s="160" t="s">
        <v>330</v>
      </c>
      <c r="AR25" s="159" t="s">
        <v>303</v>
      </c>
      <c r="AS25" s="159" t="s">
        <v>304</v>
      </c>
      <c r="AT25" s="161" t="s">
        <v>305</v>
      </c>
      <c r="AV25" s="160" t="s">
        <v>330</v>
      </c>
      <c r="AW25" s="159" t="s">
        <v>303</v>
      </c>
      <c r="AX25" s="159" t="s">
        <v>304</v>
      </c>
      <c r="AY25" s="161" t="s">
        <v>305</v>
      </c>
      <c r="BA25" s="160" t="s">
        <v>330</v>
      </c>
      <c r="BB25" s="159" t="s">
        <v>303</v>
      </c>
      <c r="BC25" s="159" t="s">
        <v>304</v>
      </c>
      <c r="BD25" s="161" t="s">
        <v>305</v>
      </c>
    </row>
    <row r="26" spans="8:56" ht="16.5" x14ac:dyDescent="0.3">
      <c r="M26" s="160">
        <v>369</v>
      </c>
      <c r="N26" s="159">
        <v>359</v>
      </c>
      <c r="O26" s="159">
        <f>M26-N26</f>
        <v>10</v>
      </c>
      <c r="P26" s="162">
        <f>N26/M26</f>
        <v>0.97289972899728994</v>
      </c>
      <c r="R26" s="160">
        <v>369</v>
      </c>
      <c r="S26" s="159">
        <v>369</v>
      </c>
      <c r="T26" s="159">
        <f>R26-S26</f>
        <v>0</v>
      </c>
      <c r="U26" s="162">
        <f>S26/R26</f>
        <v>1</v>
      </c>
      <c r="W26" s="160">
        <v>369</v>
      </c>
      <c r="X26" s="159">
        <v>369</v>
      </c>
      <c r="Y26" s="159">
        <f>W26-X26</f>
        <v>0</v>
      </c>
      <c r="Z26" s="162">
        <f>X26/W26</f>
        <v>1</v>
      </c>
      <c r="AB26" s="160">
        <v>369</v>
      </c>
      <c r="AC26" s="159">
        <v>369</v>
      </c>
      <c r="AD26" s="159">
        <f>AB26-AC26</f>
        <v>0</v>
      </c>
      <c r="AE26" s="162">
        <f>AC26/AB26</f>
        <v>1</v>
      </c>
      <c r="AG26" s="160">
        <v>369</v>
      </c>
      <c r="AH26" s="159">
        <v>369</v>
      </c>
      <c r="AI26" s="159">
        <f>AG26-AH26</f>
        <v>0</v>
      </c>
      <c r="AJ26" s="162">
        <f>AH26/AG26</f>
        <v>1</v>
      </c>
      <c r="AL26" s="160">
        <v>390</v>
      </c>
      <c r="AM26" s="159">
        <v>390</v>
      </c>
      <c r="AN26" s="159">
        <v>0</v>
      </c>
      <c r="AO26" s="162">
        <f>AM26/AL26</f>
        <v>1</v>
      </c>
      <c r="AQ26" s="160">
        <v>390</v>
      </c>
      <c r="AR26" s="159">
        <v>390</v>
      </c>
      <c r="AS26" s="159">
        <v>0</v>
      </c>
      <c r="AT26" s="162">
        <f>AR26/AQ26</f>
        <v>1</v>
      </c>
      <c r="AV26" s="160">
        <v>390</v>
      </c>
      <c r="AW26" s="159">
        <v>390</v>
      </c>
      <c r="AX26" s="159">
        <v>0</v>
      </c>
      <c r="AY26" s="162">
        <f>AW26/AV26</f>
        <v>1</v>
      </c>
      <c r="BA26" s="160">
        <v>390</v>
      </c>
      <c r="BB26" s="159">
        <v>390</v>
      </c>
      <c r="BC26" s="159">
        <v>0</v>
      </c>
      <c r="BD26" s="162">
        <f>BB26/BA26</f>
        <v>1</v>
      </c>
    </row>
    <row r="27" spans="8:56" ht="16.5" x14ac:dyDescent="0.3">
      <c r="M27" s="160" t="s">
        <v>308</v>
      </c>
      <c r="N27" s="159" t="s">
        <v>306</v>
      </c>
      <c r="O27" s="159" t="s">
        <v>307</v>
      </c>
      <c r="P27" s="161" t="s">
        <v>305</v>
      </c>
      <c r="R27" s="160" t="s">
        <v>308</v>
      </c>
      <c r="S27" s="159" t="s">
        <v>306</v>
      </c>
      <c r="T27" s="159" t="s">
        <v>307</v>
      </c>
      <c r="U27" s="161" t="s">
        <v>305</v>
      </c>
      <c r="W27" s="160" t="s">
        <v>308</v>
      </c>
      <c r="X27" s="159" t="s">
        <v>306</v>
      </c>
      <c r="Y27" s="159" t="s">
        <v>307</v>
      </c>
      <c r="Z27" s="161" t="s">
        <v>305</v>
      </c>
      <c r="AB27" s="160" t="s">
        <v>308</v>
      </c>
      <c r="AC27" s="159" t="s">
        <v>306</v>
      </c>
      <c r="AD27" s="159" t="s">
        <v>307</v>
      </c>
      <c r="AE27" s="161" t="s">
        <v>305</v>
      </c>
      <c r="AG27" s="160" t="s">
        <v>308</v>
      </c>
      <c r="AH27" s="159" t="s">
        <v>306</v>
      </c>
      <c r="AI27" s="159" t="s">
        <v>307</v>
      </c>
      <c r="AJ27" s="161" t="s">
        <v>305</v>
      </c>
      <c r="AL27" s="160" t="s">
        <v>308</v>
      </c>
      <c r="AM27" s="159" t="s">
        <v>306</v>
      </c>
      <c r="AN27" s="159" t="s">
        <v>307</v>
      </c>
      <c r="AO27" s="161" t="s">
        <v>305</v>
      </c>
      <c r="AQ27" s="160" t="s">
        <v>308</v>
      </c>
      <c r="AR27" s="159" t="s">
        <v>306</v>
      </c>
      <c r="AS27" s="159" t="s">
        <v>307</v>
      </c>
      <c r="AT27" s="161" t="s">
        <v>305</v>
      </c>
      <c r="AV27" s="160" t="s">
        <v>308</v>
      </c>
      <c r="AW27" s="159" t="s">
        <v>306</v>
      </c>
      <c r="AX27" s="159" t="s">
        <v>307</v>
      </c>
      <c r="AY27" s="161" t="s">
        <v>305</v>
      </c>
      <c r="BA27" s="160" t="s">
        <v>308</v>
      </c>
      <c r="BB27" s="159" t="s">
        <v>306</v>
      </c>
      <c r="BC27" s="159" t="s">
        <v>307</v>
      </c>
      <c r="BD27" s="161" t="s">
        <v>305</v>
      </c>
    </row>
    <row r="28" spans="8:56" ht="16.5" x14ac:dyDescent="0.3">
      <c r="M28" s="160">
        <f>N26</f>
        <v>359</v>
      </c>
      <c r="N28" s="159">
        <v>346</v>
      </c>
      <c r="O28" s="159">
        <f>M28-N28</f>
        <v>13</v>
      </c>
      <c r="P28" s="162">
        <f>N28/M28</f>
        <v>0.96378830083565459</v>
      </c>
      <c r="R28" s="160">
        <f>S26</f>
        <v>369</v>
      </c>
      <c r="S28" s="159">
        <v>349</v>
      </c>
      <c r="T28" s="159">
        <f>R28-S28</f>
        <v>20</v>
      </c>
      <c r="U28" s="162">
        <f>S28/R28</f>
        <v>0.94579945799457998</v>
      </c>
      <c r="W28" s="160">
        <f>X26</f>
        <v>369</v>
      </c>
      <c r="X28" s="159">
        <v>349</v>
      </c>
      <c r="Y28" s="159">
        <f>W28-X28</f>
        <v>20</v>
      </c>
      <c r="Z28" s="162">
        <f>X28/W28</f>
        <v>0.94579945799457998</v>
      </c>
      <c r="AB28" s="160">
        <f>AC26</f>
        <v>369</v>
      </c>
      <c r="AC28" s="159">
        <v>349</v>
      </c>
      <c r="AD28" s="159">
        <f>AB28-AC28</f>
        <v>20</v>
      </c>
      <c r="AE28" s="162">
        <f>AC28/AB28</f>
        <v>0.94579945799457998</v>
      </c>
      <c r="AG28" s="160">
        <f>AH26</f>
        <v>369</v>
      </c>
      <c r="AH28" s="159">
        <v>349</v>
      </c>
      <c r="AI28" s="159">
        <f>AG28-AH28</f>
        <v>20</v>
      </c>
      <c r="AJ28" s="162">
        <f>AH28/AG28</f>
        <v>0.94579945799457998</v>
      </c>
      <c r="AL28" s="160">
        <f>AM26</f>
        <v>390</v>
      </c>
      <c r="AM28" s="159">
        <v>354</v>
      </c>
      <c r="AN28" s="159">
        <v>36</v>
      </c>
      <c r="AO28" s="162">
        <f>AM28/AL28</f>
        <v>0.90769230769230769</v>
      </c>
      <c r="AQ28" s="160">
        <f>AR26</f>
        <v>390</v>
      </c>
      <c r="AR28" s="159">
        <v>354</v>
      </c>
      <c r="AS28" s="159">
        <v>36</v>
      </c>
      <c r="AT28" s="162">
        <f>AR28/AQ28</f>
        <v>0.90769230769230769</v>
      </c>
      <c r="AV28" s="160">
        <f>AW26</f>
        <v>390</v>
      </c>
      <c r="AW28" s="159">
        <v>354</v>
      </c>
      <c r="AX28" s="159">
        <v>36</v>
      </c>
      <c r="AY28" s="162">
        <f>AW28/AV28</f>
        <v>0.90769230769230769</v>
      </c>
      <c r="BA28" s="160">
        <f>BB26</f>
        <v>390</v>
      </c>
      <c r="BB28" s="159">
        <v>354</v>
      </c>
      <c r="BC28" s="159">
        <v>36</v>
      </c>
      <c r="BD28" s="162">
        <f>BB28/BA28</f>
        <v>0.90769230769230769</v>
      </c>
    </row>
    <row r="29" spans="8:56" ht="16.5" x14ac:dyDescent="0.3">
      <c r="M29" s="160" t="s">
        <v>308</v>
      </c>
      <c r="N29" s="159" t="s">
        <v>309</v>
      </c>
      <c r="O29" s="159" t="s">
        <v>310</v>
      </c>
      <c r="P29" s="161" t="s">
        <v>311</v>
      </c>
      <c r="R29" s="160" t="s">
        <v>308</v>
      </c>
      <c r="S29" s="159" t="s">
        <v>309</v>
      </c>
      <c r="T29" s="159" t="s">
        <v>310</v>
      </c>
      <c r="U29" s="161" t="s">
        <v>311</v>
      </c>
      <c r="W29" s="160" t="s">
        <v>308</v>
      </c>
      <c r="X29" s="159" t="s">
        <v>309</v>
      </c>
      <c r="Y29" s="159" t="s">
        <v>310</v>
      </c>
      <c r="Z29" s="161" t="s">
        <v>311</v>
      </c>
      <c r="AB29" s="160" t="s">
        <v>308</v>
      </c>
      <c r="AC29" s="159" t="s">
        <v>309</v>
      </c>
      <c r="AD29" s="159" t="s">
        <v>310</v>
      </c>
      <c r="AE29" s="161" t="s">
        <v>311</v>
      </c>
      <c r="AG29" s="160" t="s">
        <v>308</v>
      </c>
      <c r="AH29" s="159" t="s">
        <v>309</v>
      </c>
      <c r="AI29" s="159" t="s">
        <v>310</v>
      </c>
      <c r="AJ29" s="161" t="s">
        <v>311</v>
      </c>
      <c r="AL29" s="160" t="s">
        <v>308</v>
      </c>
      <c r="AM29" s="159" t="s">
        <v>309</v>
      </c>
      <c r="AN29" s="159" t="s">
        <v>310</v>
      </c>
      <c r="AO29" s="161" t="s">
        <v>311</v>
      </c>
      <c r="AQ29" s="160" t="s">
        <v>308</v>
      </c>
      <c r="AR29" s="159" t="s">
        <v>309</v>
      </c>
      <c r="AS29" s="159" t="s">
        <v>310</v>
      </c>
      <c r="AT29" s="161" t="s">
        <v>311</v>
      </c>
      <c r="AV29" s="160" t="s">
        <v>308</v>
      </c>
      <c r="AW29" s="159" t="s">
        <v>309</v>
      </c>
      <c r="AX29" s="159" t="s">
        <v>310</v>
      </c>
      <c r="AY29" s="161" t="s">
        <v>311</v>
      </c>
      <c r="BA29" s="160" t="s">
        <v>308</v>
      </c>
      <c r="BB29" s="159" t="s">
        <v>309</v>
      </c>
      <c r="BC29" s="159" t="s">
        <v>310</v>
      </c>
      <c r="BD29" s="161" t="s">
        <v>311</v>
      </c>
    </row>
    <row r="30" spans="8:56" ht="17.25" thickBot="1" x14ac:dyDescent="0.35">
      <c r="M30" s="163">
        <f>N26</f>
        <v>359</v>
      </c>
      <c r="N30" s="164">
        <v>298</v>
      </c>
      <c r="O30" s="164">
        <v>61</v>
      </c>
      <c r="P30" s="165">
        <f>N30/M30</f>
        <v>0.83008356545961004</v>
      </c>
      <c r="R30" s="163">
        <f>S26</f>
        <v>369</v>
      </c>
      <c r="S30" s="164">
        <v>304</v>
      </c>
      <c r="T30" s="164">
        <f>R30-S30</f>
        <v>65</v>
      </c>
      <c r="U30" s="165">
        <f>S30/R30</f>
        <v>0.82384823848238486</v>
      </c>
      <c r="W30" s="163">
        <f>X26</f>
        <v>369</v>
      </c>
      <c r="X30" s="164">
        <v>304</v>
      </c>
      <c r="Y30" s="164">
        <f>W30-X30</f>
        <v>65</v>
      </c>
      <c r="Z30" s="165">
        <f>X30/W30</f>
        <v>0.82384823848238486</v>
      </c>
      <c r="AB30" s="163">
        <f>AC26</f>
        <v>369</v>
      </c>
      <c r="AC30" s="164">
        <v>304</v>
      </c>
      <c r="AD30" s="164">
        <f>AB30-AC30</f>
        <v>65</v>
      </c>
      <c r="AE30" s="165">
        <f>AC30/AB30</f>
        <v>0.82384823848238486</v>
      </c>
      <c r="AG30" s="163">
        <f>AH26</f>
        <v>369</v>
      </c>
      <c r="AH30" s="164">
        <v>304</v>
      </c>
      <c r="AI30" s="164">
        <f>AG30-AH30</f>
        <v>65</v>
      </c>
      <c r="AJ30" s="165">
        <f>AH30/AG30</f>
        <v>0.82384823848238486</v>
      </c>
      <c r="AL30" s="163">
        <f>AM26</f>
        <v>390</v>
      </c>
      <c r="AM30" s="164">
        <v>343</v>
      </c>
      <c r="AN30" s="164">
        <v>47</v>
      </c>
      <c r="AO30" s="165">
        <f>AM30/AL30</f>
        <v>0.87948717948717947</v>
      </c>
      <c r="AQ30" s="163">
        <f>AR26</f>
        <v>390</v>
      </c>
      <c r="AR30" s="164">
        <v>343</v>
      </c>
      <c r="AS30" s="164">
        <v>47</v>
      </c>
      <c r="AT30" s="165">
        <f>AR30/AQ30</f>
        <v>0.87948717948717947</v>
      </c>
      <c r="AV30" s="163">
        <f>AW26</f>
        <v>390</v>
      </c>
      <c r="AW30" s="164">
        <v>343</v>
      </c>
      <c r="AX30" s="164">
        <v>47</v>
      </c>
      <c r="AY30" s="165">
        <f>AW30/AV30</f>
        <v>0.87948717948717947</v>
      </c>
      <c r="BA30" s="163">
        <f>BB26</f>
        <v>390</v>
      </c>
      <c r="BB30" s="164">
        <v>343</v>
      </c>
      <c r="BC30" s="164">
        <v>47</v>
      </c>
      <c r="BD30" s="165">
        <f>BB30/BA30</f>
        <v>0.87948717948717947</v>
      </c>
    </row>
    <row r="31" spans="8:56" ht="16.5" x14ac:dyDescent="0.3">
      <c r="M31" s="188"/>
      <c r="N31" s="188"/>
      <c r="O31" s="188"/>
      <c r="P31" s="218"/>
      <c r="R31" s="188"/>
      <c r="S31" s="188"/>
      <c r="T31" s="188"/>
      <c r="U31" s="218"/>
    </row>
    <row r="32" spans="8:56" ht="17.25" thickBot="1" x14ac:dyDescent="0.35">
      <c r="M32" s="188"/>
      <c r="N32" s="188"/>
      <c r="O32" s="188"/>
      <c r="P32" s="218"/>
      <c r="R32" s="188"/>
      <c r="S32" s="188"/>
      <c r="T32" s="188"/>
      <c r="U32" s="218"/>
    </row>
    <row r="33" spans="13:56" ht="16.5" x14ac:dyDescent="0.3">
      <c r="M33" s="188"/>
      <c r="N33" s="188"/>
      <c r="O33" s="188"/>
      <c r="P33" s="218"/>
      <c r="R33" s="786" t="s">
        <v>539</v>
      </c>
      <c r="S33" s="787"/>
      <c r="T33" s="787"/>
      <c r="U33" s="788"/>
      <c r="W33" s="786" t="s">
        <v>539</v>
      </c>
      <c r="X33" s="787"/>
      <c r="Y33" s="787"/>
      <c r="Z33" s="788"/>
      <c r="AB33" s="786" t="s">
        <v>539</v>
      </c>
      <c r="AC33" s="787"/>
      <c r="AD33" s="787"/>
      <c r="AE33" s="788"/>
      <c r="AG33" s="786" t="s">
        <v>539</v>
      </c>
      <c r="AH33" s="787"/>
      <c r="AI33" s="787"/>
      <c r="AJ33" s="788"/>
      <c r="AL33" s="777" t="s">
        <v>351</v>
      </c>
      <c r="AM33" s="778"/>
      <c r="AN33" s="778"/>
      <c r="AO33" s="779"/>
      <c r="AQ33" s="777" t="s">
        <v>351</v>
      </c>
      <c r="AR33" s="778"/>
      <c r="AS33" s="778"/>
      <c r="AT33" s="779"/>
      <c r="AV33" s="777" t="s">
        <v>351</v>
      </c>
      <c r="AW33" s="778"/>
      <c r="AX33" s="778"/>
      <c r="AY33" s="779"/>
      <c r="BA33" s="777" t="s">
        <v>351</v>
      </c>
      <c r="BB33" s="778"/>
      <c r="BC33" s="778"/>
      <c r="BD33" s="779"/>
    </row>
    <row r="34" spans="13:56" ht="16.5" x14ac:dyDescent="0.3">
      <c r="M34" s="188"/>
      <c r="N34" s="188"/>
      <c r="O34" s="188"/>
      <c r="P34" s="218"/>
      <c r="R34" s="160" t="s">
        <v>352</v>
      </c>
      <c r="S34" s="159" t="s">
        <v>303</v>
      </c>
      <c r="T34" s="159" t="s">
        <v>304</v>
      </c>
      <c r="U34" s="161" t="s">
        <v>305</v>
      </c>
      <c r="W34" s="160" t="s">
        <v>352</v>
      </c>
      <c r="X34" s="159" t="s">
        <v>303</v>
      </c>
      <c r="Y34" s="159" t="s">
        <v>304</v>
      </c>
      <c r="Z34" s="161" t="s">
        <v>305</v>
      </c>
      <c r="AB34" s="160" t="s">
        <v>352</v>
      </c>
      <c r="AC34" s="159" t="s">
        <v>303</v>
      </c>
      <c r="AD34" s="159" t="s">
        <v>304</v>
      </c>
      <c r="AE34" s="161" t="s">
        <v>305</v>
      </c>
      <c r="AG34" s="160" t="s">
        <v>352</v>
      </c>
      <c r="AH34" s="159" t="s">
        <v>303</v>
      </c>
      <c r="AI34" s="159" t="s">
        <v>304</v>
      </c>
      <c r="AJ34" s="161" t="s">
        <v>305</v>
      </c>
      <c r="AL34" s="160" t="s">
        <v>352</v>
      </c>
      <c r="AM34" s="159" t="s">
        <v>303</v>
      </c>
      <c r="AN34" s="159" t="s">
        <v>304</v>
      </c>
      <c r="AO34" s="161" t="s">
        <v>305</v>
      </c>
      <c r="AQ34" s="160" t="s">
        <v>352</v>
      </c>
      <c r="AR34" s="159" t="s">
        <v>303</v>
      </c>
      <c r="AS34" s="159" t="s">
        <v>304</v>
      </c>
      <c r="AT34" s="161" t="s">
        <v>305</v>
      </c>
      <c r="AV34" s="160" t="s">
        <v>352</v>
      </c>
      <c r="AW34" s="159" t="s">
        <v>303</v>
      </c>
      <c r="AX34" s="159" t="s">
        <v>304</v>
      </c>
      <c r="AY34" s="161" t="s">
        <v>305</v>
      </c>
      <c r="BA34" s="160" t="s">
        <v>352</v>
      </c>
      <c r="BB34" s="159" t="s">
        <v>303</v>
      </c>
      <c r="BC34" s="159" t="s">
        <v>304</v>
      </c>
      <c r="BD34" s="161" t="s">
        <v>305</v>
      </c>
    </row>
    <row r="35" spans="13:56" ht="16.5" x14ac:dyDescent="0.3">
      <c r="M35" s="188"/>
      <c r="N35" s="188"/>
      <c r="O35" s="188"/>
      <c r="P35" s="218"/>
      <c r="R35" s="160">
        <v>463</v>
      </c>
      <c r="S35" s="159">
        <v>458</v>
      </c>
      <c r="T35" s="159">
        <f>R35-S35</f>
        <v>5</v>
      </c>
      <c r="U35" s="162">
        <f>S35/R35</f>
        <v>0.98920086393088558</v>
      </c>
      <c r="W35" s="160">
        <v>463</v>
      </c>
      <c r="X35" s="159">
        <v>462</v>
      </c>
      <c r="Y35" s="159">
        <f>W35-X35</f>
        <v>1</v>
      </c>
      <c r="Z35" s="162">
        <f>X35/W35</f>
        <v>0.99784017278617709</v>
      </c>
      <c r="AB35" s="160">
        <v>463</v>
      </c>
      <c r="AC35" s="159">
        <v>463</v>
      </c>
      <c r="AD35" s="159">
        <f>AB35-AC35</f>
        <v>0</v>
      </c>
      <c r="AE35" s="162">
        <f>AC35/AB35</f>
        <v>1</v>
      </c>
      <c r="AG35" s="160">
        <v>463</v>
      </c>
      <c r="AH35" s="159">
        <v>463</v>
      </c>
      <c r="AI35" s="159">
        <f>AG35-AH35</f>
        <v>0</v>
      </c>
      <c r="AJ35" s="162">
        <f>AH35/AG35</f>
        <v>1</v>
      </c>
      <c r="AL35" s="160">
        <v>626</v>
      </c>
      <c r="AM35" s="159">
        <v>626</v>
      </c>
      <c r="AN35" s="159">
        <v>0</v>
      </c>
      <c r="AO35" s="162">
        <f>AM35/AL35</f>
        <v>1</v>
      </c>
      <c r="AQ35" s="160">
        <v>626</v>
      </c>
      <c r="AR35" s="159">
        <v>626</v>
      </c>
      <c r="AS35" s="159">
        <v>0</v>
      </c>
      <c r="AT35" s="162">
        <f>AR35/AQ35</f>
        <v>1</v>
      </c>
      <c r="AV35" s="160">
        <v>626</v>
      </c>
      <c r="AW35" s="159">
        <v>626</v>
      </c>
      <c r="AX35" s="159">
        <v>0</v>
      </c>
      <c r="AY35" s="162">
        <f>AW35/AV35</f>
        <v>1</v>
      </c>
      <c r="BA35" s="160">
        <v>626</v>
      </c>
      <c r="BB35" s="159">
        <v>626</v>
      </c>
      <c r="BC35" s="159">
        <v>0</v>
      </c>
      <c r="BD35" s="162">
        <f>BB35/BA35</f>
        <v>1</v>
      </c>
    </row>
    <row r="36" spans="13:56" ht="16.5" x14ac:dyDescent="0.3">
      <c r="M36" s="188"/>
      <c r="N36" s="188"/>
      <c r="O36" s="188"/>
      <c r="P36" s="218"/>
      <c r="R36" s="160" t="s">
        <v>308</v>
      </c>
      <c r="S36" s="159" t="s">
        <v>306</v>
      </c>
      <c r="T36" s="159" t="s">
        <v>307</v>
      </c>
      <c r="U36" s="161" t="s">
        <v>305</v>
      </c>
      <c r="W36" s="160" t="s">
        <v>308</v>
      </c>
      <c r="X36" s="159" t="s">
        <v>306</v>
      </c>
      <c r="Y36" s="159" t="s">
        <v>307</v>
      </c>
      <c r="Z36" s="161" t="s">
        <v>305</v>
      </c>
      <c r="AB36" s="160" t="s">
        <v>308</v>
      </c>
      <c r="AC36" s="159" t="s">
        <v>306</v>
      </c>
      <c r="AD36" s="159" t="s">
        <v>307</v>
      </c>
      <c r="AE36" s="161" t="s">
        <v>305</v>
      </c>
      <c r="AG36" s="160" t="s">
        <v>308</v>
      </c>
      <c r="AH36" s="159" t="s">
        <v>306</v>
      </c>
      <c r="AI36" s="159" t="s">
        <v>307</v>
      </c>
      <c r="AJ36" s="161" t="s">
        <v>305</v>
      </c>
      <c r="AL36" s="160" t="s">
        <v>308</v>
      </c>
      <c r="AM36" s="159" t="s">
        <v>306</v>
      </c>
      <c r="AN36" s="159" t="s">
        <v>307</v>
      </c>
      <c r="AO36" s="161" t="s">
        <v>305</v>
      </c>
      <c r="AQ36" s="160" t="s">
        <v>308</v>
      </c>
      <c r="AR36" s="159" t="s">
        <v>306</v>
      </c>
      <c r="AS36" s="159" t="s">
        <v>307</v>
      </c>
      <c r="AT36" s="161" t="s">
        <v>305</v>
      </c>
      <c r="AV36" s="160" t="s">
        <v>308</v>
      </c>
      <c r="AW36" s="159" t="s">
        <v>306</v>
      </c>
      <c r="AX36" s="159" t="s">
        <v>307</v>
      </c>
      <c r="AY36" s="161" t="s">
        <v>305</v>
      </c>
      <c r="BA36" s="160" t="s">
        <v>308</v>
      </c>
      <c r="BB36" s="159" t="s">
        <v>306</v>
      </c>
      <c r="BC36" s="159" t="s">
        <v>307</v>
      </c>
      <c r="BD36" s="161" t="s">
        <v>305</v>
      </c>
    </row>
    <row r="37" spans="13:56" ht="16.5" x14ac:dyDescent="0.3">
      <c r="M37" s="188"/>
      <c r="N37" s="188"/>
      <c r="O37" s="188"/>
      <c r="P37" s="218"/>
      <c r="R37" s="160">
        <f>S35</f>
        <v>458</v>
      </c>
      <c r="S37" s="159">
        <v>430</v>
      </c>
      <c r="T37" s="159">
        <f>R37-S37</f>
        <v>28</v>
      </c>
      <c r="U37" s="162">
        <f>S37/R37</f>
        <v>0.93886462882096067</v>
      </c>
      <c r="W37" s="160">
        <f>X35</f>
        <v>462</v>
      </c>
      <c r="X37" s="159">
        <v>437</v>
      </c>
      <c r="Y37" s="159">
        <f>W37-X37</f>
        <v>25</v>
      </c>
      <c r="Z37" s="162">
        <f>X37/W37</f>
        <v>0.94588744588744589</v>
      </c>
      <c r="AB37" s="160">
        <f>AC35</f>
        <v>463</v>
      </c>
      <c r="AC37" s="159">
        <v>438</v>
      </c>
      <c r="AD37" s="159">
        <f>AB37-AC37</f>
        <v>25</v>
      </c>
      <c r="AE37" s="162">
        <f>AC37/AB37</f>
        <v>0.94600431965442766</v>
      </c>
      <c r="AG37" s="160">
        <f>AH35</f>
        <v>463</v>
      </c>
      <c r="AH37" s="159">
        <v>438</v>
      </c>
      <c r="AI37" s="159">
        <f>AG37-AH37</f>
        <v>25</v>
      </c>
      <c r="AJ37" s="162">
        <f>AH37/AG37</f>
        <v>0.94600431965442766</v>
      </c>
      <c r="AL37" s="160">
        <f>AM35</f>
        <v>626</v>
      </c>
      <c r="AM37" s="159">
        <v>598</v>
      </c>
      <c r="AN37" s="159">
        <f>AL37-AM37</f>
        <v>28</v>
      </c>
      <c r="AO37" s="162">
        <f>AM37/AL37</f>
        <v>0.95527156549520764</v>
      </c>
      <c r="AQ37" s="160">
        <f>AR35</f>
        <v>626</v>
      </c>
      <c r="AR37" s="159">
        <v>598</v>
      </c>
      <c r="AS37" s="159">
        <f>AQ37-AR37</f>
        <v>28</v>
      </c>
      <c r="AT37" s="162">
        <f>AR37/AQ37</f>
        <v>0.95527156549520764</v>
      </c>
      <c r="AV37" s="160">
        <f>AW35</f>
        <v>626</v>
      </c>
      <c r="AW37" s="159">
        <v>598</v>
      </c>
      <c r="AX37" s="159">
        <f>AV37-AW37</f>
        <v>28</v>
      </c>
      <c r="AY37" s="162">
        <f>AW37/AV37</f>
        <v>0.95527156549520764</v>
      </c>
      <c r="BA37" s="160">
        <f>BB35</f>
        <v>626</v>
      </c>
      <c r="BB37" s="159">
        <v>598</v>
      </c>
      <c r="BC37" s="159">
        <f>BA37-BB37</f>
        <v>28</v>
      </c>
      <c r="BD37" s="162">
        <f>BB37/BA37</f>
        <v>0.95527156549520764</v>
      </c>
    </row>
    <row r="38" spans="13:56" ht="16.5" x14ac:dyDescent="0.3">
      <c r="M38" s="188"/>
      <c r="N38" s="188"/>
      <c r="O38" s="188"/>
      <c r="P38" s="218"/>
      <c r="R38" s="160" t="s">
        <v>308</v>
      </c>
      <c r="S38" s="159" t="s">
        <v>309</v>
      </c>
      <c r="T38" s="159" t="s">
        <v>310</v>
      </c>
      <c r="U38" s="161" t="s">
        <v>311</v>
      </c>
      <c r="W38" s="160" t="s">
        <v>308</v>
      </c>
      <c r="X38" s="159" t="s">
        <v>309</v>
      </c>
      <c r="Y38" s="159" t="s">
        <v>310</v>
      </c>
      <c r="Z38" s="161" t="s">
        <v>311</v>
      </c>
      <c r="AB38" s="160" t="s">
        <v>308</v>
      </c>
      <c r="AC38" s="159" t="s">
        <v>309</v>
      </c>
      <c r="AD38" s="159" t="s">
        <v>310</v>
      </c>
      <c r="AE38" s="161" t="s">
        <v>311</v>
      </c>
      <c r="AG38" s="160" t="s">
        <v>308</v>
      </c>
      <c r="AH38" s="159" t="s">
        <v>309</v>
      </c>
      <c r="AI38" s="159" t="s">
        <v>310</v>
      </c>
      <c r="AJ38" s="161" t="s">
        <v>311</v>
      </c>
      <c r="AL38" s="160" t="s">
        <v>308</v>
      </c>
      <c r="AM38" s="159" t="s">
        <v>309</v>
      </c>
      <c r="AN38" s="159" t="s">
        <v>310</v>
      </c>
      <c r="AO38" s="161" t="s">
        <v>311</v>
      </c>
      <c r="AQ38" s="160" t="s">
        <v>308</v>
      </c>
      <c r="AR38" s="159" t="s">
        <v>309</v>
      </c>
      <c r="AS38" s="159" t="s">
        <v>310</v>
      </c>
      <c r="AT38" s="161" t="s">
        <v>311</v>
      </c>
      <c r="AV38" s="160" t="s">
        <v>308</v>
      </c>
      <c r="AW38" s="159" t="s">
        <v>309</v>
      </c>
      <c r="AX38" s="159" t="s">
        <v>310</v>
      </c>
      <c r="AY38" s="161" t="s">
        <v>311</v>
      </c>
      <c r="BA38" s="160" t="s">
        <v>308</v>
      </c>
      <c r="BB38" s="159" t="s">
        <v>309</v>
      </c>
      <c r="BC38" s="159" t="s">
        <v>310</v>
      </c>
      <c r="BD38" s="161" t="s">
        <v>311</v>
      </c>
    </row>
    <row r="39" spans="13:56" ht="17.25" thickBot="1" x14ac:dyDescent="0.35">
      <c r="M39" s="188"/>
      <c r="N39" s="188"/>
      <c r="O39" s="188"/>
      <c r="P39" s="218"/>
      <c r="R39" s="163">
        <f>S37</f>
        <v>430</v>
      </c>
      <c r="S39" s="164">
        <v>372</v>
      </c>
      <c r="T39" s="164">
        <f>R39-S39</f>
        <v>58</v>
      </c>
      <c r="U39" s="165">
        <f>S39/R39</f>
        <v>0.8651162790697674</v>
      </c>
      <c r="W39" s="163">
        <v>462</v>
      </c>
      <c r="X39" s="164">
        <v>376</v>
      </c>
      <c r="Y39" s="164">
        <f>W39-X39</f>
        <v>86</v>
      </c>
      <c r="Z39" s="165">
        <f>X39/W39</f>
        <v>0.81385281385281383</v>
      </c>
      <c r="AB39" s="160">
        <f>AC37</f>
        <v>438</v>
      </c>
      <c r="AC39" s="164">
        <v>376</v>
      </c>
      <c r="AD39" s="164">
        <f>AB39-AC39</f>
        <v>62</v>
      </c>
      <c r="AE39" s="165">
        <f>AC39/AB39</f>
        <v>0.85844748858447484</v>
      </c>
      <c r="AG39" s="163">
        <f>AH37</f>
        <v>438</v>
      </c>
      <c r="AH39" s="164">
        <v>376</v>
      </c>
      <c r="AI39" s="164">
        <f>AG39-AH39</f>
        <v>62</v>
      </c>
      <c r="AJ39" s="165">
        <f>AH39/AG39</f>
        <v>0.85844748858447484</v>
      </c>
      <c r="AL39" s="163">
        <f>AL37</f>
        <v>626</v>
      </c>
      <c r="AM39" s="164">
        <v>603</v>
      </c>
      <c r="AN39" s="164">
        <v>23</v>
      </c>
      <c r="AO39" s="165">
        <f>AM39/AL39</f>
        <v>0.96325878594249204</v>
      </c>
      <c r="AQ39" s="163">
        <f>AQ37</f>
        <v>626</v>
      </c>
      <c r="AR39" s="164">
        <v>603</v>
      </c>
      <c r="AS39" s="164">
        <v>23</v>
      </c>
      <c r="AT39" s="165">
        <f>AR39/AQ39</f>
        <v>0.96325878594249204</v>
      </c>
      <c r="AV39" s="163">
        <f>AV37</f>
        <v>626</v>
      </c>
      <c r="AW39" s="164">
        <v>603</v>
      </c>
      <c r="AX39" s="164">
        <v>23</v>
      </c>
      <c r="AY39" s="165">
        <f>AW39/AV39</f>
        <v>0.96325878594249204</v>
      </c>
      <c r="BA39" s="163">
        <f>BA37</f>
        <v>626</v>
      </c>
      <c r="BB39" s="164">
        <v>603</v>
      </c>
      <c r="BC39" s="164">
        <v>23</v>
      </c>
      <c r="BD39" s="165">
        <f>BB39/BA39</f>
        <v>0.96325878594249204</v>
      </c>
    </row>
    <row r="40" spans="13:56" ht="16.5" x14ac:dyDescent="0.3">
      <c r="M40" s="188"/>
      <c r="N40" s="188"/>
      <c r="O40" s="188"/>
      <c r="P40" s="218"/>
      <c r="R40" s="188"/>
      <c r="S40" s="188"/>
      <c r="T40" s="188"/>
      <c r="U40" s="218"/>
    </row>
    <row r="41" spans="13:56" ht="17.25" thickBot="1" x14ac:dyDescent="0.35">
      <c r="M41" s="188"/>
      <c r="N41" s="188"/>
      <c r="O41" s="188"/>
      <c r="P41" s="218"/>
    </row>
    <row r="42" spans="13:56" ht="16.5" x14ac:dyDescent="0.3">
      <c r="M42" s="188"/>
      <c r="N42" s="188"/>
      <c r="O42" s="188"/>
      <c r="P42" s="218"/>
      <c r="R42" s="188"/>
      <c r="S42" s="188"/>
      <c r="T42" s="188"/>
      <c r="U42" s="218"/>
      <c r="W42" s="777" t="s">
        <v>557</v>
      </c>
      <c r="X42" s="778"/>
      <c r="Y42" s="778"/>
      <c r="Z42" s="779"/>
      <c r="AB42" s="777" t="s">
        <v>557</v>
      </c>
      <c r="AC42" s="778"/>
      <c r="AD42" s="778"/>
      <c r="AE42" s="779"/>
      <c r="AG42" s="777" t="s">
        <v>557</v>
      </c>
      <c r="AH42" s="778"/>
      <c r="AI42" s="778"/>
      <c r="AJ42" s="779"/>
      <c r="AL42" s="777" t="s">
        <v>361</v>
      </c>
      <c r="AM42" s="778"/>
      <c r="AN42" s="778"/>
      <c r="AO42" s="779"/>
      <c r="AQ42" s="777" t="s">
        <v>361</v>
      </c>
      <c r="AR42" s="778"/>
      <c r="AS42" s="778"/>
      <c r="AT42" s="779"/>
      <c r="AV42" s="777" t="s">
        <v>361</v>
      </c>
      <c r="AW42" s="778"/>
      <c r="AX42" s="778"/>
      <c r="AY42" s="779"/>
      <c r="BA42" s="777" t="s">
        <v>361</v>
      </c>
      <c r="BB42" s="778"/>
      <c r="BC42" s="778"/>
      <c r="BD42" s="779"/>
    </row>
    <row r="43" spans="13:56" ht="16.5" x14ac:dyDescent="0.3">
      <c r="M43" s="188"/>
      <c r="N43" s="188"/>
      <c r="O43" s="188"/>
      <c r="P43" s="218"/>
      <c r="R43" s="188"/>
      <c r="S43" s="188"/>
      <c r="T43" s="188"/>
      <c r="U43" s="218"/>
      <c r="W43" s="160" t="s">
        <v>352</v>
      </c>
      <c r="X43" s="159" t="s">
        <v>303</v>
      </c>
      <c r="Y43" s="159" t="s">
        <v>304</v>
      </c>
      <c r="Z43" s="161" t="s">
        <v>305</v>
      </c>
      <c r="AB43" s="160" t="s">
        <v>352</v>
      </c>
      <c r="AC43" s="159" t="s">
        <v>303</v>
      </c>
      <c r="AD43" s="159" t="s">
        <v>304</v>
      </c>
      <c r="AE43" s="161" t="s">
        <v>305</v>
      </c>
      <c r="AG43" s="160" t="s">
        <v>352</v>
      </c>
      <c r="AH43" s="159" t="s">
        <v>303</v>
      </c>
      <c r="AI43" s="159" t="s">
        <v>304</v>
      </c>
      <c r="AJ43" s="161" t="s">
        <v>305</v>
      </c>
      <c r="AL43" s="160" t="s">
        <v>362</v>
      </c>
      <c r="AM43" s="159" t="s">
        <v>303</v>
      </c>
      <c r="AN43" s="159" t="s">
        <v>304</v>
      </c>
      <c r="AO43" s="161" t="s">
        <v>305</v>
      </c>
      <c r="AQ43" s="160" t="s">
        <v>362</v>
      </c>
      <c r="AR43" s="159" t="s">
        <v>303</v>
      </c>
      <c r="AS43" s="159" t="s">
        <v>304</v>
      </c>
      <c r="AT43" s="161" t="s">
        <v>305</v>
      </c>
      <c r="AV43" s="160" t="s">
        <v>362</v>
      </c>
      <c r="AW43" s="159" t="s">
        <v>303</v>
      </c>
      <c r="AX43" s="159" t="s">
        <v>304</v>
      </c>
      <c r="AY43" s="161" t="s">
        <v>305</v>
      </c>
      <c r="BA43" s="160" t="s">
        <v>362</v>
      </c>
      <c r="BB43" s="159" t="s">
        <v>303</v>
      </c>
      <c r="BC43" s="159" t="s">
        <v>304</v>
      </c>
      <c r="BD43" s="161" t="s">
        <v>305</v>
      </c>
    </row>
    <row r="44" spans="13:56" ht="16.5" x14ac:dyDescent="0.3">
      <c r="M44" s="188"/>
      <c r="N44" s="188"/>
      <c r="O44" s="188"/>
      <c r="P44" s="218"/>
      <c r="R44" s="188"/>
      <c r="S44" s="188"/>
      <c r="T44" s="188"/>
      <c r="U44" s="218"/>
      <c r="W44" s="160">
        <v>372</v>
      </c>
      <c r="X44" s="159">
        <v>365</v>
      </c>
      <c r="Y44" s="159">
        <f>W44-X44</f>
        <v>7</v>
      </c>
      <c r="Z44" s="162">
        <f>X44/W44</f>
        <v>0.98118279569892475</v>
      </c>
      <c r="AB44" s="160">
        <v>372</v>
      </c>
      <c r="AC44" s="159">
        <v>371</v>
      </c>
      <c r="AD44" s="159">
        <f>AB44-AC44</f>
        <v>1</v>
      </c>
      <c r="AE44" s="162">
        <f>AC44/AB44</f>
        <v>0.99731182795698925</v>
      </c>
      <c r="AG44" s="160">
        <v>372</v>
      </c>
      <c r="AH44" s="159">
        <v>371</v>
      </c>
      <c r="AI44" s="159">
        <f>AG44-AH44</f>
        <v>1</v>
      </c>
      <c r="AJ44" s="162">
        <f>AH44/AG44</f>
        <v>0.99731182795698925</v>
      </c>
      <c r="AL44" s="160">
        <v>329</v>
      </c>
      <c r="AM44" s="159">
        <v>329</v>
      </c>
      <c r="AN44" s="159">
        <v>0</v>
      </c>
      <c r="AO44" s="162">
        <f>AM44/AL44</f>
        <v>1</v>
      </c>
      <c r="AQ44" s="160">
        <v>329</v>
      </c>
      <c r="AR44" s="159">
        <v>329</v>
      </c>
      <c r="AS44" s="159">
        <v>0</v>
      </c>
      <c r="AT44" s="162">
        <f>AR44/AQ44</f>
        <v>1</v>
      </c>
      <c r="AV44" s="160">
        <v>329</v>
      </c>
      <c r="AW44" s="159">
        <v>329</v>
      </c>
      <c r="AX44" s="159">
        <v>0</v>
      </c>
      <c r="AY44" s="162">
        <f>AW44/AV44</f>
        <v>1</v>
      </c>
      <c r="BA44" s="160">
        <v>329</v>
      </c>
      <c r="BB44" s="159">
        <v>329</v>
      </c>
      <c r="BC44" s="159">
        <v>0</v>
      </c>
      <c r="BD44" s="162">
        <f>BB44/BA44</f>
        <v>1</v>
      </c>
    </row>
    <row r="45" spans="13:56" ht="16.5" x14ac:dyDescent="0.3">
      <c r="M45" s="188"/>
      <c r="N45" s="188"/>
      <c r="O45" s="188"/>
      <c r="P45" s="218"/>
      <c r="R45" s="188"/>
      <c r="S45" s="188"/>
      <c r="T45" s="188"/>
      <c r="U45" s="218"/>
      <c r="W45" s="160" t="s">
        <v>308</v>
      </c>
      <c r="X45" s="159" t="s">
        <v>306</v>
      </c>
      <c r="Y45" s="159" t="s">
        <v>307</v>
      </c>
      <c r="Z45" s="161" t="s">
        <v>305</v>
      </c>
      <c r="AB45" s="160" t="s">
        <v>308</v>
      </c>
      <c r="AC45" s="159" t="s">
        <v>306</v>
      </c>
      <c r="AD45" s="159" t="s">
        <v>307</v>
      </c>
      <c r="AE45" s="161" t="s">
        <v>305</v>
      </c>
      <c r="AG45" s="160" t="s">
        <v>308</v>
      </c>
      <c r="AH45" s="159" t="s">
        <v>306</v>
      </c>
      <c r="AI45" s="159" t="s">
        <v>307</v>
      </c>
      <c r="AJ45" s="161" t="s">
        <v>305</v>
      </c>
      <c r="AL45" s="160" t="s">
        <v>308</v>
      </c>
      <c r="AM45" s="159" t="s">
        <v>306</v>
      </c>
      <c r="AN45" s="159" t="s">
        <v>307</v>
      </c>
      <c r="AO45" s="161" t="s">
        <v>305</v>
      </c>
      <c r="AQ45" s="160" t="s">
        <v>308</v>
      </c>
      <c r="AR45" s="159" t="s">
        <v>306</v>
      </c>
      <c r="AS45" s="159" t="s">
        <v>307</v>
      </c>
      <c r="AT45" s="161" t="s">
        <v>305</v>
      </c>
      <c r="AV45" s="160" t="s">
        <v>308</v>
      </c>
      <c r="AW45" s="159" t="s">
        <v>306</v>
      </c>
      <c r="AX45" s="159" t="s">
        <v>307</v>
      </c>
      <c r="AY45" s="161" t="s">
        <v>305</v>
      </c>
      <c r="BA45" s="160" t="s">
        <v>308</v>
      </c>
      <c r="BB45" s="159" t="s">
        <v>306</v>
      </c>
      <c r="BC45" s="159" t="s">
        <v>307</v>
      </c>
      <c r="BD45" s="161" t="s">
        <v>305</v>
      </c>
    </row>
    <row r="46" spans="13:56" ht="16.5" x14ac:dyDescent="0.3">
      <c r="M46" s="188"/>
      <c r="N46" s="188"/>
      <c r="O46" s="188"/>
      <c r="P46" s="218"/>
      <c r="R46" s="188"/>
      <c r="S46" s="188"/>
      <c r="T46" s="188"/>
      <c r="U46" s="218"/>
      <c r="W46" s="160">
        <f>X44</f>
        <v>365</v>
      </c>
      <c r="X46" s="159">
        <v>350</v>
      </c>
      <c r="Y46" s="159">
        <f>W46-X46</f>
        <v>15</v>
      </c>
      <c r="Z46" s="162">
        <f>X46/W46</f>
        <v>0.95890410958904104</v>
      </c>
      <c r="AB46" s="160">
        <v>371</v>
      </c>
      <c r="AC46" s="159">
        <v>350</v>
      </c>
      <c r="AD46" s="159">
        <f>AB46-AC46</f>
        <v>21</v>
      </c>
      <c r="AE46" s="162">
        <f>AC46/AB46</f>
        <v>0.94339622641509435</v>
      </c>
      <c r="AG46" s="160">
        <v>371</v>
      </c>
      <c r="AH46" s="159">
        <v>350</v>
      </c>
      <c r="AI46" s="159">
        <f>AG46-AH46</f>
        <v>21</v>
      </c>
      <c r="AJ46" s="162">
        <f>AH46/AG46</f>
        <v>0.94339622641509435</v>
      </c>
      <c r="AL46" s="160">
        <f>AM44</f>
        <v>329</v>
      </c>
      <c r="AM46" s="159">
        <v>307</v>
      </c>
      <c r="AN46" s="159">
        <f>AL46-AM46</f>
        <v>22</v>
      </c>
      <c r="AO46" s="162">
        <f>AM46/AL46</f>
        <v>0.93313069908814594</v>
      </c>
      <c r="AQ46" s="160">
        <f>AR44</f>
        <v>329</v>
      </c>
      <c r="AR46" s="159">
        <v>307</v>
      </c>
      <c r="AS46" s="159">
        <f>AQ46-AR46</f>
        <v>22</v>
      </c>
      <c r="AT46" s="162">
        <f>AR46/AQ46</f>
        <v>0.93313069908814594</v>
      </c>
      <c r="AV46" s="160">
        <f>AW44</f>
        <v>329</v>
      </c>
      <c r="AW46" s="159">
        <v>307</v>
      </c>
      <c r="AX46" s="159">
        <f>AV46-AW46</f>
        <v>22</v>
      </c>
      <c r="AY46" s="162">
        <f>AW46/AV46</f>
        <v>0.93313069908814594</v>
      </c>
      <c r="BA46" s="160">
        <f>BB44</f>
        <v>329</v>
      </c>
      <c r="BB46" s="159">
        <v>307</v>
      </c>
      <c r="BC46" s="159">
        <f>BA46-BB46</f>
        <v>22</v>
      </c>
      <c r="BD46" s="162">
        <f>BB46/BA46</f>
        <v>0.93313069908814594</v>
      </c>
    </row>
    <row r="47" spans="13:56" ht="16.5" x14ac:dyDescent="0.3">
      <c r="M47" s="188"/>
      <c r="N47" s="188"/>
      <c r="O47" s="188"/>
      <c r="P47" s="218"/>
      <c r="R47" s="188"/>
      <c r="S47" s="188"/>
      <c r="T47" s="188"/>
      <c r="U47" s="218"/>
      <c r="W47" s="160" t="s">
        <v>308</v>
      </c>
      <c r="X47" s="159" t="s">
        <v>309</v>
      </c>
      <c r="Y47" s="159" t="s">
        <v>310</v>
      </c>
      <c r="Z47" s="161" t="s">
        <v>311</v>
      </c>
      <c r="AB47" s="160" t="s">
        <v>308</v>
      </c>
      <c r="AC47" s="159" t="s">
        <v>309</v>
      </c>
      <c r="AD47" s="159" t="s">
        <v>310</v>
      </c>
      <c r="AE47" s="161" t="s">
        <v>311</v>
      </c>
      <c r="AG47" s="160" t="s">
        <v>308</v>
      </c>
      <c r="AH47" s="159" t="s">
        <v>309</v>
      </c>
      <c r="AI47" s="159" t="s">
        <v>310</v>
      </c>
      <c r="AJ47" s="161" t="s">
        <v>311</v>
      </c>
      <c r="AL47" s="160" t="s">
        <v>308</v>
      </c>
      <c r="AM47" s="159" t="s">
        <v>309</v>
      </c>
      <c r="AN47" s="159" t="s">
        <v>310</v>
      </c>
      <c r="AO47" s="161" t="s">
        <v>311</v>
      </c>
      <c r="AQ47" s="160" t="s">
        <v>308</v>
      </c>
      <c r="AR47" s="159" t="s">
        <v>309</v>
      </c>
      <c r="AS47" s="159" t="s">
        <v>310</v>
      </c>
      <c r="AT47" s="161" t="s">
        <v>311</v>
      </c>
      <c r="AV47" s="160" t="s">
        <v>308</v>
      </c>
      <c r="AW47" s="159" t="s">
        <v>309</v>
      </c>
      <c r="AX47" s="159" t="s">
        <v>310</v>
      </c>
      <c r="AY47" s="161" t="s">
        <v>311</v>
      </c>
      <c r="BA47" s="160" t="s">
        <v>308</v>
      </c>
      <c r="BB47" s="159" t="s">
        <v>309</v>
      </c>
      <c r="BC47" s="159" t="s">
        <v>310</v>
      </c>
      <c r="BD47" s="161" t="s">
        <v>311</v>
      </c>
    </row>
    <row r="48" spans="13:56" ht="17.25" thickBot="1" x14ac:dyDescent="0.35">
      <c r="M48" s="188"/>
      <c r="N48" s="188"/>
      <c r="O48" s="188"/>
      <c r="P48" s="218"/>
      <c r="R48" s="188"/>
      <c r="S48" s="188"/>
      <c r="T48" s="188"/>
      <c r="U48" s="218"/>
      <c r="W48" s="163">
        <f>W46</f>
        <v>365</v>
      </c>
      <c r="X48" s="164">
        <v>322</v>
      </c>
      <c r="Y48" s="164">
        <f>W48-X48</f>
        <v>43</v>
      </c>
      <c r="Z48" s="165">
        <f>X48/W48</f>
        <v>0.88219178082191785</v>
      </c>
      <c r="AB48" s="163">
        <f>AB46</f>
        <v>371</v>
      </c>
      <c r="AC48" s="164">
        <v>327</v>
      </c>
      <c r="AD48" s="164">
        <f>AB48-AC48</f>
        <v>44</v>
      </c>
      <c r="AE48" s="165">
        <f>AC48/AB48</f>
        <v>0.8814016172506739</v>
      </c>
      <c r="AG48" s="163">
        <f>AG46</f>
        <v>371</v>
      </c>
      <c r="AH48" s="164">
        <v>327</v>
      </c>
      <c r="AI48" s="164">
        <f>AG48-AH48</f>
        <v>44</v>
      </c>
      <c r="AJ48" s="165">
        <f>AH48/AG48</f>
        <v>0.8814016172506739</v>
      </c>
      <c r="AL48" s="163">
        <f>AL46</f>
        <v>329</v>
      </c>
      <c r="AM48" s="164">
        <v>289</v>
      </c>
      <c r="AN48" s="164">
        <v>40</v>
      </c>
      <c r="AO48" s="165">
        <f>AM48/AL48</f>
        <v>0.87841945288753798</v>
      </c>
      <c r="AQ48" s="163">
        <f>AQ46</f>
        <v>329</v>
      </c>
      <c r="AR48" s="164">
        <v>289</v>
      </c>
      <c r="AS48" s="164">
        <v>40</v>
      </c>
      <c r="AT48" s="165">
        <f>AR48/AQ48</f>
        <v>0.87841945288753798</v>
      </c>
      <c r="AV48" s="163">
        <f>AV46</f>
        <v>329</v>
      </c>
      <c r="AW48" s="164">
        <v>289</v>
      </c>
      <c r="AX48" s="164">
        <v>40</v>
      </c>
      <c r="AY48" s="165">
        <f>AW48/AV48</f>
        <v>0.87841945288753798</v>
      </c>
      <c r="BA48" s="163">
        <f>BA46</f>
        <v>329</v>
      </c>
      <c r="BB48" s="164">
        <v>289</v>
      </c>
      <c r="BC48" s="164">
        <v>40</v>
      </c>
      <c r="BD48" s="165">
        <f>BB48/BA48</f>
        <v>0.87841945288753798</v>
      </c>
    </row>
    <row r="49" spans="12:56" ht="16.5" x14ac:dyDescent="0.3">
      <c r="M49" s="188"/>
      <c r="N49" s="188"/>
      <c r="O49" s="188"/>
      <c r="P49" s="218"/>
      <c r="R49" s="188"/>
      <c r="S49" s="188"/>
      <c r="T49" s="188"/>
      <c r="U49" s="218"/>
    </row>
    <row r="50" spans="12:56" ht="15.75" thickBot="1" x14ac:dyDescent="0.3"/>
    <row r="51" spans="12:56" x14ac:dyDescent="0.25">
      <c r="AB51" s="777" t="s">
        <v>605</v>
      </c>
      <c r="AC51" s="778"/>
      <c r="AD51" s="778"/>
      <c r="AE51" s="779"/>
      <c r="AG51" s="777" t="s">
        <v>605</v>
      </c>
      <c r="AH51" s="778"/>
      <c r="AI51" s="778"/>
      <c r="AJ51" s="779"/>
      <c r="AL51" s="777" t="s">
        <v>371</v>
      </c>
      <c r="AM51" s="778"/>
      <c r="AN51" s="778"/>
      <c r="AO51" s="779"/>
      <c r="AQ51" s="777" t="s">
        <v>371</v>
      </c>
      <c r="AR51" s="778"/>
      <c r="AS51" s="778"/>
      <c r="AT51" s="779"/>
      <c r="AV51" s="777" t="s">
        <v>371</v>
      </c>
      <c r="AW51" s="778"/>
      <c r="AX51" s="778"/>
      <c r="AY51" s="779"/>
      <c r="BA51" s="777" t="s">
        <v>371</v>
      </c>
      <c r="BB51" s="778"/>
      <c r="BC51" s="778"/>
      <c r="BD51" s="779"/>
    </row>
    <row r="52" spans="12:56" ht="17.25" thickBot="1" x14ac:dyDescent="0.35">
      <c r="AB52" s="160" t="s">
        <v>372</v>
      </c>
      <c r="AC52" s="159" t="s">
        <v>303</v>
      </c>
      <c r="AD52" s="159" t="s">
        <v>304</v>
      </c>
      <c r="AE52" s="161" t="s">
        <v>305</v>
      </c>
      <c r="AG52" s="160" t="s">
        <v>372</v>
      </c>
      <c r="AH52" s="159" t="s">
        <v>303</v>
      </c>
      <c r="AI52" s="159" t="s">
        <v>304</v>
      </c>
      <c r="AJ52" s="161" t="s">
        <v>305</v>
      </c>
      <c r="AL52" s="160" t="s">
        <v>372</v>
      </c>
      <c r="AM52" s="159" t="s">
        <v>303</v>
      </c>
      <c r="AN52" s="159" t="s">
        <v>304</v>
      </c>
      <c r="AO52" s="161" t="s">
        <v>305</v>
      </c>
      <c r="AQ52" s="160" t="s">
        <v>372</v>
      </c>
      <c r="AR52" s="159" t="s">
        <v>303</v>
      </c>
      <c r="AS52" s="159" t="s">
        <v>304</v>
      </c>
      <c r="AT52" s="161" t="s">
        <v>305</v>
      </c>
      <c r="AV52" s="160" t="s">
        <v>372</v>
      </c>
      <c r="AW52" s="159" t="s">
        <v>303</v>
      </c>
      <c r="AX52" s="159" t="s">
        <v>304</v>
      </c>
      <c r="AY52" s="161" t="s">
        <v>305</v>
      </c>
      <c r="BA52" s="160" t="s">
        <v>372</v>
      </c>
      <c r="BB52" s="159" t="s">
        <v>303</v>
      </c>
      <c r="BC52" s="159" t="s">
        <v>304</v>
      </c>
      <c r="BD52" s="161" t="s">
        <v>305</v>
      </c>
    </row>
    <row r="53" spans="12:56" ht="17.25" thickBot="1" x14ac:dyDescent="0.35">
      <c r="L53" s="789" t="s">
        <v>510</v>
      </c>
      <c r="M53" s="790"/>
      <c r="N53" s="790"/>
      <c r="O53" s="790"/>
      <c r="P53" s="791"/>
      <c r="AB53" s="160">
        <v>347</v>
      </c>
      <c r="AC53" s="159">
        <v>343</v>
      </c>
      <c r="AD53" s="159">
        <f>AB53-AC53</f>
        <v>4</v>
      </c>
      <c r="AE53" s="162">
        <f>AC53/AB53</f>
        <v>0.98847262247838619</v>
      </c>
      <c r="AG53" s="160">
        <v>347</v>
      </c>
      <c r="AH53" s="159">
        <v>347</v>
      </c>
      <c r="AI53" s="159">
        <f>AG53-AH53</f>
        <v>0</v>
      </c>
      <c r="AJ53" s="162">
        <f>AH53/AG53</f>
        <v>1</v>
      </c>
      <c r="AL53" s="160">
        <v>316</v>
      </c>
      <c r="AM53" s="159">
        <v>315</v>
      </c>
      <c r="AN53" s="159">
        <v>1</v>
      </c>
      <c r="AO53" s="162">
        <f>AM53/AL53</f>
        <v>0.99683544303797467</v>
      </c>
      <c r="AQ53" s="160">
        <v>316</v>
      </c>
      <c r="AR53" s="159">
        <v>316</v>
      </c>
      <c r="AS53" s="159">
        <v>0</v>
      </c>
      <c r="AT53" s="162">
        <f>AR53/AQ53</f>
        <v>1</v>
      </c>
      <c r="AV53" s="160">
        <v>316</v>
      </c>
      <c r="AW53" s="159">
        <v>316</v>
      </c>
      <c r="AX53" s="159">
        <v>0</v>
      </c>
      <c r="AY53" s="162">
        <f>AW53/AV53</f>
        <v>1</v>
      </c>
      <c r="BA53" s="160">
        <v>316</v>
      </c>
      <c r="BB53" s="159">
        <v>316</v>
      </c>
      <c r="BC53" s="159">
        <v>0</v>
      </c>
      <c r="BD53" s="162">
        <f>BB53/BA53</f>
        <v>1</v>
      </c>
    </row>
    <row r="54" spans="12:56" ht="16.5" x14ac:dyDescent="0.3">
      <c r="L54" s="792" t="s">
        <v>299</v>
      </c>
      <c r="M54" s="160" t="s">
        <v>302</v>
      </c>
      <c r="N54" s="159" t="s">
        <v>303</v>
      </c>
      <c r="O54" s="159" t="s">
        <v>304</v>
      </c>
      <c r="P54" s="161" t="s">
        <v>305</v>
      </c>
      <c r="AB54" s="160" t="s">
        <v>308</v>
      </c>
      <c r="AC54" s="159" t="s">
        <v>306</v>
      </c>
      <c r="AD54" s="159" t="s">
        <v>307</v>
      </c>
      <c r="AE54" s="161" t="s">
        <v>305</v>
      </c>
      <c r="AG54" s="160" t="s">
        <v>308</v>
      </c>
      <c r="AH54" s="159" t="s">
        <v>306</v>
      </c>
      <c r="AI54" s="159" t="s">
        <v>307</v>
      </c>
      <c r="AJ54" s="161" t="s">
        <v>305</v>
      </c>
      <c r="AL54" s="160" t="s">
        <v>308</v>
      </c>
      <c r="AM54" s="159" t="s">
        <v>306</v>
      </c>
      <c r="AN54" s="159" t="s">
        <v>307</v>
      </c>
      <c r="AO54" s="161" t="s">
        <v>305</v>
      </c>
      <c r="AQ54" s="160" t="s">
        <v>308</v>
      </c>
      <c r="AR54" s="159" t="s">
        <v>306</v>
      </c>
      <c r="AS54" s="159" t="s">
        <v>307</v>
      </c>
      <c r="AT54" s="161" t="s">
        <v>305</v>
      </c>
      <c r="AV54" s="160" t="s">
        <v>308</v>
      </c>
      <c r="AW54" s="159" t="s">
        <v>306</v>
      </c>
      <c r="AX54" s="159" t="s">
        <v>307</v>
      </c>
      <c r="AY54" s="161" t="s">
        <v>305</v>
      </c>
      <c r="BA54" s="160" t="s">
        <v>308</v>
      </c>
      <c r="BB54" s="159" t="s">
        <v>306</v>
      </c>
      <c r="BC54" s="159" t="s">
        <v>307</v>
      </c>
      <c r="BD54" s="161" t="s">
        <v>305</v>
      </c>
    </row>
    <row r="55" spans="12:56" ht="16.5" x14ac:dyDescent="0.3">
      <c r="L55" s="793"/>
      <c r="M55" s="160">
        <v>340</v>
      </c>
      <c r="N55" s="159">
        <v>336</v>
      </c>
      <c r="O55" s="159">
        <f>M55-N55</f>
        <v>4</v>
      </c>
      <c r="P55" s="162">
        <f>N55/M55</f>
        <v>0.9882352941176471</v>
      </c>
      <c r="AB55" s="160">
        <v>343</v>
      </c>
      <c r="AC55" s="159">
        <v>314</v>
      </c>
      <c r="AD55" s="159">
        <f>AB55-AC55</f>
        <v>29</v>
      </c>
      <c r="AE55" s="162">
        <f>AC55/AB55</f>
        <v>0.91545189504373181</v>
      </c>
      <c r="AG55" s="160">
        <v>347</v>
      </c>
      <c r="AH55" s="159">
        <v>317</v>
      </c>
      <c r="AI55" s="159">
        <f>AG55-AH55</f>
        <v>30</v>
      </c>
      <c r="AJ55" s="162">
        <f>AH55/AG55</f>
        <v>0.91354466858789629</v>
      </c>
      <c r="AL55" s="160">
        <f>AM53</f>
        <v>315</v>
      </c>
      <c r="AM55" s="159">
        <v>300</v>
      </c>
      <c r="AN55" s="159">
        <v>14</v>
      </c>
      <c r="AO55" s="162">
        <f>AM55/AL55</f>
        <v>0.95238095238095233</v>
      </c>
      <c r="AQ55" s="160">
        <f>AR53</f>
        <v>316</v>
      </c>
      <c r="AR55" s="159">
        <v>300</v>
      </c>
      <c r="AS55" s="159">
        <v>16</v>
      </c>
      <c r="AT55" s="162">
        <f>AR55/AQ55</f>
        <v>0.94936708860759489</v>
      </c>
      <c r="AV55" s="160">
        <f>AW53</f>
        <v>316</v>
      </c>
      <c r="AW55" s="159">
        <v>300</v>
      </c>
      <c r="AX55" s="159">
        <v>16</v>
      </c>
      <c r="AY55" s="162">
        <f>AW55/AV55</f>
        <v>0.94936708860759489</v>
      </c>
      <c r="BA55" s="160">
        <f>BB53</f>
        <v>316</v>
      </c>
      <c r="BB55" s="159">
        <v>300</v>
      </c>
      <c r="BC55" s="159">
        <v>16</v>
      </c>
      <c r="BD55" s="162">
        <f>BB55/BA55</f>
        <v>0.94936708860759489</v>
      </c>
    </row>
    <row r="56" spans="12:56" ht="16.5" x14ac:dyDescent="0.3">
      <c r="L56" s="793"/>
      <c r="M56" s="160" t="s">
        <v>308</v>
      </c>
      <c r="N56" s="159" t="s">
        <v>306</v>
      </c>
      <c r="O56" s="159" t="s">
        <v>307</v>
      </c>
      <c r="P56" s="161" t="s">
        <v>305</v>
      </c>
      <c r="AB56" s="160" t="s">
        <v>308</v>
      </c>
      <c r="AC56" s="159" t="s">
        <v>309</v>
      </c>
      <c r="AD56" s="159" t="s">
        <v>310</v>
      </c>
      <c r="AE56" s="161" t="s">
        <v>311</v>
      </c>
      <c r="AG56" s="160" t="s">
        <v>308</v>
      </c>
      <c r="AH56" s="159" t="s">
        <v>309</v>
      </c>
      <c r="AI56" s="159" t="s">
        <v>310</v>
      </c>
      <c r="AJ56" s="161" t="s">
        <v>311</v>
      </c>
      <c r="AL56" s="160" t="s">
        <v>308</v>
      </c>
      <c r="AM56" s="159" t="s">
        <v>309</v>
      </c>
      <c r="AN56" s="159" t="s">
        <v>310</v>
      </c>
      <c r="AO56" s="161" t="s">
        <v>311</v>
      </c>
      <c r="AQ56" s="160" t="s">
        <v>308</v>
      </c>
      <c r="AR56" s="159" t="s">
        <v>309</v>
      </c>
      <c r="AS56" s="159" t="s">
        <v>310</v>
      </c>
      <c r="AT56" s="161" t="s">
        <v>311</v>
      </c>
      <c r="AV56" s="160" t="s">
        <v>308</v>
      </c>
      <c r="AW56" s="159" t="s">
        <v>309</v>
      </c>
      <c r="AX56" s="159" t="s">
        <v>310</v>
      </c>
      <c r="AY56" s="161" t="s">
        <v>311</v>
      </c>
      <c r="BA56" s="160" t="s">
        <v>308</v>
      </c>
      <c r="BB56" s="159" t="s">
        <v>309</v>
      </c>
      <c r="BC56" s="159" t="s">
        <v>310</v>
      </c>
      <c r="BD56" s="161" t="s">
        <v>311</v>
      </c>
    </row>
    <row r="57" spans="12:56" ht="17.25" thickBot="1" x14ac:dyDescent="0.35">
      <c r="L57" s="793"/>
      <c r="M57" s="160">
        <v>336</v>
      </c>
      <c r="N57" s="159">
        <v>318</v>
      </c>
      <c r="O57" s="159">
        <v>18</v>
      </c>
      <c r="P57" s="162">
        <f>N57/M57</f>
        <v>0.9464285714285714</v>
      </c>
      <c r="AB57" s="163">
        <f>AB55</f>
        <v>343</v>
      </c>
      <c r="AC57" s="164">
        <v>296</v>
      </c>
      <c r="AD57" s="164">
        <f>AB57-AC57</f>
        <v>47</v>
      </c>
      <c r="AE57" s="165">
        <f>AC57/AB57</f>
        <v>0.86297376093294464</v>
      </c>
      <c r="AG57" s="163">
        <f>AG55</f>
        <v>347</v>
      </c>
      <c r="AH57" s="164">
        <v>304</v>
      </c>
      <c r="AI57" s="164">
        <f>AG57-AH57</f>
        <v>43</v>
      </c>
      <c r="AJ57" s="165">
        <f>AH57/AG57</f>
        <v>0.87608069164265134</v>
      </c>
      <c r="AL57" s="163">
        <f>AL55</f>
        <v>315</v>
      </c>
      <c r="AM57" s="164">
        <v>281</v>
      </c>
      <c r="AN57" s="164">
        <v>34</v>
      </c>
      <c r="AO57" s="165">
        <f>AM57/AL57</f>
        <v>0.89206349206349211</v>
      </c>
      <c r="AQ57" s="163">
        <f>AQ55</f>
        <v>316</v>
      </c>
      <c r="AR57" s="164">
        <v>281</v>
      </c>
      <c r="AS57" s="164">
        <f>AQ57-AR57</f>
        <v>35</v>
      </c>
      <c r="AT57" s="165">
        <f>AR57/AQ57</f>
        <v>0.88924050632911389</v>
      </c>
      <c r="AV57" s="163">
        <f>AV55</f>
        <v>316</v>
      </c>
      <c r="AW57" s="164">
        <v>281</v>
      </c>
      <c r="AX57" s="164">
        <f>AV57-AW57</f>
        <v>35</v>
      </c>
      <c r="AY57" s="165">
        <f>AW57/AV57</f>
        <v>0.88924050632911389</v>
      </c>
      <c r="BA57" s="163">
        <f>BA55</f>
        <v>316</v>
      </c>
      <c r="BB57" s="164">
        <v>281</v>
      </c>
      <c r="BC57" s="164">
        <f>BA57-BB57</f>
        <v>35</v>
      </c>
      <c r="BD57" s="165">
        <f>BB57/BA57</f>
        <v>0.88924050632911389</v>
      </c>
    </row>
    <row r="58" spans="12:56" ht="17.25" thickBot="1" x14ac:dyDescent="0.35">
      <c r="L58" s="793"/>
      <c r="M58" s="160" t="s">
        <v>308</v>
      </c>
      <c r="N58" s="159" t="s">
        <v>309</v>
      </c>
      <c r="O58" s="159" t="s">
        <v>310</v>
      </c>
      <c r="P58" s="161" t="s">
        <v>311</v>
      </c>
      <c r="AG58" s="163" t="str">
        <f>AG56</f>
        <v xml:space="preserve">TOTAL PQR'S CON RESPUESTA </v>
      </c>
      <c r="AH58" s="164">
        <v>281</v>
      </c>
      <c r="AI58" s="164">
        <v>34</v>
      </c>
      <c r="AJ58" s="165" t="e">
        <f>AH58/AG58</f>
        <v>#VALUE!</v>
      </c>
    </row>
    <row r="59" spans="12:56" ht="17.25" thickBot="1" x14ac:dyDescent="0.35">
      <c r="L59" s="794"/>
      <c r="M59" s="163">
        <v>336</v>
      </c>
      <c r="N59" s="164">
        <v>294</v>
      </c>
      <c r="O59" s="164">
        <f>M59-N59</f>
        <v>42</v>
      </c>
      <c r="P59" s="165">
        <f>N59/M59</f>
        <v>0.875</v>
      </c>
    </row>
    <row r="60" spans="12:56" ht="15" customHeight="1" thickBot="1" x14ac:dyDescent="0.35">
      <c r="L60" s="774" t="s">
        <v>301</v>
      </c>
      <c r="M60" s="160" t="s">
        <v>320</v>
      </c>
      <c r="N60" s="159" t="s">
        <v>303</v>
      </c>
      <c r="O60" s="159" t="s">
        <v>304</v>
      </c>
      <c r="P60" s="161" t="s">
        <v>305</v>
      </c>
      <c r="Q60" s="108">
        <f>P61-P55</f>
        <v>9.2833163041891043E-3</v>
      </c>
      <c r="AL60" s="777" t="s">
        <v>387</v>
      </c>
      <c r="AM60" s="778"/>
      <c r="AN60" s="778"/>
      <c r="AO60" s="779"/>
      <c r="AQ60" s="777" t="s">
        <v>387</v>
      </c>
      <c r="AR60" s="778"/>
      <c r="AS60" s="778"/>
      <c r="AT60" s="779"/>
      <c r="AV60" s="777" t="s">
        <v>387</v>
      </c>
      <c r="AW60" s="778"/>
      <c r="AX60" s="778"/>
      <c r="AY60" s="779"/>
      <c r="BA60" s="777" t="s">
        <v>387</v>
      </c>
      <c r="BB60" s="778"/>
      <c r="BC60" s="778"/>
      <c r="BD60" s="779"/>
    </row>
    <row r="61" spans="12:56" ht="16.5" x14ac:dyDescent="0.3">
      <c r="L61" s="775"/>
      <c r="M61" s="160">
        <v>403</v>
      </c>
      <c r="N61" s="159">
        <v>402</v>
      </c>
      <c r="O61" s="159">
        <v>1</v>
      </c>
      <c r="P61" s="162">
        <f>N61/M61</f>
        <v>0.9975186104218362</v>
      </c>
      <c r="AG61" s="777" t="s">
        <v>659</v>
      </c>
      <c r="AH61" s="778"/>
      <c r="AI61" s="778"/>
      <c r="AJ61" s="779"/>
      <c r="AL61" s="160" t="s">
        <v>372</v>
      </c>
      <c r="AM61" s="159" t="s">
        <v>303</v>
      </c>
      <c r="AN61" s="159" t="s">
        <v>304</v>
      </c>
      <c r="AO61" s="161" t="s">
        <v>305</v>
      </c>
      <c r="AQ61" s="160" t="s">
        <v>397</v>
      </c>
      <c r="AR61" s="159" t="s">
        <v>303</v>
      </c>
      <c r="AS61" s="159" t="s">
        <v>304</v>
      </c>
      <c r="AT61" s="161" t="s">
        <v>305</v>
      </c>
      <c r="AV61" s="160" t="s">
        <v>397</v>
      </c>
      <c r="AW61" s="159" t="s">
        <v>303</v>
      </c>
      <c r="AX61" s="159" t="s">
        <v>304</v>
      </c>
      <c r="AY61" s="161" t="s">
        <v>305</v>
      </c>
      <c r="BA61" s="160" t="s">
        <v>397</v>
      </c>
      <c r="BB61" s="159" t="s">
        <v>303</v>
      </c>
      <c r="BC61" s="159" t="s">
        <v>304</v>
      </c>
      <c r="BD61" s="161" t="s">
        <v>305</v>
      </c>
    </row>
    <row r="62" spans="12:56" ht="16.5" x14ac:dyDescent="0.3">
      <c r="L62" s="775"/>
      <c r="M62" s="160" t="s">
        <v>308</v>
      </c>
      <c r="N62" s="159" t="s">
        <v>306</v>
      </c>
      <c r="O62" s="159" t="s">
        <v>307</v>
      </c>
      <c r="P62" s="161" t="s">
        <v>305</v>
      </c>
      <c r="AG62" s="160" t="s">
        <v>372</v>
      </c>
      <c r="AH62" s="159" t="s">
        <v>303</v>
      </c>
      <c r="AI62" s="159" t="s">
        <v>304</v>
      </c>
      <c r="AJ62" s="161" t="s">
        <v>305</v>
      </c>
      <c r="AL62" s="160">
        <v>394</v>
      </c>
      <c r="AM62" s="159">
        <v>393</v>
      </c>
      <c r="AN62" s="159">
        <v>1</v>
      </c>
      <c r="AO62" s="162">
        <f>AM62/AL62</f>
        <v>0.9974619289340102</v>
      </c>
      <c r="AQ62" s="160">
        <v>394</v>
      </c>
      <c r="AR62" s="159">
        <v>394</v>
      </c>
      <c r="AS62" s="159">
        <v>0</v>
      </c>
      <c r="AT62" s="162">
        <f>AR62/AQ62</f>
        <v>1</v>
      </c>
      <c r="AV62" s="160">
        <v>394</v>
      </c>
      <c r="AW62" s="159">
        <v>394</v>
      </c>
      <c r="AX62" s="159">
        <v>0</v>
      </c>
      <c r="AY62" s="162">
        <f>AW62/AV62</f>
        <v>1</v>
      </c>
      <c r="BA62" s="160">
        <v>394</v>
      </c>
      <c r="BB62" s="159">
        <v>394</v>
      </c>
      <c r="BC62" s="159">
        <v>0</v>
      </c>
      <c r="BD62" s="162">
        <f>BB62/BA62</f>
        <v>1</v>
      </c>
    </row>
    <row r="63" spans="12:56" ht="16.5" x14ac:dyDescent="0.3">
      <c r="L63" s="775"/>
      <c r="M63" s="160">
        <v>402</v>
      </c>
      <c r="N63" s="159">
        <v>388</v>
      </c>
      <c r="O63" s="159">
        <f>M63-N63</f>
        <v>14</v>
      </c>
      <c r="P63" s="162">
        <f>N63/M63</f>
        <v>0.96517412935323388</v>
      </c>
      <c r="Q63" s="108">
        <f>P57-P63</f>
        <v>-1.8745557924662481E-2</v>
      </c>
      <c r="AG63" s="160">
        <v>554</v>
      </c>
      <c r="AH63" s="159">
        <v>527</v>
      </c>
      <c r="AI63" s="159">
        <f>AG63-AH63</f>
        <v>27</v>
      </c>
      <c r="AJ63" s="162">
        <f>AH63/AG63</f>
        <v>0.95126353790613716</v>
      </c>
      <c r="AL63" s="160" t="s">
        <v>308</v>
      </c>
      <c r="AM63" s="159" t="s">
        <v>306</v>
      </c>
      <c r="AN63" s="159" t="s">
        <v>307</v>
      </c>
      <c r="AO63" s="161" t="s">
        <v>305</v>
      </c>
      <c r="AQ63" s="160" t="s">
        <v>308</v>
      </c>
      <c r="AR63" s="159" t="s">
        <v>306</v>
      </c>
      <c r="AS63" s="159" t="s">
        <v>307</v>
      </c>
      <c r="AT63" s="161" t="s">
        <v>305</v>
      </c>
      <c r="AV63" s="160" t="s">
        <v>308</v>
      </c>
      <c r="AW63" s="159" t="s">
        <v>306</v>
      </c>
      <c r="AX63" s="159" t="s">
        <v>307</v>
      </c>
      <c r="AY63" s="161" t="s">
        <v>305</v>
      </c>
      <c r="BA63" s="160" t="s">
        <v>308</v>
      </c>
      <c r="BB63" s="159" t="s">
        <v>306</v>
      </c>
      <c r="BC63" s="159" t="s">
        <v>307</v>
      </c>
      <c r="BD63" s="161" t="s">
        <v>305</v>
      </c>
    </row>
    <row r="64" spans="12:56" ht="16.5" x14ac:dyDescent="0.3">
      <c r="L64" s="775"/>
      <c r="M64" s="160" t="s">
        <v>308</v>
      </c>
      <c r="N64" s="159" t="s">
        <v>309</v>
      </c>
      <c r="O64" s="159" t="s">
        <v>310</v>
      </c>
      <c r="P64" s="161" t="s">
        <v>311</v>
      </c>
      <c r="AG64" s="160" t="s">
        <v>308</v>
      </c>
      <c r="AH64" s="159" t="s">
        <v>306</v>
      </c>
      <c r="AI64" s="159" t="s">
        <v>307</v>
      </c>
      <c r="AJ64" s="161" t="s">
        <v>305</v>
      </c>
      <c r="AL64" s="160">
        <v>393</v>
      </c>
      <c r="AM64" s="159">
        <v>378</v>
      </c>
      <c r="AN64" s="159">
        <f>AL64-AM64</f>
        <v>15</v>
      </c>
      <c r="AO64" s="162">
        <f>AM64/AL64</f>
        <v>0.96183206106870234</v>
      </c>
      <c r="AQ64" s="160">
        <v>394</v>
      </c>
      <c r="AR64" s="159">
        <v>378</v>
      </c>
      <c r="AS64" s="159">
        <f>AQ64-AR64</f>
        <v>16</v>
      </c>
      <c r="AT64" s="162">
        <f>AR64/AQ64</f>
        <v>0.95939086294416243</v>
      </c>
      <c r="AV64" s="160">
        <v>394</v>
      </c>
      <c r="AW64" s="159">
        <v>378</v>
      </c>
      <c r="AX64" s="159">
        <f>AV64-AW64</f>
        <v>16</v>
      </c>
      <c r="AY64" s="162">
        <f>AW64/AV64</f>
        <v>0.95939086294416243</v>
      </c>
      <c r="BA64" s="160">
        <v>394</v>
      </c>
      <c r="BB64" s="159">
        <v>378</v>
      </c>
      <c r="BC64" s="159">
        <f>BA64-BB64</f>
        <v>16</v>
      </c>
      <c r="BD64" s="162">
        <f>BB64/BA64</f>
        <v>0.95939086294416243</v>
      </c>
    </row>
    <row r="65" spans="12:56" ht="17.25" thickBot="1" x14ac:dyDescent="0.35">
      <c r="L65" s="776"/>
      <c r="M65" s="163">
        <v>402</v>
      </c>
      <c r="N65" s="164">
        <v>366</v>
      </c>
      <c r="O65" s="164">
        <v>36</v>
      </c>
      <c r="P65" s="165">
        <f>N65/M65</f>
        <v>0.91044776119402981</v>
      </c>
      <c r="AG65" s="160">
        <v>527</v>
      </c>
      <c r="AH65" s="159">
        <v>474</v>
      </c>
      <c r="AI65" s="159">
        <f>AG65-AH65</f>
        <v>53</v>
      </c>
      <c r="AJ65" s="162">
        <f>AH65/AG65</f>
        <v>0.89943074003795065</v>
      </c>
      <c r="AL65" s="160" t="s">
        <v>308</v>
      </c>
      <c r="AM65" s="159" t="s">
        <v>309</v>
      </c>
      <c r="AN65" s="159" t="s">
        <v>310</v>
      </c>
      <c r="AO65" s="161" t="s">
        <v>311</v>
      </c>
      <c r="AQ65" s="160" t="s">
        <v>308</v>
      </c>
      <c r="AR65" s="159" t="s">
        <v>309</v>
      </c>
      <c r="AS65" s="159" t="s">
        <v>310</v>
      </c>
      <c r="AT65" s="161" t="s">
        <v>311</v>
      </c>
      <c r="AV65" s="160" t="s">
        <v>308</v>
      </c>
      <c r="AW65" s="159" t="s">
        <v>309</v>
      </c>
      <c r="AX65" s="159" t="s">
        <v>310</v>
      </c>
      <c r="AY65" s="161" t="s">
        <v>311</v>
      </c>
      <c r="BA65" s="160" t="s">
        <v>308</v>
      </c>
      <c r="BB65" s="159" t="s">
        <v>309</v>
      </c>
      <c r="BC65" s="159" t="s">
        <v>310</v>
      </c>
      <c r="BD65" s="161" t="s">
        <v>311</v>
      </c>
    </row>
    <row r="66" spans="12:56" ht="17.25" thickBot="1" x14ac:dyDescent="0.35">
      <c r="L66" s="792" t="s">
        <v>154</v>
      </c>
      <c r="M66" s="160" t="s">
        <v>342</v>
      </c>
      <c r="N66" s="159" t="s">
        <v>303</v>
      </c>
      <c r="O66" s="159" t="s">
        <v>304</v>
      </c>
      <c r="P66" s="161" t="s">
        <v>305</v>
      </c>
      <c r="AG66" s="160" t="s">
        <v>308</v>
      </c>
      <c r="AH66" s="159" t="s">
        <v>309</v>
      </c>
      <c r="AI66" s="159" t="s">
        <v>310</v>
      </c>
      <c r="AJ66" s="161" t="s">
        <v>311</v>
      </c>
      <c r="AL66" s="163">
        <v>393</v>
      </c>
      <c r="AM66" s="164">
        <v>344</v>
      </c>
      <c r="AN66" s="164">
        <v>49</v>
      </c>
      <c r="AO66" s="165">
        <f>AM66/AL66</f>
        <v>0.87531806615776087</v>
      </c>
      <c r="AQ66" s="163">
        <v>394</v>
      </c>
      <c r="AR66" s="164">
        <v>344</v>
      </c>
      <c r="AS66" s="164">
        <f>AQ66-AR66</f>
        <v>50</v>
      </c>
      <c r="AT66" s="165">
        <f>AR66/AQ66</f>
        <v>0.87309644670050757</v>
      </c>
      <c r="AV66" s="163">
        <v>394</v>
      </c>
      <c r="AW66" s="164">
        <v>344</v>
      </c>
      <c r="AX66" s="164">
        <f>AV66-AW66</f>
        <v>50</v>
      </c>
      <c r="AY66" s="165">
        <f>AW66/AV66</f>
        <v>0.87309644670050757</v>
      </c>
      <c r="BA66" s="163">
        <v>394</v>
      </c>
      <c r="BB66" s="164">
        <v>344</v>
      </c>
      <c r="BC66" s="164">
        <f>BA66-BB66</f>
        <v>50</v>
      </c>
      <c r="BD66" s="165">
        <f>BB66/BA66</f>
        <v>0.87309644670050757</v>
      </c>
    </row>
    <row r="67" spans="12:56" ht="17.25" thickBot="1" x14ac:dyDescent="0.35">
      <c r="L67" s="793"/>
      <c r="M67" s="160">
        <v>391</v>
      </c>
      <c r="N67" s="159">
        <v>379</v>
      </c>
      <c r="O67" s="159">
        <v>12</v>
      </c>
      <c r="P67" s="162">
        <f>N67/M67</f>
        <v>0.96930946291560105</v>
      </c>
      <c r="AG67" s="163">
        <v>527</v>
      </c>
      <c r="AH67" s="164">
        <v>475</v>
      </c>
      <c r="AI67" s="164">
        <f>AG67-AH67</f>
        <v>52</v>
      </c>
      <c r="AJ67" s="165">
        <f>AH67/AG67</f>
        <v>0.90132827324478182</v>
      </c>
    </row>
    <row r="68" spans="12:56" ht="17.25" thickBot="1" x14ac:dyDescent="0.35">
      <c r="L68" s="793"/>
      <c r="M68" s="160" t="s">
        <v>308</v>
      </c>
      <c r="N68" s="159" t="s">
        <v>306</v>
      </c>
      <c r="O68" s="159" t="s">
        <v>307</v>
      </c>
      <c r="P68" s="161" t="s">
        <v>305</v>
      </c>
    </row>
    <row r="69" spans="12:56" ht="16.5" x14ac:dyDescent="0.3">
      <c r="L69" s="793"/>
      <c r="M69" s="160">
        <v>379</v>
      </c>
      <c r="N69" s="159">
        <v>346</v>
      </c>
      <c r="O69" s="159">
        <f>M69-N69</f>
        <v>33</v>
      </c>
      <c r="P69" s="162">
        <f>N69/M69</f>
        <v>0.9129287598944591</v>
      </c>
      <c r="Q69" s="108">
        <f>P57-P69</f>
        <v>3.34998115341123E-2</v>
      </c>
      <c r="AL69" s="777" t="s">
        <v>389</v>
      </c>
      <c r="AM69" s="778"/>
      <c r="AN69" s="778"/>
      <c r="AO69" s="779"/>
      <c r="AQ69" s="777" t="s">
        <v>389</v>
      </c>
      <c r="AR69" s="778"/>
      <c r="AS69" s="778"/>
      <c r="AT69" s="779"/>
      <c r="AV69" s="777" t="s">
        <v>389</v>
      </c>
      <c r="AW69" s="778"/>
      <c r="AX69" s="778"/>
      <c r="AY69" s="779"/>
      <c r="BA69" s="777" t="s">
        <v>389</v>
      </c>
      <c r="BB69" s="778"/>
      <c r="BC69" s="778"/>
      <c r="BD69" s="779"/>
    </row>
    <row r="70" spans="12:56" ht="16.5" x14ac:dyDescent="0.3">
      <c r="L70" s="793"/>
      <c r="M70" s="160" t="s">
        <v>308</v>
      </c>
      <c r="N70" s="159" t="s">
        <v>309</v>
      </c>
      <c r="O70" s="159" t="s">
        <v>310</v>
      </c>
      <c r="P70" s="161" t="s">
        <v>311</v>
      </c>
      <c r="AL70" s="160" t="s">
        <v>372</v>
      </c>
      <c r="AM70" s="159" t="s">
        <v>303</v>
      </c>
      <c r="AN70" s="159" t="s">
        <v>304</v>
      </c>
      <c r="AO70" s="161" t="s">
        <v>305</v>
      </c>
      <c r="AQ70" s="160" t="s">
        <v>399</v>
      </c>
      <c r="AR70" s="159" t="s">
        <v>303</v>
      </c>
      <c r="AS70" s="159" t="s">
        <v>304</v>
      </c>
      <c r="AT70" s="161" t="s">
        <v>305</v>
      </c>
      <c r="AV70" s="160" t="s">
        <v>399</v>
      </c>
      <c r="AW70" s="159" t="s">
        <v>303</v>
      </c>
      <c r="AX70" s="159" t="s">
        <v>304</v>
      </c>
      <c r="AY70" s="161" t="s">
        <v>305</v>
      </c>
      <c r="BA70" s="160" t="s">
        <v>399</v>
      </c>
      <c r="BB70" s="159" t="s">
        <v>303</v>
      </c>
      <c r="BC70" s="159" t="s">
        <v>304</v>
      </c>
      <c r="BD70" s="161" t="s">
        <v>305</v>
      </c>
    </row>
    <row r="71" spans="12:56" ht="17.25" thickBot="1" x14ac:dyDescent="0.35">
      <c r="L71" s="794"/>
      <c r="M71" s="163">
        <v>379</v>
      </c>
      <c r="N71" s="164">
        <v>333</v>
      </c>
      <c r="O71" s="164">
        <v>45</v>
      </c>
      <c r="P71" s="165">
        <f>N71/M71</f>
        <v>0.87862796833773082</v>
      </c>
      <c r="AL71" s="160">
        <v>331</v>
      </c>
      <c r="AM71" s="159">
        <v>324</v>
      </c>
      <c r="AN71" s="159">
        <f>AL71-AM71</f>
        <v>7</v>
      </c>
      <c r="AO71" s="162">
        <f>AM71/AL71</f>
        <v>0.97885196374622352</v>
      </c>
      <c r="AQ71" s="160">
        <v>331</v>
      </c>
      <c r="AR71" s="159">
        <v>331</v>
      </c>
      <c r="AS71" s="159">
        <f>AQ71-AR71</f>
        <v>0</v>
      </c>
      <c r="AT71" s="162">
        <f>AR71/AQ71</f>
        <v>1</v>
      </c>
      <c r="AV71" s="160">
        <v>331</v>
      </c>
      <c r="AW71" s="159">
        <v>331</v>
      </c>
      <c r="AX71" s="159">
        <f>AV71-AW71</f>
        <v>0</v>
      </c>
      <c r="AY71" s="162">
        <f>AW71/AV71</f>
        <v>1</v>
      </c>
      <c r="BA71" s="160">
        <v>331</v>
      </c>
      <c r="BB71" s="159">
        <v>331</v>
      </c>
      <c r="BC71" s="159">
        <f>BA71-BB71</f>
        <v>0</v>
      </c>
      <c r="BD71" s="162">
        <f>BB71/BA71</f>
        <v>1</v>
      </c>
    </row>
    <row r="72" spans="12:56" ht="16.5" x14ac:dyDescent="0.3">
      <c r="L72" s="792" t="s">
        <v>155</v>
      </c>
      <c r="M72" s="160" t="s">
        <v>352</v>
      </c>
      <c r="N72" s="159" t="s">
        <v>303</v>
      </c>
      <c r="O72" s="159" t="s">
        <v>304</v>
      </c>
      <c r="P72" s="161" t="s">
        <v>305</v>
      </c>
      <c r="AL72" s="160" t="s">
        <v>308</v>
      </c>
      <c r="AM72" s="159" t="s">
        <v>306</v>
      </c>
      <c r="AN72" s="159" t="s">
        <v>307</v>
      </c>
      <c r="AO72" s="161" t="s">
        <v>305</v>
      </c>
      <c r="AQ72" s="160" t="s">
        <v>308</v>
      </c>
      <c r="AR72" s="159" t="s">
        <v>306</v>
      </c>
      <c r="AS72" s="159" t="s">
        <v>307</v>
      </c>
      <c r="AT72" s="161" t="s">
        <v>305</v>
      </c>
      <c r="AV72" s="160" t="s">
        <v>308</v>
      </c>
      <c r="AW72" s="159" t="s">
        <v>306</v>
      </c>
      <c r="AX72" s="159" t="s">
        <v>307</v>
      </c>
      <c r="AY72" s="161" t="s">
        <v>305</v>
      </c>
      <c r="BA72" s="160" t="s">
        <v>308</v>
      </c>
      <c r="BB72" s="159" t="s">
        <v>306</v>
      </c>
      <c r="BC72" s="159" t="s">
        <v>307</v>
      </c>
      <c r="BD72" s="161" t="s">
        <v>305</v>
      </c>
    </row>
    <row r="73" spans="12:56" ht="16.5" x14ac:dyDescent="0.3">
      <c r="L73" s="793"/>
      <c r="M73" s="160">
        <v>626</v>
      </c>
      <c r="N73" s="159">
        <v>291</v>
      </c>
      <c r="O73" s="159">
        <v>335</v>
      </c>
      <c r="P73" s="162">
        <f>N73/M73</f>
        <v>0.46485623003194887</v>
      </c>
      <c r="AL73" s="160">
        <v>324</v>
      </c>
      <c r="AM73" s="159">
        <v>311</v>
      </c>
      <c r="AN73" s="159">
        <f>AL73-AM73</f>
        <v>13</v>
      </c>
      <c r="AO73" s="162">
        <f>AM73/AL73</f>
        <v>0.95987654320987659</v>
      </c>
      <c r="AQ73" s="160">
        <v>331</v>
      </c>
      <c r="AR73" s="159">
        <v>315</v>
      </c>
      <c r="AS73" s="159">
        <f>AQ73-AR73</f>
        <v>16</v>
      </c>
      <c r="AT73" s="162">
        <f>AR73/AQ73</f>
        <v>0.95166163141993954</v>
      </c>
      <c r="AV73" s="160">
        <v>331</v>
      </c>
      <c r="AW73" s="159">
        <v>315</v>
      </c>
      <c r="AX73" s="159">
        <f>AV73-AW73</f>
        <v>16</v>
      </c>
      <c r="AY73" s="162">
        <f>AW73/AV73</f>
        <v>0.95166163141993954</v>
      </c>
      <c r="BA73" s="160">
        <v>331</v>
      </c>
      <c r="BB73" s="159">
        <v>315</v>
      </c>
      <c r="BC73" s="159">
        <f>BA73-BB73</f>
        <v>16</v>
      </c>
      <c r="BD73" s="162">
        <f>BB73/BA73</f>
        <v>0.95166163141993954</v>
      </c>
    </row>
    <row r="74" spans="12:56" ht="16.5" x14ac:dyDescent="0.3">
      <c r="L74" s="793"/>
      <c r="M74" s="160" t="s">
        <v>308</v>
      </c>
      <c r="N74" s="159" t="s">
        <v>306</v>
      </c>
      <c r="O74" s="159" t="s">
        <v>307</v>
      </c>
      <c r="P74" s="161" t="s">
        <v>305</v>
      </c>
      <c r="AL74" s="160" t="s">
        <v>308</v>
      </c>
      <c r="AM74" s="159" t="s">
        <v>309</v>
      </c>
      <c r="AN74" s="159" t="s">
        <v>310</v>
      </c>
      <c r="AO74" s="161" t="s">
        <v>311</v>
      </c>
      <c r="AQ74" s="160" t="s">
        <v>308</v>
      </c>
      <c r="AR74" s="159" t="s">
        <v>309</v>
      </c>
      <c r="AS74" s="159" t="s">
        <v>310</v>
      </c>
      <c r="AT74" s="161" t="s">
        <v>311</v>
      </c>
      <c r="AV74" s="160" t="s">
        <v>308</v>
      </c>
      <c r="AW74" s="159" t="s">
        <v>309</v>
      </c>
      <c r="AX74" s="159" t="s">
        <v>310</v>
      </c>
      <c r="AY74" s="161" t="s">
        <v>311</v>
      </c>
      <c r="BA74" s="160" t="s">
        <v>308</v>
      </c>
      <c r="BB74" s="159" t="s">
        <v>309</v>
      </c>
      <c r="BC74" s="159" t="s">
        <v>310</v>
      </c>
      <c r="BD74" s="161" t="s">
        <v>311</v>
      </c>
    </row>
    <row r="75" spans="12:56" ht="17.25" thickBot="1" x14ac:dyDescent="0.35">
      <c r="L75" s="793"/>
      <c r="M75" s="160">
        <f>N73</f>
        <v>291</v>
      </c>
      <c r="N75" s="159">
        <v>271</v>
      </c>
      <c r="O75" s="159">
        <f>M75-N75</f>
        <v>20</v>
      </c>
      <c r="P75" s="162">
        <f>N75/M75</f>
        <v>0.93127147766323026</v>
      </c>
      <c r="Q75" s="108">
        <f>P57-P75</f>
        <v>1.5157093765341134E-2</v>
      </c>
      <c r="AL75" s="163">
        <v>324</v>
      </c>
      <c r="AM75" s="164">
        <v>289</v>
      </c>
      <c r="AN75" s="164">
        <v>35</v>
      </c>
      <c r="AO75" s="165">
        <f>AM75/AL75</f>
        <v>0.89197530864197527</v>
      </c>
      <c r="AQ75" s="163">
        <v>331</v>
      </c>
      <c r="AR75" s="164">
        <v>295</v>
      </c>
      <c r="AS75" s="164">
        <f>AQ75-AR75</f>
        <v>36</v>
      </c>
      <c r="AT75" s="165">
        <f>AR75/AQ75</f>
        <v>0.89123867069486407</v>
      </c>
      <c r="AV75" s="163">
        <v>331</v>
      </c>
      <c r="AW75" s="164">
        <v>295</v>
      </c>
      <c r="AX75" s="164">
        <f>AV75-AW75</f>
        <v>36</v>
      </c>
      <c r="AY75" s="165">
        <f>AW75/AV75</f>
        <v>0.89123867069486407</v>
      </c>
      <c r="BA75" s="163">
        <v>331</v>
      </c>
      <c r="BB75" s="164">
        <v>295</v>
      </c>
      <c r="BC75" s="164">
        <f>BA75-BB75</f>
        <v>36</v>
      </c>
      <c r="BD75" s="165">
        <f>BB75/BA75</f>
        <v>0.89123867069486407</v>
      </c>
    </row>
    <row r="76" spans="12:56" ht="16.5" x14ac:dyDescent="0.3">
      <c r="L76" s="793"/>
      <c r="M76" s="160" t="s">
        <v>308</v>
      </c>
      <c r="N76" s="159" t="s">
        <v>309</v>
      </c>
      <c r="O76" s="159" t="s">
        <v>310</v>
      </c>
      <c r="P76" s="161" t="s">
        <v>311</v>
      </c>
    </row>
    <row r="77" spans="12:56" ht="17.25" thickBot="1" x14ac:dyDescent="0.35">
      <c r="L77" s="794"/>
      <c r="M77" s="163">
        <v>291</v>
      </c>
      <c r="N77" s="164">
        <v>268</v>
      </c>
      <c r="O77" s="164">
        <v>23</v>
      </c>
      <c r="P77" s="165">
        <f>N77/M77</f>
        <v>0.92096219931271472</v>
      </c>
    </row>
    <row r="78" spans="12:56" ht="16.5" x14ac:dyDescent="0.3">
      <c r="L78" s="792" t="s">
        <v>156</v>
      </c>
      <c r="M78" s="160" t="s">
        <v>362</v>
      </c>
      <c r="N78" s="159" t="s">
        <v>303</v>
      </c>
      <c r="O78" s="159" t="s">
        <v>304</v>
      </c>
      <c r="P78" s="161" t="s">
        <v>305</v>
      </c>
      <c r="AG78" s="777" t="s">
        <v>396</v>
      </c>
      <c r="AH78" s="778"/>
      <c r="AI78" s="778"/>
      <c r="AJ78" s="779"/>
      <c r="AQ78" s="777" t="s">
        <v>396</v>
      </c>
      <c r="AR78" s="778"/>
      <c r="AS78" s="778"/>
      <c r="AT78" s="779"/>
      <c r="AV78" s="777" t="s">
        <v>396</v>
      </c>
      <c r="AW78" s="778"/>
      <c r="AX78" s="778"/>
      <c r="AY78" s="779"/>
      <c r="BA78" s="777" t="s">
        <v>396</v>
      </c>
      <c r="BB78" s="778"/>
      <c r="BC78" s="778"/>
      <c r="BD78" s="779"/>
    </row>
    <row r="79" spans="12:56" ht="16.5" x14ac:dyDescent="0.3">
      <c r="L79" s="793"/>
      <c r="M79" s="160">
        <v>329</v>
      </c>
      <c r="N79" s="159">
        <v>324</v>
      </c>
      <c r="O79" s="159">
        <v>5</v>
      </c>
      <c r="P79" s="162">
        <f>N79/M79</f>
        <v>0.98480243161094227</v>
      </c>
      <c r="AG79" s="160" t="s">
        <v>398</v>
      </c>
      <c r="AH79" s="159" t="s">
        <v>303</v>
      </c>
      <c r="AI79" s="159" t="s">
        <v>304</v>
      </c>
      <c r="AJ79" s="161" t="s">
        <v>305</v>
      </c>
      <c r="AQ79" s="160" t="s">
        <v>398</v>
      </c>
      <c r="AR79" s="159" t="s">
        <v>303</v>
      </c>
      <c r="AS79" s="159" t="s">
        <v>304</v>
      </c>
      <c r="AT79" s="161" t="s">
        <v>305</v>
      </c>
      <c r="AV79" s="160" t="s">
        <v>398</v>
      </c>
      <c r="AW79" s="159" t="s">
        <v>303</v>
      </c>
      <c r="AX79" s="159" t="s">
        <v>304</v>
      </c>
      <c r="AY79" s="161" t="s">
        <v>305</v>
      </c>
      <c r="BA79" s="160" t="s">
        <v>398</v>
      </c>
      <c r="BB79" s="159" t="s">
        <v>303</v>
      </c>
      <c r="BC79" s="159" t="s">
        <v>304</v>
      </c>
      <c r="BD79" s="161" t="s">
        <v>305</v>
      </c>
    </row>
    <row r="80" spans="12:56" ht="16.5" x14ac:dyDescent="0.3">
      <c r="L80" s="793"/>
      <c r="M80" s="160" t="s">
        <v>308</v>
      </c>
      <c r="N80" s="159" t="s">
        <v>306</v>
      </c>
      <c r="O80" s="159" t="s">
        <v>307</v>
      </c>
      <c r="P80" s="161" t="s">
        <v>305</v>
      </c>
      <c r="AG80" s="160">
        <v>369</v>
      </c>
      <c r="AH80" s="159">
        <v>366</v>
      </c>
      <c r="AI80" s="159">
        <f>AG80-AH80</f>
        <v>3</v>
      </c>
      <c r="AJ80" s="162">
        <f>AH80/AG80</f>
        <v>0.99186991869918695</v>
      </c>
      <c r="AQ80" s="160">
        <v>369</v>
      </c>
      <c r="AR80" s="159">
        <v>366</v>
      </c>
      <c r="AS80" s="159">
        <f>AQ80-AR80</f>
        <v>3</v>
      </c>
      <c r="AT80" s="162">
        <f>AR80/AQ80</f>
        <v>0.99186991869918695</v>
      </c>
      <c r="AV80" s="160">
        <v>369</v>
      </c>
      <c r="AW80" s="159">
        <v>369</v>
      </c>
      <c r="AX80" s="159">
        <f>AV80-AW80</f>
        <v>0</v>
      </c>
      <c r="AY80" s="162">
        <f>AW80/AV80</f>
        <v>1</v>
      </c>
      <c r="BA80" s="160">
        <v>369</v>
      </c>
      <c r="BB80" s="159">
        <v>369</v>
      </c>
      <c r="BC80" s="159">
        <f>BA80-BB80</f>
        <v>0</v>
      </c>
      <c r="BD80" s="162">
        <f>BB80/BA80</f>
        <v>1</v>
      </c>
    </row>
    <row r="81" spans="12:56" ht="16.5" x14ac:dyDescent="0.3">
      <c r="L81" s="793"/>
      <c r="M81" s="160">
        <f>N79</f>
        <v>324</v>
      </c>
      <c r="N81" s="159">
        <v>304</v>
      </c>
      <c r="O81" s="159">
        <f>M81-N81</f>
        <v>20</v>
      </c>
      <c r="P81" s="162">
        <f>N81/M81</f>
        <v>0.93827160493827155</v>
      </c>
      <c r="Q81" s="108">
        <f>P57-P81</f>
        <v>8.156966490299844E-3</v>
      </c>
      <c r="R81" s="108">
        <f>P63-P81</f>
        <v>2.6902524414962325E-2</v>
      </c>
      <c r="S81" s="108">
        <f>P69-P81</f>
        <v>-2.5342845043812456E-2</v>
      </c>
      <c r="T81" s="108">
        <f>P75-P81</f>
        <v>-7.0001272750412902E-3</v>
      </c>
      <c r="AG81" s="160" t="s">
        <v>308</v>
      </c>
      <c r="AH81" s="159" t="s">
        <v>306</v>
      </c>
      <c r="AI81" s="159" t="s">
        <v>307</v>
      </c>
      <c r="AJ81" s="161" t="s">
        <v>305</v>
      </c>
      <c r="AQ81" s="160" t="s">
        <v>308</v>
      </c>
      <c r="AR81" s="159" t="s">
        <v>306</v>
      </c>
      <c r="AS81" s="159" t="s">
        <v>307</v>
      </c>
      <c r="AT81" s="161" t="s">
        <v>305</v>
      </c>
      <c r="AV81" s="160" t="s">
        <v>308</v>
      </c>
      <c r="AW81" s="159" t="s">
        <v>306</v>
      </c>
      <c r="AX81" s="159" t="s">
        <v>307</v>
      </c>
      <c r="AY81" s="161" t="s">
        <v>305</v>
      </c>
      <c r="BA81" s="160" t="s">
        <v>308</v>
      </c>
      <c r="BB81" s="159" t="s">
        <v>306</v>
      </c>
      <c r="BC81" s="159" t="s">
        <v>307</v>
      </c>
      <c r="BD81" s="161" t="s">
        <v>305</v>
      </c>
    </row>
    <row r="82" spans="12:56" ht="16.5" x14ac:dyDescent="0.3">
      <c r="L82" s="793"/>
      <c r="M82" s="160" t="s">
        <v>308</v>
      </c>
      <c r="N82" s="159" t="s">
        <v>309</v>
      </c>
      <c r="O82" s="159" t="s">
        <v>310</v>
      </c>
      <c r="P82" s="161" t="s">
        <v>311</v>
      </c>
      <c r="AG82" s="160">
        <v>366</v>
      </c>
      <c r="AH82" s="159">
        <v>345</v>
      </c>
      <c r="AI82" s="159">
        <f>AG82-AH82</f>
        <v>21</v>
      </c>
      <c r="AJ82" s="162">
        <f>AH82/AG82</f>
        <v>0.94262295081967218</v>
      </c>
      <c r="AQ82" s="160">
        <v>366</v>
      </c>
      <c r="AR82" s="159">
        <v>345</v>
      </c>
      <c r="AS82" s="159">
        <f>AQ82-AR82</f>
        <v>21</v>
      </c>
      <c r="AT82" s="162">
        <f>AR82/AQ82</f>
        <v>0.94262295081967218</v>
      </c>
      <c r="AV82" s="160">
        <v>369</v>
      </c>
      <c r="AW82" s="159">
        <v>350</v>
      </c>
      <c r="AX82" s="159">
        <f>AV82-AW82</f>
        <v>19</v>
      </c>
      <c r="AY82" s="162">
        <f>AW82/AV82</f>
        <v>0.948509485094851</v>
      </c>
      <c r="BA82" s="160">
        <v>369</v>
      </c>
      <c r="BB82" s="159">
        <v>350</v>
      </c>
      <c r="BC82" s="159">
        <f>BA82-BB82</f>
        <v>19</v>
      </c>
      <c r="BD82" s="162">
        <f>BB82/BA82</f>
        <v>0.948509485094851</v>
      </c>
    </row>
    <row r="83" spans="12:56" ht="17.25" thickBot="1" x14ac:dyDescent="0.35">
      <c r="L83" s="794"/>
      <c r="M83" s="163">
        <f>M81</f>
        <v>324</v>
      </c>
      <c r="N83" s="164">
        <v>284</v>
      </c>
      <c r="O83" s="164">
        <v>40</v>
      </c>
      <c r="P83" s="165">
        <f>N83/M83</f>
        <v>0.87654320987654322</v>
      </c>
      <c r="Q83" s="108">
        <f>P75-P81</f>
        <v>-7.0001272750412902E-3</v>
      </c>
      <c r="AG83" s="160" t="s">
        <v>308</v>
      </c>
      <c r="AH83" s="159" t="s">
        <v>309</v>
      </c>
      <c r="AI83" s="159" t="s">
        <v>310</v>
      </c>
      <c r="AJ83" s="161" t="s">
        <v>311</v>
      </c>
      <c r="AQ83" s="160" t="s">
        <v>308</v>
      </c>
      <c r="AR83" s="159" t="s">
        <v>309</v>
      </c>
      <c r="AS83" s="159" t="s">
        <v>310</v>
      </c>
      <c r="AT83" s="161" t="s">
        <v>311</v>
      </c>
      <c r="AV83" s="160" t="s">
        <v>308</v>
      </c>
      <c r="AW83" s="159" t="s">
        <v>309</v>
      </c>
      <c r="AX83" s="159" t="s">
        <v>310</v>
      </c>
      <c r="AY83" s="161" t="s">
        <v>311</v>
      </c>
      <c r="BA83" s="160" t="s">
        <v>308</v>
      </c>
      <c r="BB83" s="159" t="s">
        <v>309</v>
      </c>
      <c r="BC83" s="159" t="s">
        <v>310</v>
      </c>
      <c r="BD83" s="161" t="s">
        <v>311</v>
      </c>
    </row>
    <row r="84" spans="12:56" ht="16.5" customHeight="1" thickBot="1" x14ac:dyDescent="0.35">
      <c r="L84" s="792" t="s">
        <v>157</v>
      </c>
      <c r="M84" s="160" t="s">
        <v>372</v>
      </c>
      <c r="N84" s="159" t="s">
        <v>303</v>
      </c>
      <c r="O84" s="159" t="s">
        <v>304</v>
      </c>
      <c r="P84" s="161" t="s">
        <v>305</v>
      </c>
      <c r="AG84" s="163">
        <v>366</v>
      </c>
      <c r="AH84" s="164">
        <v>323</v>
      </c>
      <c r="AI84" s="164">
        <f>AG84-AH84</f>
        <v>43</v>
      </c>
      <c r="AJ84" s="165">
        <f>AH84/AG84</f>
        <v>0.88251366120218577</v>
      </c>
      <c r="AQ84" s="163">
        <v>366</v>
      </c>
      <c r="AR84" s="164">
        <v>323</v>
      </c>
      <c r="AS84" s="164">
        <f>AQ84-AR84</f>
        <v>43</v>
      </c>
      <c r="AT84" s="165">
        <f>AR84/AQ84</f>
        <v>0.88251366120218577</v>
      </c>
      <c r="AV84" s="163">
        <v>369</v>
      </c>
      <c r="AW84" s="164">
        <v>325</v>
      </c>
      <c r="AX84" s="164">
        <f>AV84-AW84</f>
        <v>44</v>
      </c>
      <c r="AY84" s="165">
        <f>AW84/AV84</f>
        <v>0.8807588075880759</v>
      </c>
      <c r="BA84" s="163">
        <v>369</v>
      </c>
      <c r="BB84" s="164">
        <v>325</v>
      </c>
      <c r="BC84" s="164">
        <f>BA84-BB84</f>
        <v>44</v>
      </c>
      <c r="BD84" s="165">
        <f>BB84/BA84</f>
        <v>0.8807588075880759</v>
      </c>
    </row>
    <row r="85" spans="12:56" ht="16.5" x14ac:dyDescent="0.3">
      <c r="L85" s="793"/>
      <c r="M85" s="160">
        <v>316</v>
      </c>
      <c r="N85" s="159">
        <v>310</v>
      </c>
      <c r="O85" s="159">
        <v>6</v>
      </c>
      <c r="P85" s="162">
        <v>0.98101265822784811</v>
      </c>
    </row>
    <row r="86" spans="12:56" ht="17.25" thickBot="1" x14ac:dyDescent="0.35">
      <c r="L86" s="793"/>
      <c r="M86" s="160" t="s">
        <v>308</v>
      </c>
      <c r="N86" s="159" t="s">
        <v>306</v>
      </c>
      <c r="O86" s="159" t="s">
        <v>307</v>
      </c>
      <c r="P86" s="161" t="s">
        <v>305</v>
      </c>
    </row>
    <row r="87" spans="12:56" ht="16.5" x14ac:dyDescent="0.3">
      <c r="L87" s="793"/>
      <c r="M87" s="160">
        <v>310</v>
      </c>
      <c r="N87" s="159">
        <v>299</v>
      </c>
      <c r="O87" s="159">
        <v>11</v>
      </c>
      <c r="P87" s="162">
        <v>0.96451612903225803</v>
      </c>
      <c r="Q87" s="108">
        <f>P57-P87</f>
        <v>-1.8087557603686633E-2</v>
      </c>
      <c r="AV87" s="777" t="s">
        <v>425</v>
      </c>
      <c r="AW87" s="778"/>
      <c r="AX87" s="778"/>
      <c r="AY87" s="779"/>
      <c r="BA87" s="777" t="s">
        <v>425</v>
      </c>
      <c r="BB87" s="778"/>
      <c r="BC87" s="778"/>
      <c r="BD87" s="779"/>
    </row>
    <row r="88" spans="12:56" ht="16.5" x14ac:dyDescent="0.3">
      <c r="L88" s="793"/>
      <c r="M88" s="160" t="s">
        <v>308</v>
      </c>
      <c r="N88" s="159" t="s">
        <v>309</v>
      </c>
      <c r="O88" s="159" t="s">
        <v>310</v>
      </c>
      <c r="P88" s="161" t="s">
        <v>311</v>
      </c>
      <c r="Q88" s="108">
        <f>P81-P87</f>
        <v>-2.6244524093986477E-2</v>
      </c>
      <c r="AV88" s="160" t="s">
        <v>426</v>
      </c>
      <c r="AW88" s="159" t="s">
        <v>303</v>
      </c>
      <c r="AX88" s="159" t="s">
        <v>304</v>
      </c>
      <c r="AY88" s="161" t="s">
        <v>305</v>
      </c>
      <c r="BA88" s="160" t="s">
        <v>426</v>
      </c>
      <c r="BB88" s="159" t="s">
        <v>303</v>
      </c>
      <c r="BC88" s="159" t="s">
        <v>304</v>
      </c>
      <c r="BD88" s="161" t="s">
        <v>305</v>
      </c>
    </row>
    <row r="89" spans="12:56" ht="17.25" thickBot="1" x14ac:dyDescent="0.35">
      <c r="L89" s="794"/>
      <c r="M89" s="163">
        <v>310</v>
      </c>
      <c r="N89" s="164">
        <v>273</v>
      </c>
      <c r="O89" s="164">
        <v>37</v>
      </c>
      <c r="P89" s="165">
        <v>0.88064516129032255</v>
      </c>
      <c r="AV89" s="160">
        <v>556</v>
      </c>
      <c r="AW89" s="159">
        <v>553</v>
      </c>
      <c r="AX89" s="159">
        <f>AV89-AW89</f>
        <v>3</v>
      </c>
      <c r="AY89" s="162">
        <f>AW89/AV89</f>
        <v>0.99460431654676262</v>
      </c>
      <c r="BA89" s="160">
        <v>556</v>
      </c>
      <c r="BB89" s="159">
        <v>556</v>
      </c>
      <c r="BC89" s="159">
        <f>BA89-BB89</f>
        <v>0</v>
      </c>
      <c r="BD89" s="162">
        <f>BB89/BA89</f>
        <v>1</v>
      </c>
    </row>
    <row r="90" spans="12:56" ht="16.5" x14ac:dyDescent="0.3">
      <c r="L90" s="780" t="s">
        <v>158</v>
      </c>
      <c r="M90" s="160" t="s">
        <v>372</v>
      </c>
      <c r="N90" s="159" t="s">
        <v>303</v>
      </c>
      <c r="O90" s="159" t="s">
        <v>304</v>
      </c>
      <c r="P90" s="161" t="s">
        <v>305</v>
      </c>
      <c r="AV90" s="160" t="s">
        <v>308</v>
      </c>
      <c r="AW90" s="159" t="s">
        <v>306</v>
      </c>
      <c r="AX90" s="159" t="s">
        <v>307</v>
      </c>
      <c r="AY90" s="161" t="s">
        <v>305</v>
      </c>
      <c r="BA90" s="160" t="s">
        <v>308</v>
      </c>
      <c r="BB90" s="159" t="s">
        <v>306</v>
      </c>
      <c r="BC90" s="159" t="s">
        <v>307</v>
      </c>
      <c r="BD90" s="161" t="s">
        <v>305</v>
      </c>
    </row>
    <row r="91" spans="12:56" ht="16.5" x14ac:dyDescent="0.3">
      <c r="L91" s="781"/>
      <c r="M91" s="160">
        <v>394</v>
      </c>
      <c r="N91" s="159">
        <v>389</v>
      </c>
      <c r="O91" s="159">
        <f>M91-N91</f>
        <v>5</v>
      </c>
      <c r="P91" s="162">
        <f>N91/M91</f>
        <v>0.98730964467005078</v>
      </c>
      <c r="AV91" s="159">
        <v>553</v>
      </c>
      <c r="AW91" s="159">
        <v>544</v>
      </c>
      <c r="AX91" s="159">
        <f>AV91-AW91</f>
        <v>9</v>
      </c>
      <c r="AY91" s="162">
        <f>AW91/AV91</f>
        <v>0.98372513562386976</v>
      </c>
      <c r="BA91" s="160">
        <v>556</v>
      </c>
      <c r="BB91" s="159">
        <v>547</v>
      </c>
      <c r="BC91" s="159">
        <f>BA91-BB91</f>
        <v>9</v>
      </c>
      <c r="BD91" s="162">
        <f>BB91/BA91</f>
        <v>0.98381294964028776</v>
      </c>
    </row>
    <row r="92" spans="12:56" ht="16.5" x14ac:dyDescent="0.3">
      <c r="L92" s="781"/>
      <c r="M92" s="160" t="s">
        <v>308</v>
      </c>
      <c r="N92" s="159" t="s">
        <v>306</v>
      </c>
      <c r="O92" s="159" t="s">
        <v>307</v>
      </c>
      <c r="P92" s="161" t="s">
        <v>305</v>
      </c>
      <c r="AV92" s="160" t="s">
        <v>308</v>
      </c>
      <c r="AW92" s="159" t="s">
        <v>309</v>
      </c>
      <c r="AX92" s="159" t="s">
        <v>310</v>
      </c>
      <c r="AY92" s="161" t="s">
        <v>311</v>
      </c>
      <c r="BA92" s="160" t="s">
        <v>308</v>
      </c>
      <c r="BB92" s="159" t="s">
        <v>309</v>
      </c>
      <c r="BC92" s="159" t="s">
        <v>310</v>
      </c>
      <c r="BD92" s="161" t="s">
        <v>311</v>
      </c>
    </row>
    <row r="93" spans="12:56" ht="17.25" thickBot="1" x14ac:dyDescent="0.35">
      <c r="L93" s="781"/>
      <c r="M93" s="160">
        <v>387</v>
      </c>
      <c r="N93" s="159">
        <v>377</v>
      </c>
      <c r="O93" s="159">
        <v>12</v>
      </c>
      <c r="P93" s="162">
        <f>N93/M93</f>
        <v>0.97416020671834624</v>
      </c>
      <c r="Q93" s="108">
        <f>P63-P93</f>
        <v>-8.986077365112366E-3</v>
      </c>
      <c r="R93" s="108">
        <f>P93-P87</f>
        <v>9.6440776860882149E-3</v>
      </c>
      <c r="AV93" s="163">
        <v>553</v>
      </c>
      <c r="AW93" s="164">
        <v>513</v>
      </c>
      <c r="AX93" s="164">
        <f>AV93-AW93</f>
        <v>40</v>
      </c>
      <c r="AY93" s="165">
        <f>AW93/AV93</f>
        <v>0.92766726943942135</v>
      </c>
      <c r="BA93" s="163">
        <v>553</v>
      </c>
      <c r="BB93" s="164">
        <v>513</v>
      </c>
      <c r="BC93" s="164">
        <f>BA93-BB93</f>
        <v>40</v>
      </c>
      <c r="BD93" s="165">
        <f>BB93/BA93</f>
        <v>0.92766726943942135</v>
      </c>
    </row>
    <row r="94" spans="12:56" ht="16.5" x14ac:dyDescent="0.3">
      <c r="L94" s="781"/>
      <c r="M94" s="160" t="s">
        <v>308</v>
      </c>
      <c r="N94" s="159" t="s">
        <v>309</v>
      </c>
      <c r="O94" s="159" t="s">
        <v>310</v>
      </c>
      <c r="P94" s="161" t="s">
        <v>311</v>
      </c>
    </row>
    <row r="95" spans="12:56" ht="17.25" thickBot="1" x14ac:dyDescent="0.35">
      <c r="L95" s="782"/>
      <c r="M95" s="163">
        <v>387</v>
      </c>
      <c r="N95" s="164">
        <v>342</v>
      </c>
      <c r="O95" s="164">
        <v>47</v>
      </c>
      <c r="P95" s="165">
        <f>N95/M95</f>
        <v>0.88372093023255816</v>
      </c>
      <c r="Q95" s="108">
        <f>P93-P57</f>
        <v>2.7731635289774847E-2</v>
      </c>
    </row>
    <row r="96" spans="12:56" ht="16.5" customHeight="1" x14ac:dyDescent="0.3">
      <c r="L96" s="780" t="s">
        <v>384</v>
      </c>
      <c r="M96" s="160" t="s">
        <v>372</v>
      </c>
      <c r="N96" s="159" t="s">
        <v>303</v>
      </c>
      <c r="O96" s="159" t="s">
        <v>304</v>
      </c>
      <c r="P96" s="161" t="s">
        <v>305</v>
      </c>
      <c r="BA96" s="777" t="s">
        <v>430</v>
      </c>
      <c r="BB96" s="778"/>
      <c r="BC96" s="778"/>
      <c r="BD96" s="779"/>
    </row>
    <row r="97" spans="12:56" ht="16.5" x14ac:dyDescent="0.3">
      <c r="L97" s="781"/>
      <c r="M97" s="160">
        <v>331</v>
      </c>
      <c r="N97" s="159">
        <v>324</v>
      </c>
      <c r="O97" s="159">
        <f>M97-N97</f>
        <v>7</v>
      </c>
      <c r="P97" s="162">
        <f>N97/M97</f>
        <v>0.97885196374622352</v>
      </c>
      <c r="Q97" s="108">
        <f>P91-P97</f>
        <v>8.4576809238272599E-3</v>
      </c>
      <c r="BA97" s="160" t="s">
        <v>427</v>
      </c>
      <c r="BB97" s="159" t="s">
        <v>303</v>
      </c>
      <c r="BC97" s="159" t="s">
        <v>304</v>
      </c>
      <c r="BD97" s="161" t="s">
        <v>305</v>
      </c>
    </row>
    <row r="98" spans="12:56" ht="16.5" x14ac:dyDescent="0.3">
      <c r="L98" s="781"/>
      <c r="M98" s="160" t="s">
        <v>308</v>
      </c>
      <c r="N98" s="159" t="s">
        <v>306</v>
      </c>
      <c r="O98" s="159" t="s">
        <v>307</v>
      </c>
      <c r="P98" s="161" t="s">
        <v>305</v>
      </c>
      <c r="BA98" s="160">
        <v>446</v>
      </c>
      <c r="BB98" s="159">
        <v>446</v>
      </c>
      <c r="BC98" s="159">
        <f>BA98-BB98</f>
        <v>0</v>
      </c>
      <c r="BD98" s="162">
        <f>BB98/BA98</f>
        <v>1</v>
      </c>
    </row>
    <row r="99" spans="12:56" ht="16.5" x14ac:dyDescent="0.3">
      <c r="L99" s="781"/>
      <c r="M99" s="160">
        <v>324</v>
      </c>
      <c r="N99" s="159">
        <v>311</v>
      </c>
      <c r="O99" s="159">
        <f>M99-N99</f>
        <v>13</v>
      </c>
      <c r="P99" s="162">
        <f>N99/M99</f>
        <v>0.95987654320987659</v>
      </c>
      <c r="Q99" s="108">
        <f>P57-P99</f>
        <v>-1.344797178130519E-2</v>
      </c>
      <c r="BA99" s="160" t="s">
        <v>308</v>
      </c>
      <c r="BB99" s="159" t="s">
        <v>306</v>
      </c>
      <c r="BC99" s="159" t="s">
        <v>307</v>
      </c>
      <c r="BD99" s="161" t="s">
        <v>305</v>
      </c>
    </row>
    <row r="100" spans="12:56" ht="16.5" x14ac:dyDescent="0.3">
      <c r="L100" s="781"/>
      <c r="M100" s="160" t="s">
        <v>308</v>
      </c>
      <c r="N100" s="159" t="s">
        <v>309</v>
      </c>
      <c r="O100" s="159" t="s">
        <v>310</v>
      </c>
      <c r="P100" s="161" t="s">
        <v>311</v>
      </c>
      <c r="Q100" s="108">
        <f>P93-P99</f>
        <v>1.4283663508469657E-2</v>
      </c>
      <c r="BA100" s="160">
        <v>446</v>
      </c>
      <c r="BB100" s="159">
        <v>437</v>
      </c>
      <c r="BC100" s="159">
        <f>BA100-BB100</f>
        <v>9</v>
      </c>
      <c r="BD100" s="162">
        <f>BB100/BA100</f>
        <v>0.97982062780269064</v>
      </c>
    </row>
    <row r="101" spans="12:56" ht="17.25" thickBot="1" x14ac:dyDescent="0.35">
      <c r="L101" s="782"/>
      <c r="M101" s="163">
        <v>324</v>
      </c>
      <c r="N101" s="164">
        <v>289</v>
      </c>
      <c r="O101" s="164">
        <v>35</v>
      </c>
      <c r="P101" s="165">
        <f>N101/M101</f>
        <v>0.89197530864197527</v>
      </c>
      <c r="BA101" s="160" t="s">
        <v>308</v>
      </c>
      <c r="BB101" s="159" t="s">
        <v>309</v>
      </c>
      <c r="BC101" s="159" t="s">
        <v>310</v>
      </c>
      <c r="BD101" s="161" t="s">
        <v>311</v>
      </c>
    </row>
    <row r="102" spans="12:56" ht="20.100000000000001" customHeight="1" thickBot="1" x14ac:dyDescent="0.35">
      <c r="L102" s="780" t="s">
        <v>160</v>
      </c>
      <c r="M102" s="160" t="s">
        <v>398</v>
      </c>
      <c r="N102" s="159" t="s">
        <v>303</v>
      </c>
      <c r="O102" s="159" t="s">
        <v>304</v>
      </c>
      <c r="P102" s="161" t="s">
        <v>305</v>
      </c>
      <c r="BA102" s="163">
        <v>446</v>
      </c>
      <c r="BB102" s="164">
        <v>405</v>
      </c>
      <c r="BC102" s="164">
        <f>BA102-BB102</f>
        <v>41</v>
      </c>
      <c r="BD102" s="165">
        <f>BB102/BA102</f>
        <v>0.90807174887892372</v>
      </c>
    </row>
    <row r="103" spans="12:56" ht="20.100000000000001" customHeight="1" x14ac:dyDescent="0.3">
      <c r="L103" s="781"/>
      <c r="M103" s="160">
        <v>369</v>
      </c>
      <c r="N103" s="159">
        <v>366</v>
      </c>
      <c r="O103" s="159">
        <v>3</v>
      </c>
      <c r="P103" s="162">
        <v>0.99186991869918695</v>
      </c>
    </row>
    <row r="104" spans="12:56" ht="20.100000000000001" customHeight="1" thickBot="1" x14ac:dyDescent="0.35">
      <c r="L104" s="781"/>
      <c r="M104" s="160" t="s">
        <v>308</v>
      </c>
      <c r="N104" s="159" t="s">
        <v>306</v>
      </c>
      <c r="O104" s="159" t="s">
        <v>307</v>
      </c>
      <c r="P104" s="161" t="s">
        <v>305</v>
      </c>
      <c r="Q104" s="108">
        <f>P99-P105</f>
        <v>1.7253592390204409E-2</v>
      </c>
    </row>
    <row r="105" spans="12:56" ht="20.100000000000001" customHeight="1" x14ac:dyDescent="0.3">
      <c r="L105" s="781"/>
      <c r="M105" s="160">
        <v>366</v>
      </c>
      <c r="N105" s="159">
        <v>345</v>
      </c>
      <c r="O105" s="159">
        <v>21</v>
      </c>
      <c r="P105" s="162">
        <v>0.94262295081967218</v>
      </c>
      <c r="Q105" s="108">
        <f>P93-P105</f>
        <v>3.1537255898674066E-2</v>
      </c>
      <c r="BA105" s="777" t="s">
        <v>428</v>
      </c>
      <c r="BB105" s="778"/>
      <c r="BC105" s="778"/>
      <c r="BD105" s="779"/>
    </row>
    <row r="106" spans="12:56" ht="20.100000000000001" customHeight="1" x14ac:dyDescent="0.3">
      <c r="L106" s="781"/>
      <c r="M106" s="160" t="s">
        <v>308</v>
      </c>
      <c r="N106" s="159" t="s">
        <v>309</v>
      </c>
      <c r="O106" s="159" t="s">
        <v>310</v>
      </c>
      <c r="P106" s="161" t="s">
        <v>311</v>
      </c>
      <c r="BA106" s="160" t="s">
        <v>429</v>
      </c>
      <c r="BB106" s="159" t="s">
        <v>303</v>
      </c>
      <c r="BC106" s="159" t="s">
        <v>304</v>
      </c>
      <c r="BD106" s="161" t="s">
        <v>305</v>
      </c>
    </row>
    <row r="107" spans="12:56" ht="20.100000000000001" customHeight="1" thickBot="1" x14ac:dyDescent="0.35">
      <c r="L107" s="782"/>
      <c r="M107" s="163">
        <v>366</v>
      </c>
      <c r="N107" s="164">
        <v>323</v>
      </c>
      <c r="O107" s="164">
        <v>43</v>
      </c>
      <c r="P107" s="165">
        <v>0.88251366120218577</v>
      </c>
      <c r="BA107" s="160">
        <v>351</v>
      </c>
      <c r="BB107" s="159">
        <v>351</v>
      </c>
      <c r="BC107" s="159">
        <f>BA107-BB107</f>
        <v>0</v>
      </c>
      <c r="BD107" s="162">
        <f>BB107/BA107</f>
        <v>1</v>
      </c>
    </row>
    <row r="108" spans="12:56" ht="16.5" customHeight="1" x14ac:dyDescent="0.3">
      <c r="L108" s="780" t="s">
        <v>161</v>
      </c>
      <c r="M108" s="160" t="s">
        <v>426</v>
      </c>
      <c r="N108" s="159" t="s">
        <v>303</v>
      </c>
      <c r="O108" s="159" t="s">
        <v>304</v>
      </c>
      <c r="P108" s="161" t="s">
        <v>305</v>
      </c>
      <c r="BA108" s="160" t="s">
        <v>308</v>
      </c>
      <c r="BB108" s="159" t="s">
        <v>306</v>
      </c>
      <c r="BC108" s="159" t="s">
        <v>307</v>
      </c>
      <c r="BD108" s="161" t="s">
        <v>305</v>
      </c>
    </row>
    <row r="109" spans="12:56" ht="16.5" x14ac:dyDescent="0.3">
      <c r="L109" s="781"/>
      <c r="M109" s="160">
        <v>556</v>
      </c>
      <c r="N109" s="159" t="s">
        <v>306</v>
      </c>
      <c r="O109" s="159">
        <v>3</v>
      </c>
      <c r="P109" s="162">
        <v>0.99460431654676262</v>
      </c>
      <c r="BA109" s="160">
        <v>351</v>
      </c>
      <c r="BB109" s="159">
        <v>342</v>
      </c>
      <c r="BC109" s="159">
        <f>BA109-BB109</f>
        <v>9</v>
      </c>
      <c r="BD109" s="162">
        <f>BB109/BA109</f>
        <v>0.97435897435897434</v>
      </c>
    </row>
    <row r="110" spans="12:56" ht="16.5" x14ac:dyDescent="0.3">
      <c r="L110" s="781"/>
      <c r="M110" s="160" t="s">
        <v>308</v>
      </c>
      <c r="O110" s="159" t="s">
        <v>307</v>
      </c>
      <c r="P110" s="161" t="s">
        <v>305</v>
      </c>
      <c r="BA110" s="160" t="s">
        <v>308</v>
      </c>
      <c r="BB110" s="159" t="s">
        <v>309</v>
      </c>
      <c r="BC110" s="159" t="s">
        <v>310</v>
      </c>
      <c r="BD110" s="161" t="s">
        <v>311</v>
      </c>
    </row>
    <row r="111" spans="12:56" ht="17.25" thickBot="1" x14ac:dyDescent="0.35">
      <c r="L111" s="781"/>
      <c r="M111" s="160">
        <v>553</v>
      </c>
      <c r="N111" s="159">
        <v>544</v>
      </c>
      <c r="O111" s="159">
        <v>9</v>
      </c>
      <c r="P111" s="162">
        <v>0.98372513562386976</v>
      </c>
      <c r="BA111" s="163">
        <v>351</v>
      </c>
      <c r="BB111" s="164">
        <v>311</v>
      </c>
      <c r="BC111" s="164">
        <f>BA111-BB111</f>
        <v>40</v>
      </c>
      <c r="BD111" s="165">
        <f>BB111/BA111</f>
        <v>0.88603988603988604</v>
      </c>
    </row>
    <row r="112" spans="12:56" ht="16.5" x14ac:dyDescent="0.3">
      <c r="L112" s="781"/>
      <c r="M112" s="160" t="s">
        <v>308</v>
      </c>
      <c r="N112" s="159" t="s">
        <v>309</v>
      </c>
      <c r="O112" s="159" t="s">
        <v>310</v>
      </c>
      <c r="P112" s="161" t="s">
        <v>311</v>
      </c>
    </row>
    <row r="113" spans="12:16" ht="17.25" thickBot="1" x14ac:dyDescent="0.35">
      <c r="L113" s="782"/>
      <c r="M113" s="163">
        <v>553</v>
      </c>
      <c r="N113" s="164">
        <v>513</v>
      </c>
      <c r="O113" s="164">
        <v>40</v>
      </c>
      <c r="P113" s="165">
        <v>0.92766726943942135</v>
      </c>
    </row>
    <row r="114" spans="12:16" ht="16.5" x14ac:dyDescent="0.3">
      <c r="L114" s="771" t="s">
        <v>162</v>
      </c>
      <c r="M114" s="160" t="s">
        <v>427</v>
      </c>
      <c r="N114" s="159" t="s">
        <v>303</v>
      </c>
      <c r="O114" s="159" t="s">
        <v>304</v>
      </c>
      <c r="P114" s="161" t="s">
        <v>305</v>
      </c>
    </row>
    <row r="115" spans="12:16" ht="16.5" x14ac:dyDescent="0.3">
      <c r="L115" s="772"/>
      <c r="M115" s="160">
        <v>446</v>
      </c>
      <c r="N115" s="159">
        <v>446</v>
      </c>
      <c r="O115" s="159">
        <f>M115-N115</f>
        <v>0</v>
      </c>
      <c r="P115" s="162">
        <f>N115/M115</f>
        <v>1</v>
      </c>
    </row>
    <row r="116" spans="12:16" ht="16.5" x14ac:dyDescent="0.3">
      <c r="L116" s="772"/>
      <c r="M116" s="160" t="s">
        <v>308</v>
      </c>
      <c r="N116" s="159" t="s">
        <v>306</v>
      </c>
      <c r="O116" s="159" t="s">
        <v>307</v>
      </c>
      <c r="P116" s="161" t="s">
        <v>305</v>
      </c>
    </row>
    <row r="117" spans="12:16" ht="16.5" x14ac:dyDescent="0.3">
      <c r="L117" s="772"/>
      <c r="M117" s="160">
        <v>446</v>
      </c>
      <c r="N117" s="159">
        <v>437</v>
      </c>
      <c r="O117" s="159">
        <f>M117-N117</f>
        <v>9</v>
      </c>
      <c r="P117" s="162">
        <f>N117/M117</f>
        <v>0.97982062780269064</v>
      </c>
    </row>
    <row r="118" spans="12:16" ht="16.5" x14ac:dyDescent="0.3">
      <c r="L118" s="772"/>
      <c r="M118" s="160" t="s">
        <v>308</v>
      </c>
      <c r="N118" s="159" t="s">
        <v>309</v>
      </c>
      <c r="O118" s="159" t="s">
        <v>310</v>
      </c>
      <c r="P118" s="161" t="s">
        <v>311</v>
      </c>
    </row>
    <row r="119" spans="12:16" ht="17.25" thickBot="1" x14ac:dyDescent="0.35">
      <c r="L119" s="773"/>
      <c r="M119" s="163">
        <v>446</v>
      </c>
      <c r="N119" s="164">
        <v>405</v>
      </c>
      <c r="O119" s="164">
        <f>M119-N119</f>
        <v>41</v>
      </c>
      <c r="P119" s="165">
        <f>N119/M119</f>
        <v>0.90807174887892372</v>
      </c>
    </row>
    <row r="120" spans="12:16" ht="16.5" x14ac:dyDescent="0.3">
      <c r="L120" s="774" t="s">
        <v>163</v>
      </c>
      <c r="M120" s="160" t="s">
        <v>429</v>
      </c>
      <c r="N120" s="159" t="s">
        <v>303</v>
      </c>
      <c r="O120" s="159" t="s">
        <v>304</v>
      </c>
      <c r="P120" s="161" t="s">
        <v>305</v>
      </c>
    </row>
    <row r="121" spans="12:16" ht="16.5" x14ac:dyDescent="0.3">
      <c r="L121" s="775"/>
      <c r="M121" s="160">
        <v>351</v>
      </c>
      <c r="N121" s="159">
        <v>351</v>
      </c>
      <c r="O121" s="159">
        <f>M121-N121</f>
        <v>0</v>
      </c>
      <c r="P121" s="162">
        <f>N121/M121</f>
        <v>1</v>
      </c>
    </row>
    <row r="122" spans="12:16" ht="16.5" x14ac:dyDescent="0.3">
      <c r="L122" s="775"/>
      <c r="M122" s="160" t="s">
        <v>308</v>
      </c>
      <c r="N122" s="159" t="s">
        <v>306</v>
      </c>
      <c r="O122" s="159" t="s">
        <v>307</v>
      </c>
      <c r="P122" s="161" t="s">
        <v>305</v>
      </c>
    </row>
    <row r="123" spans="12:16" ht="16.5" x14ac:dyDescent="0.3">
      <c r="L123" s="775"/>
      <c r="M123" s="160">
        <v>351</v>
      </c>
      <c r="N123" s="159">
        <v>342</v>
      </c>
      <c r="O123" s="159">
        <f>M123-N123</f>
        <v>9</v>
      </c>
      <c r="P123" s="162">
        <f>N123/M123</f>
        <v>0.97435897435897434</v>
      </c>
    </row>
    <row r="124" spans="12:16" ht="16.5" x14ac:dyDescent="0.3">
      <c r="L124" s="775"/>
      <c r="M124" s="160" t="s">
        <v>308</v>
      </c>
      <c r="N124" s="159" t="s">
        <v>309</v>
      </c>
      <c r="O124" s="159" t="s">
        <v>310</v>
      </c>
      <c r="P124" s="161" t="s">
        <v>311</v>
      </c>
    </row>
    <row r="125" spans="12:16" ht="17.25" thickBot="1" x14ac:dyDescent="0.35">
      <c r="L125" s="776"/>
      <c r="M125" s="163">
        <v>351</v>
      </c>
      <c r="N125" s="164">
        <v>311</v>
      </c>
      <c r="O125" s="164">
        <f>M125-N125</f>
        <v>40</v>
      </c>
      <c r="P125" s="165">
        <f>N125/M125</f>
        <v>0.88603988603988604</v>
      </c>
    </row>
  </sheetData>
  <mergeCells count="81">
    <mergeCell ref="AG51:AJ51"/>
    <mergeCell ref="AQ51:AT51"/>
    <mergeCell ref="AQ60:AT60"/>
    <mergeCell ref="AQ69:AT69"/>
    <mergeCell ref="AQ78:AT78"/>
    <mergeCell ref="AG78:AJ78"/>
    <mergeCell ref="AG61:AJ61"/>
    <mergeCell ref="L90:L95"/>
    <mergeCell ref="L60:L65"/>
    <mergeCell ref="L54:L59"/>
    <mergeCell ref="L96:L101"/>
    <mergeCell ref="L53:P53"/>
    <mergeCell ref="L84:L89"/>
    <mergeCell ref="L78:L83"/>
    <mergeCell ref="L72:L77"/>
    <mergeCell ref="L66:L71"/>
    <mergeCell ref="AG24:AJ24"/>
    <mergeCell ref="AG33:AJ33"/>
    <mergeCell ref="AG42:AJ42"/>
    <mergeCell ref="AQ4:AT4"/>
    <mergeCell ref="AQ14:AT14"/>
    <mergeCell ref="AQ24:AT24"/>
    <mergeCell ref="AQ33:AT33"/>
    <mergeCell ref="AQ42:AT42"/>
    <mergeCell ref="C4:F4"/>
    <mergeCell ref="H4:K4"/>
    <mergeCell ref="H14:K14"/>
    <mergeCell ref="M4:P4"/>
    <mergeCell ref="M14:P14"/>
    <mergeCell ref="W42:Z42"/>
    <mergeCell ref="M24:P24"/>
    <mergeCell ref="W4:Z4"/>
    <mergeCell ref="W14:Z14"/>
    <mergeCell ref="W24:Z24"/>
    <mergeCell ref="R4:U4"/>
    <mergeCell ref="R14:U14"/>
    <mergeCell ref="R24:U24"/>
    <mergeCell ref="R33:U33"/>
    <mergeCell ref="W33:Z33"/>
    <mergeCell ref="AB51:AE51"/>
    <mergeCell ref="AB4:AE4"/>
    <mergeCell ref="AB14:AE14"/>
    <mergeCell ref="AL69:AO69"/>
    <mergeCell ref="AL4:AO4"/>
    <mergeCell ref="AL14:AO14"/>
    <mergeCell ref="AL24:AO24"/>
    <mergeCell ref="AL33:AO33"/>
    <mergeCell ref="AL42:AO42"/>
    <mergeCell ref="AL51:AO51"/>
    <mergeCell ref="AL60:AO60"/>
    <mergeCell ref="AB24:AE24"/>
    <mergeCell ref="AB33:AE33"/>
    <mergeCell ref="AB42:AE42"/>
    <mergeCell ref="AG4:AJ4"/>
    <mergeCell ref="AG14:AJ14"/>
    <mergeCell ref="AV4:AY4"/>
    <mergeCell ref="BA4:BD4"/>
    <mergeCell ref="AV14:AY14"/>
    <mergeCell ref="BA14:BD14"/>
    <mergeCell ref="AV24:AY24"/>
    <mergeCell ref="BA24:BD24"/>
    <mergeCell ref="AV33:AY33"/>
    <mergeCell ref="BA33:BD33"/>
    <mergeCell ref="AV42:AY42"/>
    <mergeCell ref="BA42:BD42"/>
    <mergeCell ref="AV51:AY51"/>
    <mergeCell ref="BA51:BD51"/>
    <mergeCell ref="AV60:AY60"/>
    <mergeCell ref="BA60:BD60"/>
    <mergeCell ref="AV69:AY69"/>
    <mergeCell ref="BA69:BD69"/>
    <mergeCell ref="AV78:AY78"/>
    <mergeCell ref="BA78:BD78"/>
    <mergeCell ref="L114:L119"/>
    <mergeCell ref="L120:L125"/>
    <mergeCell ref="AV87:AY87"/>
    <mergeCell ref="BA87:BD87"/>
    <mergeCell ref="BA96:BD96"/>
    <mergeCell ref="L108:L113"/>
    <mergeCell ref="BA105:BD105"/>
    <mergeCell ref="L102:L10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AE26C-34E3-48AB-BCC6-A52419D8DDCE}">
  <dimension ref="A3:AI112"/>
  <sheetViews>
    <sheetView topLeftCell="B3" zoomScaleNormal="100" workbookViewId="0">
      <selection activeCell="Y9" sqref="Y9"/>
    </sheetView>
  </sheetViews>
  <sheetFormatPr baseColWidth="10" defaultRowHeight="15" x14ac:dyDescent="0.25"/>
  <cols>
    <col min="2" max="3" width="11.42578125" style="86"/>
    <col min="4" max="4" width="41.42578125" customWidth="1"/>
    <col min="5" max="20" width="5" hidden="1" customWidth="1"/>
    <col min="25" max="25" width="40.28515625" customWidth="1"/>
    <col min="35" max="35" width="12.5703125" customWidth="1"/>
  </cols>
  <sheetData>
    <row r="3" spans="2:35" ht="15.75" thickBot="1" x14ac:dyDescent="0.3"/>
    <row r="4" spans="2:35" ht="21.75" thickBot="1" x14ac:dyDescent="0.4">
      <c r="B4" s="87"/>
      <c r="C4" s="87"/>
      <c r="D4" s="797" t="s">
        <v>431</v>
      </c>
      <c r="E4" s="798"/>
      <c r="F4" s="798"/>
      <c r="G4" s="798"/>
      <c r="H4" s="798"/>
      <c r="I4" s="798"/>
      <c r="J4" s="798"/>
      <c r="K4" s="798"/>
      <c r="L4" s="798"/>
      <c r="M4" s="798"/>
      <c r="N4" s="798"/>
      <c r="O4" s="798"/>
      <c r="P4" s="798"/>
      <c r="Q4" s="798"/>
      <c r="R4" s="798"/>
      <c r="S4" s="798"/>
      <c r="T4" s="799"/>
      <c r="Y4" s="797" t="s">
        <v>431</v>
      </c>
      <c r="Z4" s="798"/>
      <c r="AA4" s="798"/>
      <c r="AB4" s="798"/>
      <c r="AC4" s="798"/>
      <c r="AD4" s="798"/>
      <c r="AE4" s="798"/>
      <c r="AF4" s="798"/>
      <c r="AG4" s="799"/>
    </row>
    <row r="5" spans="2:35" ht="15.75" thickBot="1" x14ac:dyDescent="0.3">
      <c r="B5" s="88"/>
      <c r="C5" s="88"/>
      <c r="D5" s="806" t="s">
        <v>151</v>
      </c>
      <c r="E5" s="795" t="s">
        <v>152</v>
      </c>
      <c r="F5" s="796"/>
      <c r="G5" s="795" t="s">
        <v>153</v>
      </c>
      <c r="H5" s="796"/>
      <c r="I5" s="795" t="s">
        <v>363</v>
      </c>
      <c r="J5" s="796"/>
      <c r="K5" s="795" t="s">
        <v>155</v>
      </c>
      <c r="L5" s="796"/>
      <c r="M5" s="795" t="s">
        <v>354</v>
      </c>
      <c r="N5" s="796"/>
      <c r="O5" s="795" t="s">
        <v>157</v>
      </c>
      <c r="P5" s="796"/>
      <c r="Q5" s="795" t="s">
        <v>602</v>
      </c>
      <c r="R5" s="796"/>
      <c r="S5" s="795" t="s">
        <v>384</v>
      </c>
      <c r="T5" s="796"/>
      <c r="Y5" s="806" t="s">
        <v>151</v>
      </c>
      <c r="Z5" s="795" t="s">
        <v>390</v>
      </c>
      <c r="AA5" s="796"/>
      <c r="AB5" s="795" t="s">
        <v>579</v>
      </c>
      <c r="AC5" s="796"/>
      <c r="AD5" s="795" t="s">
        <v>602</v>
      </c>
      <c r="AE5" s="796"/>
      <c r="AF5" s="795" t="s">
        <v>384</v>
      </c>
      <c r="AG5" s="796"/>
      <c r="AH5" s="795" t="s">
        <v>160</v>
      </c>
      <c r="AI5" s="796"/>
    </row>
    <row r="6" spans="2:35" ht="15.75" thickBot="1" x14ac:dyDescent="0.3">
      <c r="B6" s="88"/>
      <c r="C6" s="88"/>
      <c r="D6" s="807"/>
      <c r="E6" s="589">
        <v>2025</v>
      </c>
      <c r="F6" s="589">
        <v>2026</v>
      </c>
      <c r="G6" s="589">
        <v>2025</v>
      </c>
      <c r="H6" s="589">
        <v>2026</v>
      </c>
      <c r="I6" s="589">
        <v>2025</v>
      </c>
      <c r="J6" s="589">
        <v>2026</v>
      </c>
      <c r="K6" s="589">
        <v>2025</v>
      </c>
      <c r="L6" s="589">
        <v>2026</v>
      </c>
      <c r="M6" s="593">
        <v>2025</v>
      </c>
      <c r="N6" s="593">
        <v>2026</v>
      </c>
      <c r="O6" s="593">
        <v>2025</v>
      </c>
      <c r="P6" s="593">
        <v>2026</v>
      </c>
      <c r="Q6" s="593">
        <v>2025</v>
      </c>
      <c r="R6" s="593">
        <v>2026</v>
      </c>
      <c r="S6" s="593">
        <v>2025</v>
      </c>
      <c r="T6" s="593">
        <v>2026</v>
      </c>
      <c r="Y6" s="807"/>
      <c r="Z6" s="589">
        <v>2025</v>
      </c>
      <c r="AA6" s="589">
        <v>2026</v>
      </c>
      <c r="AB6" s="589">
        <v>2025</v>
      </c>
      <c r="AC6" s="589">
        <v>2026</v>
      </c>
      <c r="AD6" s="593">
        <v>2025</v>
      </c>
      <c r="AE6" s="593">
        <v>2026</v>
      </c>
      <c r="AF6" s="593">
        <v>2025</v>
      </c>
      <c r="AG6" s="593">
        <v>2026</v>
      </c>
      <c r="AH6" s="593">
        <v>2025</v>
      </c>
      <c r="AI6" s="593">
        <v>2026</v>
      </c>
    </row>
    <row r="7" spans="2:35" ht="16.5" x14ac:dyDescent="0.3">
      <c r="B7" s="88"/>
      <c r="C7" s="88"/>
      <c r="D7" s="248" t="s">
        <v>78</v>
      </c>
      <c r="E7" s="249">
        <v>0</v>
      </c>
      <c r="F7" s="250">
        <v>2</v>
      </c>
      <c r="G7" s="249">
        <v>0</v>
      </c>
      <c r="H7" s="250">
        <v>1</v>
      </c>
      <c r="I7" s="249">
        <v>0</v>
      </c>
      <c r="J7" s="250">
        <v>0</v>
      </c>
      <c r="K7" s="249">
        <v>3</v>
      </c>
      <c r="L7" s="250">
        <v>0</v>
      </c>
      <c r="M7" s="249">
        <v>2</v>
      </c>
      <c r="N7" s="250">
        <v>0</v>
      </c>
      <c r="O7" s="249">
        <v>0</v>
      </c>
      <c r="P7" s="250">
        <v>0</v>
      </c>
      <c r="Q7" s="249">
        <v>0</v>
      </c>
      <c r="R7" s="250">
        <v>3</v>
      </c>
      <c r="S7" s="249">
        <v>0</v>
      </c>
      <c r="T7" s="250">
        <v>2</v>
      </c>
      <c r="U7">
        <f>E7+G7+I7+K7+M7+O7+Q7+S7</f>
        <v>5</v>
      </c>
      <c r="V7">
        <f>F7+H7+J7+L7+N7+P7+R7+T7</f>
        <v>8</v>
      </c>
      <c r="Y7" s="624" t="s">
        <v>78</v>
      </c>
      <c r="Z7" s="205">
        <f>E7+G7+I7</f>
        <v>0</v>
      </c>
      <c r="AA7" s="318">
        <f>F7+H7+J7</f>
        <v>3</v>
      </c>
      <c r="AB7" s="216">
        <f>K7+M7+S7</f>
        <v>5</v>
      </c>
      <c r="AC7" s="318">
        <f>L7+N7+T7</f>
        <v>2</v>
      </c>
      <c r="AD7" s="216">
        <v>0</v>
      </c>
      <c r="AE7" s="318">
        <v>3</v>
      </c>
      <c r="AF7" s="216">
        <v>0</v>
      </c>
      <c r="AG7" s="318">
        <v>2</v>
      </c>
      <c r="AH7" s="216">
        <v>0</v>
      </c>
      <c r="AI7" s="318">
        <v>0</v>
      </c>
    </row>
    <row r="8" spans="2:35" ht="16.5" x14ac:dyDescent="0.3">
      <c r="B8" s="89"/>
      <c r="C8" s="89"/>
      <c r="D8" s="251" t="s">
        <v>24</v>
      </c>
      <c r="E8" s="252">
        <v>16</v>
      </c>
      <c r="F8" s="253">
        <v>20</v>
      </c>
      <c r="G8" s="252">
        <v>17</v>
      </c>
      <c r="H8" s="253">
        <v>17</v>
      </c>
      <c r="I8" s="252">
        <v>18</v>
      </c>
      <c r="J8" s="253">
        <v>22</v>
      </c>
      <c r="K8" s="252">
        <v>10</v>
      </c>
      <c r="L8" s="253">
        <v>20</v>
      </c>
      <c r="M8" s="252">
        <v>11</v>
      </c>
      <c r="N8" s="253">
        <v>28</v>
      </c>
      <c r="O8" s="252">
        <v>18</v>
      </c>
      <c r="P8" s="253">
        <v>15</v>
      </c>
      <c r="Q8" s="252">
        <v>30</v>
      </c>
      <c r="R8" s="253">
        <v>26</v>
      </c>
      <c r="S8" s="252">
        <v>18</v>
      </c>
      <c r="T8" s="253">
        <v>21</v>
      </c>
      <c r="U8" s="649">
        <f t="shared" ref="U8:U28" si="0">E8+G8+I8+K8+M8+O8+Q8+S8</f>
        <v>138</v>
      </c>
      <c r="V8" s="649">
        <f t="shared" ref="V8:V28" si="1">F8+H8+J8+L8+N8+P8+R8+T8</f>
        <v>169</v>
      </c>
      <c r="Y8" s="476" t="s">
        <v>24</v>
      </c>
      <c r="Z8" s="160">
        <f t="shared" ref="Z8:Z27" si="2">E8+G8+I8</f>
        <v>51</v>
      </c>
      <c r="AA8" s="161">
        <f t="shared" ref="AA8:AA27" si="3">F8+H8+J8</f>
        <v>59</v>
      </c>
      <c r="AB8" s="181">
        <f t="shared" ref="AB8:AB28" si="4">K8+M8+S8</f>
        <v>39</v>
      </c>
      <c r="AC8" s="161">
        <f t="shared" ref="AC8:AC28" si="5">L8+N8+T8</f>
        <v>69</v>
      </c>
      <c r="AD8" s="181">
        <v>30</v>
      </c>
      <c r="AE8" s="161">
        <v>26</v>
      </c>
      <c r="AF8" s="181">
        <v>18</v>
      </c>
      <c r="AG8" s="161">
        <v>21</v>
      </c>
      <c r="AH8" s="181"/>
      <c r="AI8" s="161">
        <v>30</v>
      </c>
    </row>
    <row r="9" spans="2:35" ht="16.5" x14ac:dyDescent="0.3">
      <c r="B9" s="89"/>
      <c r="C9" s="89"/>
      <c r="D9" s="251" t="s">
        <v>166</v>
      </c>
      <c r="E9" s="252">
        <v>0</v>
      </c>
      <c r="F9" s="253">
        <v>0</v>
      </c>
      <c r="G9" s="252">
        <v>0</v>
      </c>
      <c r="H9" s="253">
        <v>1</v>
      </c>
      <c r="I9" s="252">
        <v>0</v>
      </c>
      <c r="J9" s="253">
        <v>0</v>
      </c>
      <c r="K9" s="252">
        <v>0</v>
      </c>
      <c r="L9" s="253">
        <v>0</v>
      </c>
      <c r="M9" s="252">
        <v>0</v>
      </c>
      <c r="N9" s="253">
        <v>0</v>
      </c>
      <c r="O9" s="252">
        <v>0</v>
      </c>
      <c r="P9" s="253">
        <v>0</v>
      </c>
      <c r="Q9" s="252">
        <v>0</v>
      </c>
      <c r="R9" s="253">
        <v>1</v>
      </c>
      <c r="S9" s="252">
        <v>0</v>
      </c>
      <c r="T9" s="253">
        <v>0</v>
      </c>
      <c r="U9">
        <f t="shared" si="0"/>
        <v>0</v>
      </c>
      <c r="V9">
        <f t="shared" si="1"/>
        <v>2</v>
      </c>
      <c r="Y9" s="476" t="s">
        <v>166</v>
      </c>
      <c r="Z9" s="160">
        <f t="shared" si="2"/>
        <v>0</v>
      </c>
      <c r="AA9" s="161">
        <f t="shared" si="3"/>
        <v>1</v>
      </c>
      <c r="AB9" s="181">
        <f t="shared" si="4"/>
        <v>0</v>
      </c>
      <c r="AC9" s="161">
        <f t="shared" si="5"/>
        <v>0</v>
      </c>
      <c r="AD9" s="181">
        <v>0</v>
      </c>
      <c r="AE9" s="161">
        <v>1</v>
      </c>
      <c r="AF9" s="181">
        <v>0</v>
      </c>
      <c r="AG9" s="161">
        <v>0</v>
      </c>
      <c r="AH9" s="181"/>
      <c r="AI9" s="161">
        <v>0</v>
      </c>
    </row>
    <row r="10" spans="2:35" ht="16.5" x14ac:dyDescent="0.3">
      <c r="B10" s="89"/>
      <c r="C10" s="89"/>
      <c r="D10" s="251" t="s">
        <v>326</v>
      </c>
      <c r="E10" s="252">
        <v>0</v>
      </c>
      <c r="F10" s="253">
        <v>0</v>
      </c>
      <c r="G10" s="252">
        <v>0</v>
      </c>
      <c r="H10" s="253">
        <v>0</v>
      </c>
      <c r="I10" s="252">
        <v>0</v>
      </c>
      <c r="J10" s="253">
        <v>0</v>
      </c>
      <c r="K10" s="252">
        <v>2</v>
      </c>
      <c r="L10" s="253">
        <v>0</v>
      </c>
      <c r="M10" s="252">
        <v>0</v>
      </c>
      <c r="N10" s="253">
        <v>0</v>
      </c>
      <c r="O10" s="252">
        <v>0</v>
      </c>
      <c r="P10" s="253">
        <v>0</v>
      </c>
      <c r="Q10" s="252">
        <v>0</v>
      </c>
      <c r="R10" s="253">
        <v>0</v>
      </c>
      <c r="S10" s="252">
        <v>0</v>
      </c>
      <c r="T10" s="253">
        <v>2</v>
      </c>
      <c r="U10">
        <f t="shared" si="0"/>
        <v>2</v>
      </c>
      <c r="V10">
        <f t="shared" si="1"/>
        <v>2</v>
      </c>
      <c r="Y10" s="476" t="s">
        <v>326</v>
      </c>
      <c r="Z10" s="160">
        <f t="shared" si="2"/>
        <v>0</v>
      </c>
      <c r="AA10" s="161">
        <f t="shared" si="3"/>
        <v>0</v>
      </c>
      <c r="AB10" s="181">
        <f t="shared" si="4"/>
        <v>2</v>
      </c>
      <c r="AC10" s="161">
        <f t="shared" si="5"/>
        <v>2</v>
      </c>
      <c r="AD10" s="181">
        <v>0</v>
      </c>
      <c r="AE10" s="161">
        <v>0</v>
      </c>
      <c r="AF10" s="181">
        <v>0</v>
      </c>
      <c r="AG10" s="161">
        <v>2</v>
      </c>
      <c r="AH10" s="181"/>
      <c r="AI10" s="161">
        <v>0</v>
      </c>
    </row>
    <row r="11" spans="2:35" ht="16.5" x14ac:dyDescent="0.3">
      <c r="B11" s="89"/>
      <c r="C11" s="89"/>
      <c r="D11" s="251" t="s">
        <v>508</v>
      </c>
      <c r="E11" s="252">
        <v>0</v>
      </c>
      <c r="F11" s="253">
        <v>0</v>
      </c>
      <c r="G11" s="252">
        <v>0</v>
      </c>
      <c r="H11" s="253">
        <v>0</v>
      </c>
      <c r="I11" s="252">
        <v>0</v>
      </c>
      <c r="J11" s="253">
        <v>1</v>
      </c>
      <c r="K11" s="252">
        <v>0</v>
      </c>
      <c r="L11" s="253">
        <v>0</v>
      </c>
      <c r="M11" s="252">
        <v>0</v>
      </c>
      <c r="N11" s="253">
        <v>0</v>
      </c>
      <c r="O11" s="252">
        <v>0</v>
      </c>
      <c r="P11" s="253">
        <v>0</v>
      </c>
      <c r="Q11" s="252">
        <v>0</v>
      </c>
      <c r="R11" s="253">
        <v>0</v>
      </c>
      <c r="S11" s="252">
        <v>0</v>
      </c>
      <c r="T11" s="253">
        <v>0</v>
      </c>
      <c r="U11">
        <f t="shared" si="0"/>
        <v>0</v>
      </c>
      <c r="V11">
        <f t="shared" si="1"/>
        <v>1</v>
      </c>
      <c r="Y11" s="476" t="s">
        <v>508</v>
      </c>
      <c r="Z11" s="160">
        <f t="shared" si="2"/>
        <v>0</v>
      </c>
      <c r="AA11" s="161">
        <f t="shared" si="3"/>
        <v>1</v>
      </c>
      <c r="AB11" s="181">
        <f t="shared" si="4"/>
        <v>0</v>
      </c>
      <c r="AC11" s="161">
        <f t="shared" si="5"/>
        <v>0</v>
      </c>
      <c r="AD11" s="181">
        <v>0</v>
      </c>
      <c r="AE11" s="161">
        <v>0</v>
      </c>
      <c r="AF11" s="181">
        <v>0</v>
      </c>
      <c r="AG11" s="161">
        <v>0</v>
      </c>
      <c r="AH11" s="181"/>
      <c r="AI11" s="161">
        <v>1</v>
      </c>
    </row>
    <row r="12" spans="2:35" ht="16.5" x14ac:dyDescent="0.3">
      <c r="B12" s="89"/>
      <c r="C12" s="89"/>
      <c r="D12" s="251" t="s">
        <v>412</v>
      </c>
      <c r="E12" s="252">
        <v>0</v>
      </c>
      <c r="F12" s="253">
        <v>1</v>
      </c>
      <c r="G12" s="252">
        <v>0</v>
      </c>
      <c r="H12" s="253">
        <v>0</v>
      </c>
      <c r="I12" s="252">
        <v>0</v>
      </c>
      <c r="J12" s="253">
        <v>0</v>
      </c>
      <c r="K12" s="252">
        <v>0</v>
      </c>
      <c r="L12" s="253">
        <v>0</v>
      </c>
      <c r="M12" s="252">
        <v>0</v>
      </c>
      <c r="N12" s="253">
        <v>0</v>
      </c>
      <c r="O12" s="252">
        <v>0</v>
      </c>
      <c r="P12" s="253">
        <v>0</v>
      </c>
      <c r="Q12" s="252">
        <v>0</v>
      </c>
      <c r="R12" s="253">
        <v>0</v>
      </c>
      <c r="S12" s="252">
        <v>0</v>
      </c>
      <c r="T12" s="253">
        <v>0</v>
      </c>
      <c r="U12">
        <f t="shared" si="0"/>
        <v>0</v>
      </c>
      <c r="V12">
        <f t="shared" si="1"/>
        <v>1</v>
      </c>
      <c r="Y12" s="476" t="s">
        <v>412</v>
      </c>
      <c r="Z12" s="160">
        <f t="shared" si="2"/>
        <v>0</v>
      </c>
      <c r="AA12" s="161">
        <f t="shared" si="3"/>
        <v>1</v>
      </c>
      <c r="AB12" s="181">
        <f t="shared" si="4"/>
        <v>0</v>
      </c>
      <c r="AC12" s="161">
        <f t="shared" si="5"/>
        <v>0</v>
      </c>
      <c r="AD12" s="181">
        <v>0</v>
      </c>
      <c r="AE12" s="161">
        <v>0</v>
      </c>
      <c r="AF12" s="181">
        <v>0</v>
      </c>
      <c r="AG12" s="161">
        <v>0</v>
      </c>
      <c r="AH12" s="181"/>
      <c r="AI12" s="161">
        <v>0</v>
      </c>
    </row>
    <row r="13" spans="2:35" ht="16.5" x14ac:dyDescent="0.3">
      <c r="B13" s="89"/>
      <c r="C13" s="89"/>
      <c r="D13" s="251" t="s">
        <v>558</v>
      </c>
      <c r="E13" s="252">
        <v>0</v>
      </c>
      <c r="F13" s="253">
        <v>0</v>
      </c>
      <c r="G13" s="252">
        <v>0</v>
      </c>
      <c r="H13" s="253">
        <v>0</v>
      </c>
      <c r="I13" s="252">
        <v>0</v>
      </c>
      <c r="J13" s="253">
        <v>0</v>
      </c>
      <c r="K13" s="252">
        <v>0</v>
      </c>
      <c r="L13" s="253">
        <v>0</v>
      </c>
      <c r="M13" s="252">
        <v>0</v>
      </c>
      <c r="N13" s="253">
        <v>0</v>
      </c>
      <c r="O13" s="252">
        <v>0</v>
      </c>
      <c r="P13" s="253">
        <v>1</v>
      </c>
      <c r="Q13" s="252">
        <v>0</v>
      </c>
      <c r="R13" s="253">
        <v>0</v>
      </c>
      <c r="S13" s="252">
        <v>0</v>
      </c>
      <c r="T13" s="253">
        <v>0</v>
      </c>
      <c r="U13">
        <f t="shared" si="0"/>
        <v>0</v>
      </c>
      <c r="V13">
        <f t="shared" si="1"/>
        <v>1</v>
      </c>
      <c r="Y13" s="476" t="s">
        <v>558</v>
      </c>
      <c r="Z13" s="160">
        <f t="shared" si="2"/>
        <v>0</v>
      </c>
      <c r="AA13" s="161">
        <f t="shared" si="3"/>
        <v>0</v>
      </c>
      <c r="AB13" s="181">
        <f t="shared" si="4"/>
        <v>0</v>
      </c>
      <c r="AC13" s="161">
        <f t="shared" si="5"/>
        <v>0</v>
      </c>
      <c r="AD13" s="181">
        <v>0</v>
      </c>
      <c r="AE13" s="161">
        <v>0</v>
      </c>
      <c r="AF13" s="181">
        <v>0</v>
      </c>
      <c r="AG13" s="161">
        <v>0</v>
      </c>
      <c r="AH13" s="181"/>
      <c r="AI13" s="161">
        <v>0</v>
      </c>
    </row>
    <row r="14" spans="2:35" ht="16.5" x14ac:dyDescent="0.3">
      <c r="B14" s="89"/>
      <c r="C14" s="89"/>
      <c r="D14" s="251" t="s">
        <v>44</v>
      </c>
      <c r="E14" s="252">
        <v>7</v>
      </c>
      <c r="F14" s="253">
        <v>8</v>
      </c>
      <c r="G14" s="252">
        <v>3</v>
      </c>
      <c r="H14" s="253">
        <v>11</v>
      </c>
      <c r="I14" s="252">
        <v>6</v>
      </c>
      <c r="J14" s="253">
        <v>8</v>
      </c>
      <c r="K14" s="252">
        <v>3</v>
      </c>
      <c r="L14" s="253">
        <v>8</v>
      </c>
      <c r="M14" s="252">
        <v>3</v>
      </c>
      <c r="N14" s="253">
        <v>0</v>
      </c>
      <c r="O14" s="252">
        <v>0</v>
      </c>
      <c r="P14" s="253">
        <v>0</v>
      </c>
      <c r="Q14" s="252">
        <v>0</v>
      </c>
      <c r="R14" s="253">
        <v>28</v>
      </c>
      <c r="S14" s="252">
        <v>0</v>
      </c>
      <c r="T14" s="253">
        <v>18</v>
      </c>
      <c r="U14">
        <f t="shared" si="0"/>
        <v>22</v>
      </c>
      <c r="V14" s="649">
        <f t="shared" si="1"/>
        <v>81</v>
      </c>
      <c r="Y14" s="476" t="s">
        <v>44</v>
      </c>
      <c r="Z14" s="160">
        <f t="shared" si="2"/>
        <v>16</v>
      </c>
      <c r="AA14" s="161">
        <f t="shared" si="3"/>
        <v>27</v>
      </c>
      <c r="AB14" s="181">
        <f t="shared" si="4"/>
        <v>6</v>
      </c>
      <c r="AC14" s="161">
        <f t="shared" si="5"/>
        <v>26</v>
      </c>
      <c r="AD14" s="181">
        <v>0</v>
      </c>
      <c r="AE14" s="161">
        <v>28</v>
      </c>
      <c r="AF14" s="181">
        <v>0</v>
      </c>
      <c r="AG14" s="161">
        <v>18</v>
      </c>
      <c r="AH14" s="181"/>
      <c r="AI14" s="161">
        <v>15</v>
      </c>
    </row>
    <row r="15" spans="2:35" ht="14.25" customHeight="1" x14ac:dyDescent="0.3">
      <c r="B15" s="89"/>
      <c r="C15" s="89"/>
      <c r="D15" s="251" t="s">
        <v>57</v>
      </c>
      <c r="E15" s="252">
        <v>5</v>
      </c>
      <c r="F15" s="253">
        <v>9</v>
      </c>
      <c r="G15" s="252">
        <v>9</v>
      </c>
      <c r="H15" s="253">
        <v>8</v>
      </c>
      <c r="I15" s="252">
        <v>10</v>
      </c>
      <c r="J15" s="253">
        <v>6</v>
      </c>
      <c r="K15" s="252">
        <v>7</v>
      </c>
      <c r="L15" s="253">
        <v>15</v>
      </c>
      <c r="M15" s="252">
        <v>7</v>
      </c>
      <c r="N15" s="253">
        <v>7</v>
      </c>
      <c r="O15" s="252">
        <v>13</v>
      </c>
      <c r="P15" s="253">
        <v>6</v>
      </c>
      <c r="Q15" s="252">
        <v>12</v>
      </c>
      <c r="R15" s="253">
        <v>13</v>
      </c>
      <c r="S15" s="252">
        <v>5</v>
      </c>
      <c r="T15" s="253">
        <v>13</v>
      </c>
      <c r="U15" s="649">
        <f t="shared" si="0"/>
        <v>68</v>
      </c>
      <c r="V15">
        <f t="shared" si="1"/>
        <v>77</v>
      </c>
      <c r="Y15" s="476" t="s">
        <v>57</v>
      </c>
      <c r="Z15" s="160">
        <f t="shared" si="2"/>
        <v>24</v>
      </c>
      <c r="AA15" s="161">
        <f t="shared" si="3"/>
        <v>23</v>
      </c>
      <c r="AB15" s="181">
        <f t="shared" si="4"/>
        <v>19</v>
      </c>
      <c r="AC15" s="161">
        <f t="shared" si="5"/>
        <v>35</v>
      </c>
      <c r="AD15" s="181">
        <v>12</v>
      </c>
      <c r="AE15" s="161">
        <v>13</v>
      </c>
      <c r="AF15" s="181">
        <v>5</v>
      </c>
      <c r="AG15" s="161">
        <v>13</v>
      </c>
      <c r="AH15" s="181"/>
      <c r="AI15" s="161">
        <v>9</v>
      </c>
    </row>
    <row r="16" spans="2:35" ht="16.5" x14ac:dyDescent="0.3">
      <c r="B16" s="89"/>
      <c r="C16" s="89"/>
      <c r="D16" s="251" t="s">
        <v>46</v>
      </c>
      <c r="E16" s="252">
        <v>21</v>
      </c>
      <c r="F16" s="253">
        <v>13</v>
      </c>
      <c r="G16" s="252">
        <v>29</v>
      </c>
      <c r="H16" s="253">
        <v>15</v>
      </c>
      <c r="I16" s="252">
        <v>32</v>
      </c>
      <c r="J16" s="253">
        <v>22</v>
      </c>
      <c r="K16" s="252">
        <v>14</v>
      </c>
      <c r="L16" s="253">
        <v>13</v>
      </c>
      <c r="M16" s="252">
        <v>19</v>
      </c>
      <c r="N16" s="253">
        <v>31</v>
      </c>
      <c r="O16" s="252">
        <v>12</v>
      </c>
      <c r="P16" s="253">
        <v>22</v>
      </c>
      <c r="Q16" s="252">
        <v>19</v>
      </c>
      <c r="R16" s="253">
        <v>35</v>
      </c>
      <c r="S16" s="252">
        <v>13</v>
      </c>
      <c r="T16" s="253">
        <v>15</v>
      </c>
      <c r="U16" s="649">
        <f t="shared" si="0"/>
        <v>159</v>
      </c>
      <c r="V16" s="649">
        <f t="shared" si="1"/>
        <v>166</v>
      </c>
      <c r="Y16" s="476" t="s">
        <v>46</v>
      </c>
      <c r="Z16" s="160">
        <f t="shared" si="2"/>
        <v>82</v>
      </c>
      <c r="AA16" s="161">
        <f t="shared" si="3"/>
        <v>50</v>
      </c>
      <c r="AB16" s="181">
        <f t="shared" si="4"/>
        <v>46</v>
      </c>
      <c r="AC16" s="161">
        <f t="shared" si="5"/>
        <v>59</v>
      </c>
      <c r="AD16" s="181">
        <v>19</v>
      </c>
      <c r="AE16" s="161">
        <v>35</v>
      </c>
      <c r="AF16" s="181">
        <v>13</v>
      </c>
      <c r="AG16" s="161">
        <v>15</v>
      </c>
      <c r="AH16" s="181"/>
      <c r="AI16" s="161">
        <v>25</v>
      </c>
    </row>
    <row r="17" spans="2:35" ht="16.5" x14ac:dyDescent="0.3">
      <c r="B17" s="89"/>
      <c r="C17" s="89"/>
      <c r="D17" s="251" t="s">
        <v>167</v>
      </c>
      <c r="E17" s="252">
        <v>0</v>
      </c>
      <c r="F17" s="253">
        <v>1</v>
      </c>
      <c r="G17" s="252">
        <v>0</v>
      </c>
      <c r="H17" s="253">
        <v>0</v>
      </c>
      <c r="I17" s="252">
        <v>0</v>
      </c>
      <c r="J17" s="253">
        <v>6</v>
      </c>
      <c r="K17" s="252">
        <v>0</v>
      </c>
      <c r="L17" s="253">
        <v>7</v>
      </c>
      <c r="M17" s="252">
        <v>0</v>
      </c>
      <c r="N17" s="253">
        <v>3</v>
      </c>
      <c r="O17" s="252">
        <v>1</v>
      </c>
      <c r="P17" s="253">
        <v>2</v>
      </c>
      <c r="Q17" s="252">
        <v>2</v>
      </c>
      <c r="R17" s="253">
        <v>5</v>
      </c>
      <c r="S17" s="252">
        <v>1</v>
      </c>
      <c r="T17" s="253">
        <v>3</v>
      </c>
      <c r="U17">
        <f t="shared" si="0"/>
        <v>4</v>
      </c>
      <c r="V17">
        <f t="shared" si="1"/>
        <v>27</v>
      </c>
      <c r="Y17" s="476" t="s">
        <v>167</v>
      </c>
      <c r="Z17" s="160">
        <f t="shared" si="2"/>
        <v>0</v>
      </c>
      <c r="AA17" s="161">
        <f t="shared" si="3"/>
        <v>7</v>
      </c>
      <c r="AB17" s="181">
        <f t="shared" si="4"/>
        <v>1</v>
      </c>
      <c r="AC17" s="161">
        <f t="shared" si="5"/>
        <v>13</v>
      </c>
      <c r="AD17" s="181">
        <v>2</v>
      </c>
      <c r="AE17" s="161">
        <v>5</v>
      </c>
      <c r="AF17" s="181">
        <v>1</v>
      </c>
      <c r="AG17" s="161">
        <v>3</v>
      </c>
      <c r="AH17" s="181"/>
      <c r="AI17" s="161">
        <v>5</v>
      </c>
    </row>
    <row r="18" spans="2:35" ht="16.5" x14ac:dyDescent="0.3">
      <c r="B18" s="89"/>
      <c r="C18" s="89"/>
      <c r="D18" s="251" t="s">
        <v>54</v>
      </c>
      <c r="E18" s="252">
        <v>3</v>
      </c>
      <c r="F18" s="253">
        <v>4</v>
      </c>
      <c r="G18" s="252">
        <v>15</v>
      </c>
      <c r="H18" s="253">
        <v>3</v>
      </c>
      <c r="I18" s="252">
        <v>13</v>
      </c>
      <c r="J18" s="253">
        <v>3</v>
      </c>
      <c r="K18" s="252">
        <v>2</v>
      </c>
      <c r="L18" s="253">
        <v>8</v>
      </c>
      <c r="M18" s="252">
        <v>5</v>
      </c>
      <c r="N18" s="253">
        <v>4</v>
      </c>
      <c r="O18" s="252">
        <v>3</v>
      </c>
      <c r="P18" s="253">
        <v>3</v>
      </c>
      <c r="Q18" s="252">
        <v>4</v>
      </c>
      <c r="R18" s="253">
        <v>3</v>
      </c>
      <c r="S18" s="252">
        <v>5</v>
      </c>
      <c r="T18" s="253">
        <v>1</v>
      </c>
      <c r="U18">
        <f t="shared" si="0"/>
        <v>50</v>
      </c>
      <c r="V18">
        <f t="shared" si="1"/>
        <v>29</v>
      </c>
      <c r="Y18" s="476" t="s">
        <v>54</v>
      </c>
      <c r="Z18" s="160">
        <f t="shared" si="2"/>
        <v>31</v>
      </c>
      <c r="AA18" s="161">
        <f t="shared" si="3"/>
        <v>10</v>
      </c>
      <c r="AB18" s="181">
        <f t="shared" si="4"/>
        <v>12</v>
      </c>
      <c r="AC18" s="161">
        <f t="shared" si="5"/>
        <v>13</v>
      </c>
      <c r="AD18" s="181">
        <v>4</v>
      </c>
      <c r="AE18" s="161">
        <v>3</v>
      </c>
      <c r="AF18" s="181">
        <v>5</v>
      </c>
      <c r="AG18" s="161">
        <v>1</v>
      </c>
      <c r="AH18" s="181"/>
      <c r="AI18" s="161">
        <v>5</v>
      </c>
    </row>
    <row r="19" spans="2:35" ht="16.5" x14ac:dyDescent="0.3">
      <c r="B19" s="89"/>
      <c r="C19" s="89"/>
      <c r="D19" s="251" t="s">
        <v>517</v>
      </c>
      <c r="E19" s="252">
        <v>0</v>
      </c>
      <c r="F19" s="253">
        <v>0</v>
      </c>
      <c r="G19" s="252">
        <v>0</v>
      </c>
      <c r="H19" s="253">
        <v>0</v>
      </c>
      <c r="I19" s="252">
        <v>0</v>
      </c>
      <c r="J19" s="253">
        <v>0</v>
      </c>
      <c r="K19" s="252">
        <v>0</v>
      </c>
      <c r="L19" s="253">
        <v>1</v>
      </c>
      <c r="M19" s="252">
        <v>0</v>
      </c>
      <c r="N19" s="253">
        <v>0</v>
      </c>
      <c r="O19" s="252">
        <v>0</v>
      </c>
      <c r="P19" s="253">
        <v>0</v>
      </c>
      <c r="Q19" s="252">
        <v>0</v>
      </c>
      <c r="R19" s="253">
        <v>0</v>
      </c>
      <c r="S19" s="252">
        <v>0</v>
      </c>
      <c r="T19" s="253">
        <v>0</v>
      </c>
      <c r="U19">
        <f t="shared" si="0"/>
        <v>0</v>
      </c>
      <c r="V19">
        <f t="shared" si="1"/>
        <v>1</v>
      </c>
      <c r="Y19" s="476" t="s">
        <v>517</v>
      </c>
      <c r="Z19" s="160">
        <f t="shared" si="2"/>
        <v>0</v>
      </c>
      <c r="AA19" s="161">
        <f t="shared" si="3"/>
        <v>0</v>
      </c>
      <c r="AB19" s="181">
        <f t="shared" si="4"/>
        <v>0</v>
      </c>
      <c r="AC19" s="161">
        <f t="shared" si="5"/>
        <v>1</v>
      </c>
      <c r="AD19" s="181">
        <v>0</v>
      </c>
      <c r="AE19" s="161">
        <v>0</v>
      </c>
      <c r="AF19" s="181">
        <v>0</v>
      </c>
      <c r="AG19" s="161">
        <v>0</v>
      </c>
      <c r="AH19" s="181"/>
      <c r="AI19" s="161">
        <v>0</v>
      </c>
    </row>
    <row r="20" spans="2:35" ht="16.5" x14ac:dyDescent="0.3">
      <c r="B20" s="89"/>
      <c r="C20" s="89"/>
      <c r="D20" s="251" t="s">
        <v>168</v>
      </c>
      <c r="E20" s="252">
        <v>0</v>
      </c>
      <c r="F20" s="253">
        <v>2</v>
      </c>
      <c r="G20" s="252">
        <v>0</v>
      </c>
      <c r="H20" s="253">
        <v>3</v>
      </c>
      <c r="I20" s="252">
        <v>0</v>
      </c>
      <c r="J20" s="253">
        <v>1</v>
      </c>
      <c r="K20" s="252">
        <v>0</v>
      </c>
      <c r="L20" s="253">
        <v>0</v>
      </c>
      <c r="M20" s="252">
        <v>0</v>
      </c>
      <c r="N20" s="253">
        <v>2</v>
      </c>
      <c r="O20" s="252">
        <v>0</v>
      </c>
      <c r="P20" s="253">
        <v>0</v>
      </c>
      <c r="Q20" s="252">
        <v>1</v>
      </c>
      <c r="R20" s="253">
        <v>3</v>
      </c>
      <c r="S20" s="252">
        <v>2</v>
      </c>
      <c r="T20" s="253">
        <v>0</v>
      </c>
      <c r="U20">
        <f t="shared" si="0"/>
        <v>3</v>
      </c>
      <c r="V20">
        <f t="shared" si="1"/>
        <v>11</v>
      </c>
      <c r="Y20" s="476" t="s">
        <v>168</v>
      </c>
      <c r="Z20" s="160">
        <f t="shared" si="2"/>
        <v>0</v>
      </c>
      <c r="AA20" s="161">
        <f t="shared" si="3"/>
        <v>6</v>
      </c>
      <c r="AB20" s="181">
        <f t="shared" si="4"/>
        <v>2</v>
      </c>
      <c r="AC20" s="161">
        <f t="shared" si="5"/>
        <v>2</v>
      </c>
      <c r="AD20" s="181">
        <v>1</v>
      </c>
      <c r="AE20" s="161">
        <v>3</v>
      </c>
      <c r="AF20" s="181">
        <v>2</v>
      </c>
      <c r="AG20" s="161">
        <v>0</v>
      </c>
      <c r="AH20" s="181"/>
      <c r="AI20" s="161">
        <v>0</v>
      </c>
    </row>
    <row r="21" spans="2:35" ht="16.5" x14ac:dyDescent="0.3">
      <c r="B21" s="89"/>
      <c r="C21" s="89"/>
      <c r="D21" s="251" t="s">
        <v>169</v>
      </c>
      <c r="E21" s="252">
        <v>0</v>
      </c>
      <c r="F21" s="253">
        <v>0</v>
      </c>
      <c r="G21" s="252">
        <v>1</v>
      </c>
      <c r="H21" s="253">
        <v>4</v>
      </c>
      <c r="I21" s="252">
        <v>2</v>
      </c>
      <c r="J21" s="253">
        <v>0</v>
      </c>
      <c r="K21" s="252">
        <v>0</v>
      </c>
      <c r="L21" s="253">
        <v>1</v>
      </c>
      <c r="M21" s="252">
        <v>0</v>
      </c>
      <c r="N21" s="253">
        <v>0</v>
      </c>
      <c r="O21" s="252">
        <v>1</v>
      </c>
      <c r="P21" s="253">
        <v>1</v>
      </c>
      <c r="Q21" s="252">
        <v>1</v>
      </c>
      <c r="R21" s="253">
        <v>3</v>
      </c>
      <c r="S21" s="252">
        <v>2</v>
      </c>
      <c r="T21" s="253">
        <v>0</v>
      </c>
      <c r="U21">
        <f t="shared" si="0"/>
        <v>7</v>
      </c>
      <c r="V21">
        <f t="shared" si="1"/>
        <v>9</v>
      </c>
      <c r="Y21" s="476" t="s">
        <v>169</v>
      </c>
      <c r="Z21" s="160">
        <f t="shared" si="2"/>
        <v>3</v>
      </c>
      <c r="AA21" s="161">
        <f t="shared" si="3"/>
        <v>4</v>
      </c>
      <c r="AB21" s="181">
        <f t="shared" si="4"/>
        <v>2</v>
      </c>
      <c r="AC21" s="161">
        <f t="shared" si="5"/>
        <v>1</v>
      </c>
      <c r="AD21" s="181">
        <v>1</v>
      </c>
      <c r="AE21" s="161">
        <v>3</v>
      </c>
      <c r="AF21" s="181">
        <v>2</v>
      </c>
      <c r="AG21" s="161">
        <v>0</v>
      </c>
      <c r="AH21" s="181"/>
      <c r="AI21" s="161">
        <v>2</v>
      </c>
    </row>
    <row r="22" spans="2:35" ht="16.5" x14ac:dyDescent="0.3">
      <c r="B22" s="89"/>
      <c r="C22" s="89"/>
      <c r="D22" s="251" t="s">
        <v>56</v>
      </c>
      <c r="E22" s="252">
        <v>1</v>
      </c>
      <c r="F22" s="253">
        <v>1</v>
      </c>
      <c r="G22" s="252">
        <v>1</v>
      </c>
      <c r="H22" s="253">
        <v>2</v>
      </c>
      <c r="I22" s="252">
        <v>2</v>
      </c>
      <c r="J22" s="253">
        <v>9</v>
      </c>
      <c r="K22" s="252">
        <v>7</v>
      </c>
      <c r="L22" s="253">
        <v>7</v>
      </c>
      <c r="M22" s="252">
        <v>1</v>
      </c>
      <c r="N22" s="253">
        <v>3</v>
      </c>
      <c r="O22" s="252">
        <v>2</v>
      </c>
      <c r="P22" s="253">
        <v>2</v>
      </c>
      <c r="Q22" s="252">
        <v>3</v>
      </c>
      <c r="R22" s="253">
        <v>0</v>
      </c>
      <c r="S22" s="252">
        <v>3</v>
      </c>
      <c r="T22" s="253">
        <v>3</v>
      </c>
      <c r="U22">
        <f t="shared" si="0"/>
        <v>20</v>
      </c>
      <c r="V22">
        <f t="shared" si="1"/>
        <v>27</v>
      </c>
      <c r="Y22" s="476" t="s">
        <v>56</v>
      </c>
      <c r="Z22" s="160">
        <f t="shared" si="2"/>
        <v>4</v>
      </c>
      <c r="AA22" s="161">
        <f t="shared" si="3"/>
        <v>12</v>
      </c>
      <c r="AB22" s="181">
        <f t="shared" si="4"/>
        <v>11</v>
      </c>
      <c r="AC22" s="161">
        <f t="shared" si="5"/>
        <v>13</v>
      </c>
      <c r="AD22" s="181">
        <v>3</v>
      </c>
      <c r="AE22" s="161">
        <v>0</v>
      </c>
      <c r="AF22" s="181">
        <v>3</v>
      </c>
      <c r="AG22" s="161">
        <v>3</v>
      </c>
      <c r="AH22" s="181"/>
      <c r="AI22" s="161">
        <v>2</v>
      </c>
    </row>
    <row r="23" spans="2:35" ht="16.5" x14ac:dyDescent="0.3">
      <c r="B23" s="89"/>
      <c r="C23" s="89"/>
      <c r="D23" s="251" t="s">
        <v>170</v>
      </c>
      <c r="E23" s="252">
        <v>0</v>
      </c>
      <c r="F23" s="253">
        <v>0</v>
      </c>
      <c r="G23" s="252">
        <v>0</v>
      </c>
      <c r="H23" s="253">
        <v>0</v>
      </c>
      <c r="I23" s="252">
        <v>0</v>
      </c>
      <c r="J23" s="253">
        <v>0</v>
      </c>
      <c r="K23" s="252">
        <v>0</v>
      </c>
      <c r="L23" s="253">
        <v>0</v>
      </c>
      <c r="M23" s="252">
        <v>0</v>
      </c>
      <c r="N23" s="253">
        <v>0</v>
      </c>
      <c r="O23" s="252">
        <v>0</v>
      </c>
      <c r="P23" s="253">
        <v>0</v>
      </c>
      <c r="Q23" s="252">
        <v>0</v>
      </c>
      <c r="R23" s="253">
        <v>4</v>
      </c>
      <c r="S23" s="252">
        <v>0</v>
      </c>
      <c r="T23" s="253">
        <v>0</v>
      </c>
      <c r="U23">
        <f t="shared" si="0"/>
        <v>0</v>
      </c>
      <c r="V23">
        <f t="shared" si="1"/>
        <v>4</v>
      </c>
      <c r="Y23" s="476" t="s">
        <v>170</v>
      </c>
      <c r="Z23" s="160">
        <f t="shared" si="2"/>
        <v>0</v>
      </c>
      <c r="AA23" s="161">
        <f t="shared" si="3"/>
        <v>0</v>
      </c>
      <c r="AB23" s="181">
        <f t="shared" si="4"/>
        <v>0</v>
      </c>
      <c r="AC23" s="161">
        <f t="shared" si="5"/>
        <v>0</v>
      </c>
      <c r="AD23" s="181">
        <v>0</v>
      </c>
      <c r="AE23" s="161">
        <v>4</v>
      </c>
      <c r="AF23" s="181">
        <v>0</v>
      </c>
      <c r="AG23" s="161">
        <v>0</v>
      </c>
      <c r="AH23" s="181"/>
      <c r="AI23" s="161">
        <v>0</v>
      </c>
    </row>
    <row r="24" spans="2:35" ht="16.5" x14ac:dyDescent="0.3">
      <c r="B24" s="89"/>
      <c r="C24" s="89"/>
      <c r="D24" s="251" t="s">
        <v>171</v>
      </c>
      <c r="E24" s="252">
        <v>1</v>
      </c>
      <c r="F24" s="253">
        <v>0</v>
      </c>
      <c r="G24" s="252">
        <v>0</v>
      </c>
      <c r="H24" s="253">
        <v>0</v>
      </c>
      <c r="I24" s="252">
        <v>0</v>
      </c>
      <c r="J24" s="253">
        <v>0</v>
      </c>
      <c r="K24" s="252">
        <v>0</v>
      </c>
      <c r="L24" s="253">
        <v>0</v>
      </c>
      <c r="M24" s="252">
        <v>0</v>
      </c>
      <c r="N24" s="253">
        <v>0</v>
      </c>
      <c r="O24" s="252">
        <v>0</v>
      </c>
      <c r="P24" s="253">
        <v>0</v>
      </c>
      <c r="Q24" s="252">
        <v>0</v>
      </c>
      <c r="R24" s="253">
        <v>0</v>
      </c>
      <c r="S24" s="252">
        <v>0</v>
      </c>
      <c r="T24" s="253">
        <v>0</v>
      </c>
      <c r="U24">
        <f t="shared" si="0"/>
        <v>1</v>
      </c>
      <c r="V24">
        <f t="shared" si="1"/>
        <v>0</v>
      </c>
      <c r="Y24" s="476" t="s">
        <v>171</v>
      </c>
      <c r="Z24" s="160">
        <f t="shared" si="2"/>
        <v>1</v>
      </c>
      <c r="AA24" s="161">
        <f t="shared" si="3"/>
        <v>0</v>
      </c>
      <c r="AB24" s="181">
        <f t="shared" si="4"/>
        <v>0</v>
      </c>
      <c r="AC24" s="161">
        <f t="shared" si="5"/>
        <v>0</v>
      </c>
      <c r="AD24" s="181">
        <v>0</v>
      </c>
      <c r="AE24" s="161">
        <v>0</v>
      </c>
      <c r="AF24" s="181">
        <v>0</v>
      </c>
      <c r="AG24" s="161">
        <v>0</v>
      </c>
      <c r="AH24" s="181"/>
      <c r="AI24" s="161">
        <v>0</v>
      </c>
    </row>
    <row r="25" spans="2:35" ht="16.5" x14ac:dyDescent="0.3">
      <c r="B25" s="89"/>
      <c r="C25" s="89"/>
      <c r="D25" s="251" t="s">
        <v>55</v>
      </c>
      <c r="E25" s="252">
        <v>0</v>
      </c>
      <c r="F25" s="253">
        <v>0</v>
      </c>
      <c r="G25" s="252">
        <v>0</v>
      </c>
      <c r="H25" s="253">
        <v>0</v>
      </c>
      <c r="I25" s="252">
        <v>0</v>
      </c>
      <c r="J25" s="253">
        <v>0</v>
      </c>
      <c r="K25" s="252">
        <v>0</v>
      </c>
      <c r="L25" s="253">
        <v>0</v>
      </c>
      <c r="M25" s="252">
        <v>0</v>
      </c>
      <c r="N25" s="253">
        <v>0</v>
      </c>
      <c r="O25" s="252">
        <v>0</v>
      </c>
      <c r="P25" s="253">
        <v>0</v>
      </c>
      <c r="Q25" s="252">
        <v>0</v>
      </c>
      <c r="R25" s="253">
        <v>2</v>
      </c>
      <c r="S25" s="252">
        <v>0</v>
      </c>
      <c r="T25" s="253">
        <v>0</v>
      </c>
      <c r="U25">
        <f t="shared" si="0"/>
        <v>0</v>
      </c>
      <c r="V25">
        <f t="shared" si="1"/>
        <v>2</v>
      </c>
      <c r="Y25" s="476" t="s">
        <v>172</v>
      </c>
      <c r="Z25" s="160">
        <f t="shared" si="2"/>
        <v>0</v>
      </c>
      <c r="AA25" s="161">
        <f t="shared" si="3"/>
        <v>0</v>
      </c>
      <c r="AB25" s="181">
        <f t="shared" si="4"/>
        <v>0</v>
      </c>
      <c r="AC25" s="161">
        <f t="shared" si="5"/>
        <v>0</v>
      </c>
      <c r="AD25" s="181">
        <v>0</v>
      </c>
      <c r="AE25" s="161">
        <v>2</v>
      </c>
      <c r="AF25" s="181">
        <v>0</v>
      </c>
      <c r="AG25" s="161">
        <v>0</v>
      </c>
      <c r="AH25" s="181"/>
      <c r="AI25" s="161">
        <v>1</v>
      </c>
    </row>
    <row r="26" spans="2:35" ht="16.5" x14ac:dyDescent="0.3">
      <c r="B26" s="89"/>
      <c r="C26" s="89"/>
      <c r="D26" s="251" t="s">
        <v>173</v>
      </c>
      <c r="E26" s="254">
        <v>0</v>
      </c>
      <c r="F26" s="255">
        <v>3</v>
      </c>
      <c r="G26" s="254">
        <v>6</v>
      </c>
      <c r="H26" s="255">
        <v>6</v>
      </c>
      <c r="I26" s="254">
        <v>7</v>
      </c>
      <c r="J26" s="255">
        <v>3</v>
      </c>
      <c r="K26" s="254">
        <v>9</v>
      </c>
      <c r="L26" s="255">
        <v>9</v>
      </c>
      <c r="M26" s="254">
        <v>6</v>
      </c>
      <c r="N26" s="255">
        <v>6</v>
      </c>
      <c r="O26" s="252">
        <v>4</v>
      </c>
      <c r="P26" s="255">
        <v>1</v>
      </c>
      <c r="Q26" s="252">
        <v>7</v>
      </c>
      <c r="R26" s="255">
        <v>0</v>
      </c>
      <c r="S26" s="252">
        <v>4</v>
      </c>
      <c r="T26" s="255">
        <v>6</v>
      </c>
      <c r="U26">
        <f t="shared" si="0"/>
        <v>43</v>
      </c>
      <c r="V26">
        <f t="shared" si="1"/>
        <v>34</v>
      </c>
      <c r="Y26" s="476" t="s">
        <v>173</v>
      </c>
      <c r="Z26" s="160">
        <f t="shared" si="2"/>
        <v>13</v>
      </c>
      <c r="AA26" s="161">
        <f t="shared" si="3"/>
        <v>12</v>
      </c>
      <c r="AB26" s="181">
        <f t="shared" si="4"/>
        <v>19</v>
      </c>
      <c r="AC26" s="161">
        <f t="shared" si="5"/>
        <v>21</v>
      </c>
      <c r="AD26" s="181">
        <v>7</v>
      </c>
      <c r="AE26" s="161">
        <v>0</v>
      </c>
      <c r="AF26" s="181">
        <v>4</v>
      </c>
      <c r="AG26" s="161">
        <v>6</v>
      </c>
      <c r="AH26" s="181"/>
      <c r="AI26" s="161">
        <v>7</v>
      </c>
    </row>
    <row r="27" spans="2:35" ht="17.25" thickBot="1" x14ac:dyDescent="0.35">
      <c r="B27" s="89"/>
      <c r="C27" s="89"/>
      <c r="D27" s="256" t="s">
        <v>86</v>
      </c>
      <c r="E27" s="257">
        <v>1</v>
      </c>
      <c r="F27" s="258">
        <v>0</v>
      </c>
      <c r="G27" s="257">
        <v>0</v>
      </c>
      <c r="H27" s="258">
        <v>0</v>
      </c>
      <c r="I27" s="257">
        <v>0</v>
      </c>
      <c r="J27" s="258">
        <v>0</v>
      </c>
      <c r="K27" s="257">
        <v>0</v>
      </c>
      <c r="L27" s="258">
        <v>0</v>
      </c>
      <c r="M27" s="257">
        <v>0</v>
      </c>
      <c r="N27" s="258">
        <v>0</v>
      </c>
      <c r="O27" s="254">
        <v>0</v>
      </c>
      <c r="P27" s="258">
        <v>0</v>
      </c>
      <c r="Q27" s="254">
        <v>0</v>
      </c>
      <c r="R27" s="258">
        <v>9</v>
      </c>
      <c r="S27" s="254">
        <v>0</v>
      </c>
      <c r="T27" s="258">
        <v>0</v>
      </c>
      <c r="U27">
        <f t="shared" si="0"/>
        <v>1</v>
      </c>
      <c r="V27">
        <f t="shared" si="1"/>
        <v>9</v>
      </c>
      <c r="Y27" s="625" t="s">
        <v>86</v>
      </c>
      <c r="Z27" s="209">
        <f t="shared" si="2"/>
        <v>1</v>
      </c>
      <c r="AA27" s="320">
        <f t="shared" si="3"/>
        <v>0</v>
      </c>
      <c r="AB27" s="182">
        <f t="shared" si="4"/>
        <v>0</v>
      </c>
      <c r="AC27" s="320">
        <f t="shared" si="5"/>
        <v>0</v>
      </c>
      <c r="AD27" s="182">
        <v>0</v>
      </c>
      <c r="AE27" s="320">
        <v>9</v>
      </c>
      <c r="AF27" s="182">
        <v>0</v>
      </c>
      <c r="AG27" s="320">
        <v>0</v>
      </c>
      <c r="AH27" s="182"/>
      <c r="AI27" s="320">
        <v>0</v>
      </c>
    </row>
    <row r="28" spans="2:35" ht="15.75" thickBot="1" x14ac:dyDescent="0.3">
      <c r="B28" s="89"/>
      <c r="C28" s="89"/>
      <c r="D28" s="332" t="s">
        <v>106</v>
      </c>
      <c r="E28" s="333">
        <f t="shared" ref="E28:T28" si="6">SUM(E7:E27)</f>
        <v>55</v>
      </c>
      <c r="F28" s="333">
        <f t="shared" si="6"/>
        <v>64</v>
      </c>
      <c r="G28" s="333">
        <f t="shared" si="6"/>
        <v>81</v>
      </c>
      <c r="H28" s="333">
        <f t="shared" si="6"/>
        <v>71</v>
      </c>
      <c r="I28" s="333">
        <f t="shared" si="6"/>
        <v>90</v>
      </c>
      <c r="J28" s="333">
        <f t="shared" si="6"/>
        <v>81</v>
      </c>
      <c r="K28" s="333">
        <f t="shared" si="6"/>
        <v>57</v>
      </c>
      <c r="L28" s="333">
        <f t="shared" si="6"/>
        <v>89</v>
      </c>
      <c r="M28" s="333">
        <f t="shared" si="6"/>
        <v>54</v>
      </c>
      <c r="N28" s="333">
        <f t="shared" si="6"/>
        <v>84</v>
      </c>
      <c r="O28" s="482">
        <f t="shared" si="6"/>
        <v>54</v>
      </c>
      <c r="P28" s="333">
        <f t="shared" si="6"/>
        <v>53</v>
      </c>
      <c r="Q28" s="482">
        <f t="shared" ref="Q28:R28" si="7">SUM(Q7:Q27)</f>
        <v>79</v>
      </c>
      <c r="R28" s="333">
        <f t="shared" si="7"/>
        <v>135</v>
      </c>
      <c r="S28" s="482">
        <f t="shared" si="6"/>
        <v>53</v>
      </c>
      <c r="T28" s="333">
        <f t="shared" si="6"/>
        <v>84</v>
      </c>
      <c r="U28">
        <f t="shared" si="0"/>
        <v>523</v>
      </c>
      <c r="V28">
        <f t="shared" si="1"/>
        <v>661</v>
      </c>
      <c r="Y28" s="626" t="s">
        <v>106</v>
      </c>
      <c r="Z28" s="464">
        <f>E28+G28+I28</f>
        <v>226</v>
      </c>
      <c r="AA28" s="465">
        <f>F28+H28+J28</f>
        <v>216</v>
      </c>
      <c r="AB28" s="329">
        <f t="shared" si="4"/>
        <v>164</v>
      </c>
      <c r="AC28" s="465">
        <f t="shared" si="5"/>
        <v>257</v>
      </c>
      <c r="AD28" s="329">
        <f>SUM(AD7:AD27)</f>
        <v>79</v>
      </c>
      <c r="AE28" s="465">
        <f>SUM(AE7:AE27)</f>
        <v>135</v>
      </c>
      <c r="AF28" s="329">
        <f>SUM(AF7:AF27)</f>
        <v>53</v>
      </c>
      <c r="AG28" s="465">
        <f>SUM(AG7:AG27)</f>
        <v>84</v>
      </c>
      <c r="AH28" s="329">
        <f>SUM(AH7:AH27)</f>
        <v>0</v>
      </c>
      <c r="AI28" s="465">
        <f>SUM(AI7:AI27)</f>
        <v>102</v>
      </c>
    </row>
    <row r="29" spans="2:35" x14ac:dyDescent="0.25">
      <c r="B29" s="89"/>
      <c r="C29" s="89"/>
    </row>
    <row r="30" spans="2:35" x14ac:dyDescent="0.25">
      <c r="B30" s="88"/>
      <c r="C30" s="88"/>
    </row>
    <row r="33" spans="2:35" ht="15.75" thickBot="1" x14ac:dyDescent="0.3"/>
    <row r="34" spans="2:35" ht="15.75" thickBot="1" x14ac:dyDescent="0.3">
      <c r="D34" s="800" t="s">
        <v>432</v>
      </c>
      <c r="E34" s="801"/>
      <c r="F34" s="801"/>
      <c r="G34" s="801"/>
      <c r="H34" s="801"/>
      <c r="I34" s="801"/>
      <c r="J34" s="801"/>
      <c r="K34" s="801"/>
      <c r="L34" s="801"/>
      <c r="M34" s="801"/>
      <c r="N34" s="801"/>
      <c r="O34" s="801"/>
      <c r="P34" s="801"/>
      <c r="Q34" s="801"/>
      <c r="R34" s="801"/>
      <c r="S34" s="801"/>
      <c r="T34" s="802"/>
      <c r="Y34" s="800" t="s">
        <v>432</v>
      </c>
      <c r="Z34" s="801"/>
      <c r="AA34" s="801"/>
      <c r="AB34" s="801"/>
      <c r="AC34" s="801"/>
      <c r="AD34" s="801"/>
      <c r="AE34" s="801"/>
      <c r="AF34" s="801"/>
      <c r="AG34" s="801"/>
      <c r="AH34" s="109"/>
      <c r="AI34" s="109"/>
    </row>
    <row r="35" spans="2:35" ht="15.75" thickBot="1" x14ac:dyDescent="0.3">
      <c r="D35" s="806" t="s">
        <v>151</v>
      </c>
      <c r="E35" s="808" t="s">
        <v>152</v>
      </c>
      <c r="F35" s="809"/>
      <c r="G35" s="808" t="s">
        <v>153</v>
      </c>
      <c r="H35" s="809"/>
      <c r="I35" s="808" t="s">
        <v>363</v>
      </c>
      <c r="J35" s="809"/>
      <c r="K35" s="795" t="s">
        <v>155</v>
      </c>
      <c r="L35" s="796"/>
      <c r="M35" s="795" t="s">
        <v>354</v>
      </c>
      <c r="N35" s="796"/>
      <c r="O35" s="795" t="s">
        <v>157</v>
      </c>
      <c r="P35" s="796"/>
      <c r="Q35" s="795" t="s">
        <v>602</v>
      </c>
      <c r="R35" s="796"/>
      <c r="S35" s="795" t="s">
        <v>384</v>
      </c>
      <c r="T35" s="796"/>
      <c r="Y35" s="806" t="s">
        <v>151</v>
      </c>
      <c r="Z35" s="795" t="s">
        <v>390</v>
      </c>
      <c r="AA35" s="796"/>
      <c r="AB35" s="795" t="s">
        <v>579</v>
      </c>
      <c r="AC35" s="796"/>
      <c r="AD35" s="795" t="s">
        <v>602</v>
      </c>
      <c r="AE35" s="796"/>
      <c r="AF35" s="795" t="s">
        <v>384</v>
      </c>
      <c r="AG35" s="846"/>
      <c r="AH35" s="851" t="s">
        <v>160</v>
      </c>
      <c r="AI35" s="852"/>
    </row>
    <row r="36" spans="2:35" ht="15.75" thickBot="1" x14ac:dyDescent="0.3">
      <c r="D36" s="807"/>
      <c r="E36" s="331">
        <v>2025</v>
      </c>
      <c r="F36" s="482">
        <v>2026</v>
      </c>
      <c r="G36" s="331">
        <v>2025</v>
      </c>
      <c r="H36" s="482">
        <v>2026</v>
      </c>
      <c r="I36" s="331">
        <v>2025</v>
      </c>
      <c r="J36" s="482">
        <v>2026</v>
      </c>
      <c r="K36" s="593">
        <v>2025</v>
      </c>
      <c r="L36" s="593">
        <v>2026</v>
      </c>
      <c r="M36" s="593">
        <v>2025</v>
      </c>
      <c r="N36" s="593">
        <v>2026</v>
      </c>
      <c r="O36" s="593">
        <v>2025</v>
      </c>
      <c r="P36" s="593">
        <v>2026</v>
      </c>
      <c r="Q36" s="593">
        <v>2025</v>
      </c>
      <c r="R36" s="593">
        <v>2026</v>
      </c>
      <c r="S36" s="593">
        <v>2025</v>
      </c>
      <c r="T36" s="593">
        <v>2026</v>
      </c>
      <c r="Y36" s="807"/>
      <c r="Z36" s="593">
        <v>2025</v>
      </c>
      <c r="AA36" s="593">
        <v>2026</v>
      </c>
      <c r="AB36" s="593">
        <v>2025</v>
      </c>
      <c r="AC36" s="593">
        <v>2026</v>
      </c>
      <c r="AD36" s="593">
        <v>2025</v>
      </c>
      <c r="AE36" s="593">
        <v>2026</v>
      </c>
      <c r="AF36" s="593">
        <v>2025</v>
      </c>
      <c r="AG36" s="679">
        <v>2026</v>
      </c>
      <c r="AH36" s="853">
        <v>2025</v>
      </c>
      <c r="AI36" s="854">
        <v>2026</v>
      </c>
    </row>
    <row r="37" spans="2:35" ht="15.75" x14ac:dyDescent="0.3">
      <c r="D37" s="259" t="s">
        <v>165</v>
      </c>
      <c r="E37" s="477">
        <v>0</v>
      </c>
      <c r="F37" s="581">
        <v>0</v>
      </c>
      <c r="G37" s="586">
        <v>0</v>
      </c>
      <c r="H37" s="477">
        <v>0</v>
      </c>
      <c r="I37" s="477">
        <v>0</v>
      </c>
      <c r="J37" s="581">
        <v>0</v>
      </c>
      <c r="K37" s="581">
        <v>0</v>
      </c>
      <c r="L37" s="581">
        <v>0</v>
      </c>
      <c r="M37" s="477">
        <v>0</v>
      </c>
      <c r="N37" s="581">
        <v>0</v>
      </c>
      <c r="O37" s="477">
        <v>0</v>
      </c>
      <c r="P37" s="581">
        <v>0</v>
      </c>
      <c r="Q37" s="477">
        <v>0</v>
      </c>
      <c r="R37" s="581">
        <v>0</v>
      </c>
      <c r="S37" s="477">
        <v>0</v>
      </c>
      <c r="T37" s="581">
        <v>0</v>
      </c>
      <c r="U37">
        <f>E37+G37+I37+K37+M37+O37+Q37+S37</f>
        <v>0</v>
      </c>
      <c r="V37">
        <f>F37+H37+J37+L37+N37+P37+R37+T37</f>
        <v>0</v>
      </c>
      <c r="Y37" s="487" t="s">
        <v>165</v>
      </c>
      <c r="Z37" s="645">
        <f>E37+G37+I37</f>
        <v>0</v>
      </c>
      <c r="AA37" s="643">
        <f>F37+H37+J37</f>
        <v>0</v>
      </c>
      <c r="AB37" s="645">
        <f>K37+M37+S37</f>
        <v>0</v>
      </c>
      <c r="AC37" s="643">
        <f>L37+N37+T37</f>
        <v>0</v>
      </c>
      <c r="AD37" s="641">
        <v>0</v>
      </c>
      <c r="AE37" s="639">
        <v>0</v>
      </c>
      <c r="AF37" s="477">
        <v>0</v>
      </c>
      <c r="AG37" s="847">
        <v>0</v>
      </c>
      <c r="AH37" s="855">
        <v>0</v>
      </c>
      <c r="AI37" s="856">
        <v>0</v>
      </c>
    </row>
    <row r="38" spans="2:35" s="91" customFormat="1" ht="15.75" x14ac:dyDescent="0.3">
      <c r="B38" s="90"/>
      <c r="C38" s="90"/>
      <c r="D38" s="260" t="s">
        <v>174</v>
      </c>
      <c r="E38" s="478">
        <v>1</v>
      </c>
      <c r="F38" s="582">
        <v>3</v>
      </c>
      <c r="G38" s="587">
        <v>0</v>
      </c>
      <c r="H38" s="478">
        <v>1</v>
      </c>
      <c r="I38" s="478">
        <v>2</v>
      </c>
      <c r="J38" s="582">
        <v>0</v>
      </c>
      <c r="K38" s="582">
        <v>1</v>
      </c>
      <c r="L38" s="582">
        <v>0</v>
      </c>
      <c r="M38" s="478">
        <v>4</v>
      </c>
      <c r="N38" s="582">
        <v>0</v>
      </c>
      <c r="O38" s="478">
        <v>1</v>
      </c>
      <c r="P38" s="582">
        <v>1</v>
      </c>
      <c r="Q38" s="478">
        <v>1</v>
      </c>
      <c r="R38" s="582">
        <v>2</v>
      </c>
      <c r="S38" s="478">
        <v>1</v>
      </c>
      <c r="T38" s="582">
        <v>2</v>
      </c>
      <c r="U38">
        <f t="shared" ref="U38:U52" si="8">E38+G38+I38+K38+M38+O38+Q38+S38</f>
        <v>11</v>
      </c>
      <c r="V38">
        <f t="shared" ref="V38:V52" si="9">F38+H38+J38+L38+N38+P38+R38+T38</f>
        <v>9</v>
      </c>
      <c r="Y38" s="489" t="s">
        <v>174</v>
      </c>
      <c r="Z38" s="647">
        <f t="shared" ref="Z38:Z52" si="10">E38+G38+I38</f>
        <v>3</v>
      </c>
      <c r="AA38" s="646">
        <f t="shared" ref="AA38:AA52" si="11">F38+H38+J38</f>
        <v>4</v>
      </c>
      <c r="AB38" s="647">
        <f t="shared" ref="AB38:AB52" si="12">K38+M38+S38</f>
        <v>6</v>
      </c>
      <c r="AC38" s="646">
        <f t="shared" ref="AC38:AC52" si="13">L38+N38+T38</f>
        <v>2</v>
      </c>
      <c r="AD38" s="644">
        <v>1</v>
      </c>
      <c r="AE38" s="642">
        <v>2</v>
      </c>
      <c r="AF38" s="478">
        <v>1</v>
      </c>
      <c r="AG38" s="848">
        <v>2</v>
      </c>
      <c r="AH38" s="261"/>
      <c r="AI38" s="857">
        <v>1</v>
      </c>
    </row>
    <row r="39" spans="2:35" s="91" customFormat="1" ht="15.75" x14ac:dyDescent="0.3">
      <c r="B39" s="90"/>
      <c r="C39" s="90"/>
      <c r="D39" s="260" t="s">
        <v>508</v>
      </c>
      <c r="E39" s="585">
        <v>0</v>
      </c>
      <c r="F39" s="584">
        <v>0</v>
      </c>
      <c r="G39" s="580">
        <v>0</v>
      </c>
      <c r="H39" s="585">
        <v>0</v>
      </c>
      <c r="I39" s="585">
        <v>0</v>
      </c>
      <c r="J39" s="584">
        <v>1</v>
      </c>
      <c r="K39" s="584">
        <v>0</v>
      </c>
      <c r="L39" s="584">
        <v>0</v>
      </c>
      <c r="M39" s="585">
        <v>0</v>
      </c>
      <c r="N39" s="584">
        <v>0</v>
      </c>
      <c r="O39" s="585">
        <v>0</v>
      </c>
      <c r="P39" s="584">
        <v>0</v>
      </c>
      <c r="Q39" s="585">
        <v>0</v>
      </c>
      <c r="R39" s="584">
        <v>0</v>
      </c>
      <c r="S39" s="585">
        <v>0</v>
      </c>
      <c r="T39" s="584">
        <v>2</v>
      </c>
      <c r="U39">
        <f t="shared" si="8"/>
        <v>0</v>
      </c>
      <c r="V39">
        <f t="shared" si="9"/>
        <v>3</v>
      </c>
      <c r="Y39" s="489" t="s">
        <v>508</v>
      </c>
      <c r="Z39" s="647">
        <f t="shared" si="10"/>
        <v>0</v>
      </c>
      <c r="AA39" s="646">
        <f t="shared" si="11"/>
        <v>1</v>
      </c>
      <c r="AB39" s="647">
        <f t="shared" si="12"/>
        <v>0</v>
      </c>
      <c r="AC39" s="646">
        <f t="shared" si="13"/>
        <v>2</v>
      </c>
      <c r="AD39" s="640">
        <v>0</v>
      </c>
      <c r="AE39" s="638">
        <v>0</v>
      </c>
      <c r="AF39" s="585">
        <v>0</v>
      </c>
      <c r="AG39" s="849">
        <v>2</v>
      </c>
      <c r="AH39" s="253"/>
      <c r="AI39" s="858"/>
    </row>
    <row r="40" spans="2:35" s="91" customFormat="1" ht="15.75" x14ac:dyDescent="0.3">
      <c r="B40" s="90"/>
      <c r="C40" s="90"/>
      <c r="D40" s="260" t="s">
        <v>175</v>
      </c>
      <c r="E40" s="478">
        <v>0</v>
      </c>
      <c r="F40" s="582">
        <v>3</v>
      </c>
      <c r="G40" s="587">
        <v>8</v>
      </c>
      <c r="H40" s="478">
        <v>12</v>
      </c>
      <c r="I40" s="478">
        <v>10</v>
      </c>
      <c r="J40" s="582">
        <v>5</v>
      </c>
      <c r="K40" s="582">
        <v>9</v>
      </c>
      <c r="L40" s="582">
        <v>14</v>
      </c>
      <c r="M40" s="478">
        <v>8</v>
      </c>
      <c r="N40" s="582">
        <v>6</v>
      </c>
      <c r="O40" s="478">
        <v>10</v>
      </c>
      <c r="P40" s="582">
        <v>7</v>
      </c>
      <c r="Q40" s="478">
        <v>13</v>
      </c>
      <c r="R40" s="582">
        <v>21</v>
      </c>
      <c r="S40" s="478">
        <v>5</v>
      </c>
      <c r="T40" s="582">
        <v>14</v>
      </c>
      <c r="U40" s="649">
        <f t="shared" si="8"/>
        <v>63</v>
      </c>
      <c r="V40" s="649">
        <f t="shared" si="9"/>
        <v>82</v>
      </c>
      <c r="Y40" s="489" t="s">
        <v>175</v>
      </c>
      <c r="Z40" s="647">
        <f t="shared" si="10"/>
        <v>18</v>
      </c>
      <c r="AA40" s="646">
        <f t="shared" si="11"/>
        <v>20</v>
      </c>
      <c r="AB40" s="647">
        <f t="shared" si="12"/>
        <v>22</v>
      </c>
      <c r="AC40" s="646">
        <f t="shared" si="13"/>
        <v>34</v>
      </c>
      <c r="AD40" s="644">
        <v>13</v>
      </c>
      <c r="AE40" s="642">
        <v>21</v>
      </c>
      <c r="AF40" s="478">
        <v>5</v>
      </c>
      <c r="AG40" s="848">
        <v>14</v>
      </c>
      <c r="AH40" s="261"/>
      <c r="AI40" s="857"/>
    </row>
    <row r="41" spans="2:35" s="91" customFormat="1" ht="15.75" x14ac:dyDescent="0.3">
      <c r="B41" s="90"/>
      <c r="C41" s="90"/>
      <c r="D41" s="260" t="s">
        <v>326</v>
      </c>
      <c r="E41" s="478">
        <v>0</v>
      </c>
      <c r="F41" s="582">
        <v>0</v>
      </c>
      <c r="G41" s="587">
        <v>0</v>
      </c>
      <c r="H41" s="478">
        <v>0</v>
      </c>
      <c r="I41" s="478">
        <v>0</v>
      </c>
      <c r="J41" s="582">
        <v>0</v>
      </c>
      <c r="K41" s="582">
        <v>2</v>
      </c>
      <c r="L41" s="582">
        <v>0</v>
      </c>
      <c r="M41" s="478">
        <v>0</v>
      </c>
      <c r="N41" s="582">
        <v>0</v>
      </c>
      <c r="O41" s="478">
        <v>0</v>
      </c>
      <c r="P41" s="582">
        <v>0</v>
      </c>
      <c r="Q41" s="478">
        <v>0</v>
      </c>
      <c r="R41" s="582">
        <v>0</v>
      </c>
      <c r="S41" s="478">
        <v>0</v>
      </c>
      <c r="T41" s="582">
        <v>0</v>
      </c>
      <c r="U41">
        <f t="shared" si="8"/>
        <v>2</v>
      </c>
      <c r="V41">
        <f t="shared" si="9"/>
        <v>0</v>
      </c>
      <c r="Y41" s="489" t="s">
        <v>326</v>
      </c>
      <c r="Z41" s="647">
        <f t="shared" si="10"/>
        <v>0</v>
      </c>
      <c r="AA41" s="646">
        <f t="shared" si="11"/>
        <v>0</v>
      </c>
      <c r="AB41" s="647">
        <f t="shared" si="12"/>
        <v>2</v>
      </c>
      <c r="AC41" s="646">
        <f t="shared" si="13"/>
        <v>0</v>
      </c>
      <c r="AD41" s="644">
        <v>0</v>
      </c>
      <c r="AE41" s="642">
        <v>0</v>
      </c>
      <c r="AF41" s="478">
        <v>0</v>
      </c>
      <c r="AG41" s="848">
        <v>0</v>
      </c>
      <c r="AH41" s="261"/>
      <c r="AI41" s="857"/>
    </row>
    <row r="42" spans="2:35" s="91" customFormat="1" ht="15.75" x14ac:dyDescent="0.3">
      <c r="B42" s="90"/>
      <c r="C42" s="90"/>
      <c r="D42" s="476" t="s">
        <v>412</v>
      </c>
      <c r="E42" s="478">
        <v>0</v>
      </c>
      <c r="F42" s="582">
        <v>1</v>
      </c>
      <c r="G42" s="587">
        <v>0</v>
      </c>
      <c r="H42" s="478">
        <v>0</v>
      </c>
      <c r="I42" s="478">
        <v>0</v>
      </c>
      <c r="J42" s="582">
        <v>0</v>
      </c>
      <c r="K42" s="582">
        <v>0</v>
      </c>
      <c r="L42" s="582">
        <v>0</v>
      </c>
      <c r="M42" s="478">
        <v>0</v>
      </c>
      <c r="N42" s="582">
        <v>0</v>
      </c>
      <c r="O42" s="478">
        <v>0</v>
      </c>
      <c r="P42" s="582">
        <v>0</v>
      </c>
      <c r="Q42" s="478">
        <v>0</v>
      </c>
      <c r="R42" s="582">
        <v>0</v>
      </c>
      <c r="S42" s="478">
        <v>0</v>
      </c>
      <c r="T42" s="582">
        <v>0</v>
      </c>
      <c r="U42">
        <f t="shared" si="8"/>
        <v>0</v>
      </c>
      <c r="V42">
        <f t="shared" si="9"/>
        <v>1</v>
      </c>
      <c r="Y42" s="251" t="s">
        <v>412</v>
      </c>
      <c r="Z42" s="647">
        <f t="shared" si="10"/>
        <v>0</v>
      </c>
      <c r="AA42" s="646">
        <f t="shared" si="11"/>
        <v>1</v>
      </c>
      <c r="AB42" s="647">
        <f t="shared" si="12"/>
        <v>0</v>
      </c>
      <c r="AC42" s="646">
        <f t="shared" si="13"/>
        <v>0</v>
      </c>
      <c r="AD42" s="644">
        <v>0</v>
      </c>
      <c r="AE42" s="642">
        <v>0</v>
      </c>
      <c r="AF42" s="478">
        <v>0</v>
      </c>
      <c r="AG42" s="848">
        <v>0</v>
      </c>
      <c r="AH42" s="261"/>
      <c r="AI42" s="857"/>
    </row>
    <row r="43" spans="2:35" s="91" customFormat="1" ht="15.75" x14ac:dyDescent="0.3">
      <c r="B43" s="90"/>
      <c r="C43" s="90"/>
      <c r="D43" s="262" t="s">
        <v>57</v>
      </c>
      <c r="E43" s="478">
        <v>5</v>
      </c>
      <c r="F43" s="582">
        <v>10</v>
      </c>
      <c r="G43" s="587">
        <v>9</v>
      </c>
      <c r="H43" s="478">
        <v>5</v>
      </c>
      <c r="I43" s="478">
        <v>8</v>
      </c>
      <c r="J43" s="582">
        <v>5</v>
      </c>
      <c r="K43" s="582">
        <v>5</v>
      </c>
      <c r="L43" s="582">
        <v>14</v>
      </c>
      <c r="M43" s="478">
        <v>6</v>
      </c>
      <c r="N43" s="582">
        <v>7</v>
      </c>
      <c r="O43" s="478">
        <v>3</v>
      </c>
      <c r="P43" s="582">
        <v>6</v>
      </c>
      <c r="Q43" s="478">
        <v>10</v>
      </c>
      <c r="R43" s="582">
        <v>13</v>
      </c>
      <c r="S43" s="478">
        <v>5</v>
      </c>
      <c r="T43" s="582">
        <v>12</v>
      </c>
      <c r="U43">
        <f t="shared" si="8"/>
        <v>51</v>
      </c>
      <c r="V43" s="649">
        <f t="shared" si="9"/>
        <v>72</v>
      </c>
      <c r="Y43" s="489" t="s">
        <v>57</v>
      </c>
      <c r="Z43" s="647">
        <f t="shared" si="10"/>
        <v>22</v>
      </c>
      <c r="AA43" s="646">
        <f t="shared" si="11"/>
        <v>20</v>
      </c>
      <c r="AB43" s="647">
        <f t="shared" si="12"/>
        <v>16</v>
      </c>
      <c r="AC43" s="646">
        <f t="shared" si="13"/>
        <v>33</v>
      </c>
      <c r="AD43" s="644">
        <v>10</v>
      </c>
      <c r="AE43" s="642">
        <v>13</v>
      </c>
      <c r="AF43" s="478">
        <v>5</v>
      </c>
      <c r="AG43" s="848">
        <v>12</v>
      </c>
      <c r="AH43" s="261"/>
      <c r="AI43" s="857"/>
    </row>
    <row r="44" spans="2:35" ht="14.25" customHeight="1" x14ac:dyDescent="0.3">
      <c r="D44" s="262" t="s">
        <v>176</v>
      </c>
      <c r="E44" s="478">
        <v>0</v>
      </c>
      <c r="F44" s="582">
        <v>1</v>
      </c>
      <c r="G44" s="587">
        <v>0</v>
      </c>
      <c r="H44" s="478">
        <v>0</v>
      </c>
      <c r="I44" s="478">
        <v>0</v>
      </c>
      <c r="J44" s="582">
        <v>5</v>
      </c>
      <c r="K44" s="582">
        <v>0</v>
      </c>
      <c r="L44" s="582">
        <v>7</v>
      </c>
      <c r="M44" s="478">
        <v>0</v>
      </c>
      <c r="N44" s="582">
        <v>3</v>
      </c>
      <c r="O44" s="478">
        <v>0</v>
      </c>
      <c r="P44" s="582">
        <v>2</v>
      </c>
      <c r="Q44" s="478">
        <v>2</v>
      </c>
      <c r="R44" s="582">
        <v>4</v>
      </c>
      <c r="S44" s="478">
        <v>1</v>
      </c>
      <c r="T44" s="582">
        <v>3</v>
      </c>
      <c r="U44">
        <f t="shared" si="8"/>
        <v>3</v>
      </c>
      <c r="V44">
        <f t="shared" si="9"/>
        <v>25</v>
      </c>
      <c r="Y44" s="489" t="s">
        <v>176</v>
      </c>
      <c r="Z44" s="647">
        <f t="shared" si="10"/>
        <v>0</v>
      </c>
      <c r="AA44" s="646">
        <f t="shared" si="11"/>
        <v>6</v>
      </c>
      <c r="AB44" s="647">
        <f t="shared" si="12"/>
        <v>1</v>
      </c>
      <c r="AC44" s="646">
        <f t="shared" si="13"/>
        <v>13</v>
      </c>
      <c r="AD44" s="644">
        <v>2</v>
      </c>
      <c r="AE44" s="642">
        <v>4</v>
      </c>
      <c r="AF44" s="478">
        <v>1</v>
      </c>
      <c r="AG44" s="848">
        <v>3</v>
      </c>
      <c r="AH44" s="261"/>
      <c r="AI44" s="857"/>
    </row>
    <row r="45" spans="2:35" ht="15.75" x14ac:dyDescent="0.3">
      <c r="D45" s="262" t="s">
        <v>177</v>
      </c>
      <c r="E45" s="478">
        <v>3</v>
      </c>
      <c r="F45" s="582">
        <v>3</v>
      </c>
      <c r="G45" s="587">
        <v>16</v>
      </c>
      <c r="H45" s="478">
        <v>4</v>
      </c>
      <c r="I45" s="478">
        <v>13</v>
      </c>
      <c r="J45" s="582">
        <v>3</v>
      </c>
      <c r="K45" s="582">
        <v>4</v>
      </c>
      <c r="L45" s="582">
        <v>8</v>
      </c>
      <c r="M45" s="478">
        <v>6</v>
      </c>
      <c r="N45" s="582">
        <v>4</v>
      </c>
      <c r="O45" s="478">
        <v>10</v>
      </c>
      <c r="P45" s="582">
        <v>3</v>
      </c>
      <c r="Q45" s="478">
        <v>4</v>
      </c>
      <c r="R45" s="582">
        <v>2</v>
      </c>
      <c r="S45" s="478">
        <v>5</v>
      </c>
      <c r="T45" s="582">
        <v>1</v>
      </c>
      <c r="U45">
        <f t="shared" si="8"/>
        <v>61</v>
      </c>
      <c r="V45">
        <f t="shared" si="9"/>
        <v>28</v>
      </c>
      <c r="Y45" s="489" t="s">
        <v>177</v>
      </c>
      <c r="Z45" s="647">
        <f t="shared" si="10"/>
        <v>32</v>
      </c>
      <c r="AA45" s="646">
        <f t="shared" si="11"/>
        <v>10</v>
      </c>
      <c r="AB45" s="647">
        <f t="shared" si="12"/>
        <v>15</v>
      </c>
      <c r="AC45" s="646">
        <f t="shared" si="13"/>
        <v>13</v>
      </c>
      <c r="AD45" s="644">
        <v>4</v>
      </c>
      <c r="AE45" s="642">
        <v>2</v>
      </c>
      <c r="AF45" s="478">
        <v>5</v>
      </c>
      <c r="AG45" s="848">
        <v>1</v>
      </c>
      <c r="AH45" s="261"/>
      <c r="AI45" s="857"/>
    </row>
    <row r="46" spans="2:35" ht="15.75" x14ac:dyDescent="0.3">
      <c r="D46" s="262" t="s">
        <v>62</v>
      </c>
      <c r="E46" s="478">
        <v>15</v>
      </c>
      <c r="F46" s="582">
        <v>10</v>
      </c>
      <c r="G46" s="587">
        <v>20</v>
      </c>
      <c r="H46" s="478">
        <v>10</v>
      </c>
      <c r="I46" s="478">
        <v>16</v>
      </c>
      <c r="J46" s="582">
        <v>8</v>
      </c>
      <c r="K46" s="582">
        <v>9</v>
      </c>
      <c r="L46" s="582">
        <v>9</v>
      </c>
      <c r="M46" s="478">
        <v>5</v>
      </c>
      <c r="N46" s="582">
        <v>10</v>
      </c>
      <c r="O46" s="478">
        <v>10</v>
      </c>
      <c r="P46" s="582">
        <v>10</v>
      </c>
      <c r="Q46" s="478">
        <v>15</v>
      </c>
      <c r="R46" s="582">
        <v>15</v>
      </c>
      <c r="S46" s="478">
        <v>10</v>
      </c>
      <c r="T46" s="582">
        <v>4</v>
      </c>
      <c r="U46" s="649">
        <f t="shared" si="8"/>
        <v>100</v>
      </c>
      <c r="V46" s="649">
        <f t="shared" si="9"/>
        <v>76</v>
      </c>
      <c r="Y46" s="489" t="s">
        <v>62</v>
      </c>
      <c r="Z46" s="647">
        <f t="shared" si="10"/>
        <v>51</v>
      </c>
      <c r="AA46" s="646">
        <f t="shared" si="11"/>
        <v>28</v>
      </c>
      <c r="AB46" s="647">
        <f t="shared" si="12"/>
        <v>24</v>
      </c>
      <c r="AC46" s="646">
        <f t="shared" si="13"/>
        <v>23</v>
      </c>
      <c r="AD46" s="644">
        <v>15</v>
      </c>
      <c r="AE46" s="642">
        <v>15</v>
      </c>
      <c r="AF46" s="478">
        <v>10</v>
      </c>
      <c r="AG46" s="848">
        <v>4</v>
      </c>
      <c r="AH46" s="261"/>
      <c r="AI46" s="857"/>
    </row>
    <row r="47" spans="2:35" ht="15.75" x14ac:dyDescent="0.3">
      <c r="D47" s="262" t="s">
        <v>509</v>
      </c>
      <c r="E47" s="585">
        <v>0</v>
      </c>
      <c r="F47" s="584">
        <v>0</v>
      </c>
      <c r="G47" s="580">
        <v>0</v>
      </c>
      <c r="H47" s="585">
        <v>0</v>
      </c>
      <c r="I47" s="585">
        <v>0</v>
      </c>
      <c r="J47" s="584">
        <v>1</v>
      </c>
      <c r="K47" s="584">
        <v>0</v>
      </c>
      <c r="L47" s="584">
        <v>0</v>
      </c>
      <c r="M47" s="585">
        <v>0</v>
      </c>
      <c r="N47" s="584">
        <v>0</v>
      </c>
      <c r="O47" s="585">
        <v>0</v>
      </c>
      <c r="P47" s="584">
        <v>0</v>
      </c>
      <c r="Q47" s="585">
        <v>0</v>
      </c>
      <c r="R47" s="584">
        <v>1</v>
      </c>
      <c r="S47" s="585">
        <v>0</v>
      </c>
      <c r="T47" s="584">
        <v>0</v>
      </c>
      <c r="U47">
        <f t="shared" si="8"/>
        <v>0</v>
      </c>
      <c r="V47">
        <f t="shared" si="9"/>
        <v>2</v>
      </c>
      <c r="Y47" s="489" t="s">
        <v>509</v>
      </c>
      <c r="Z47" s="647">
        <f t="shared" si="10"/>
        <v>0</v>
      </c>
      <c r="AA47" s="646">
        <f t="shared" si="11"/>
        <v>1</v>
      </c>
      <c r="AB47" s="647">
        <f t="shared" si="12"/>
        <v>0</v>
      </c>
      <c r="AC47" s="646">
        <f t="shared" si="13"/>
        <v>0</v>
      </c>
      <c r="AD47" s="640">
        <v>0</v>
      </c>
      <c r="AE47" s="638">
        <v>1</v>
      </c>
      <c r="AF47" s="585">
        <v>0</v>
      </c>
      <c r="AG47" s="849">
        <v>0</v>
      </c>
      <c r="AH47" s="253"/>
      <c r="AI47" s="858"/>
    </row>
    <row r="48" spans="2:35" ht="15.75" x14ac:dyDescent="0.3">
      <c r="D48" s="262" t="s">
        <v>169</v>
      </c>
      <c r="E48" s="478">
        <v>0</v>
      </c>
      <c r="F48" s="582">
        <v>0</v>
      </c>
      <c r="G48" s="587">
        <v>1</v>
      </c>
      <c r="H48" s="478">
        <v>5</v>
      </c>
      <c r="I48" s="478">
        <v>2</v>
      </c>
      <c r="J48" s="582">
        <v>0</v>
      </c>
      <c r="K48" s="582">
        <v>0</v>
      </c>
      <c r="L48" s="582">
        <v>1</v>
      </c>
      <c r="M48" s="478">
        <v>0</v>
      </c>
      <c r="N48" s="582">
        <v>0</v>
      </c>
      <c r="O48" s="478">
        <v>0</v>
      </c>
      <c r="P48" s="582">
        <v>1</v>
      </c>
      <c r="Q48" s="478">
        <v>2</v>
      </c>
      <c r="R48" s="582">
        <v>3</v>
      </c>
      <c r="S48" s="478">
        <v>2</v>
      </c>
      <c r="T48" s="582">
        <v>0</v>
      </c>
      <c r="U48">
        <f t="shared" si="8"/>
        <v>7</v>
      </c>
      <c r="V48">
        <f t="shared" si="9"/>
        <v>10</v>
      </c>
      <c r="Y48" s="489" t="s">
        <v>169</v>
      </c>
      <c r="Z48" s="647">
        <f t="shared" si="10"/>
        <v>3</v>
      </c>
      <c r="AA48" s="646">
        <f t="shared" si="11"/>
        <v>5</v>
      </c>
      <c r="AB48" s="647">
        <f t="shared" si="12"/>
        <v>2</v>
      </c>
      <c r="AC48" s="646">
        <f t="shared" si="13"/>
        <v>1</v>
      </c>
      <c r="AD48" s="644">
        <v>2</v>
      </c>
      <c r="AE48" s="642">
        <v>3</v>
      </c>
      <c r="AF48" s="478">
        <v>2</v>
      </c>
      <c r="AG48" s="848">
        <v>0</v>
      </c>
      <c r="AH48" s="261"/>
      <c r="AI48" s="857"/>
    </row>
    <row r="49" spans="4:35" ht="15.75" x14ac:dyDescent="0.3">
      <c r="D49" s="262" t="s">
        <v>56</v>
      </c>
      <c r="E49" s="478">
        <v>1</v>
      </c>
      <c r="F49" s="582">
        <v>1</v>
      </c>
      <c r="G49" s="587">
        <v>1</v>
      </c>
      <c r="H49" s="478">
        <v>2</v>
      </c>
      <c r="I49" s="478">
        <v>3</v>
      </c>
      <c r="J49" s="582">
        <v>9</v>
      </c>
      <c r="K49" s="582">
        <v>8</v>
      </c>
      <c r="L49" s="582">
        <v>7</v>
      </c>
      <c r="M49" s="478">
        <v>1</v>
      </c>
      <c r="N49" s="582">
        <v>3</v>
      </c>
      <c r="O49" s="478">
        <v>0</v>
      </c>
      <c r="P49" s="582">
        <v>1</v>
      </c>
      <c r="Q49" s="478">
        <v>4</v>
      </c>
      <c r="R49" s="582">
        <v>4</v>
      </c>
      <c r="S49" s="478">
        <v>3</v>
      </c>
      <c r="T49" s="582">
        <v>3</v>
      </c>
      <c r="U49">
        <f t="shared" si="8"/>
        <v>21</v>
      </c>
      <c r="V49">
        <f t="shared" si="9"/>
        <v>30</v>
      </c>
      <c r="Y49" s="489" t="s">
        <v>56</v>
      </c>
      <c r="Z49" s="647">
        <f t="shared" si="10"/>
        <v>5</v>
      </c>
      <c r="AA49" s="646">
        <f t="shared" si="11"/>
        <v>12</v>
      </c>
      <c r="AB49" s="647">
        <f t="shared" si="12"/>
        <v>12</v>
      </c>
      <c r="AC49" s="646">
        <f t="shared" si="13"/>
        <v>13</v>
      </c>
      <c r="AD49" s="644">
        <v>4</v>
      </c>
      <c r="AE49" s="642">
        <v>4</v>
      </c>
      <c r="AF49" s="478">
        <v>3</v>
      </c>
      <c r="AG49" s="848">
        <v>3</v>
      </c>
      <c r="AH49" s="261"/>
      <c r="AI49" s="857"/>
    </row>
    <row r="50" spans="4:35" ht="15.75" x14ac:dyDescent="0.3">
      <c r="D50" s="262" t="s">
        <v>171</v>
      </c>
      <c r="E50" s="478">
        <v>1</v>
      </c>
      <c r="F50" s="582">
        <v>0</v>
      </c>
      <c r="G50" s="587">
        <v>0</v>
      </c>
      <c r="H50" s="478">
        <v>0</v>
      </c>
      <c r="I50" s="478">
        <v>0</v>
      </c>
      <c r="J50" s="582">
        <v>0</v>
      </c>
      <c r="K50" s="582">
        <v>1</v>
      </c>
      <c r="L50" s="582">
        <v>0</v>
      </c>
      <c r="M50" s="478">
        <v>0</v>
      </c>
      <c r="N50" s="582">
        <v>1</v>
      </c>
      <c r="O50" s="478">
        <v>0</v>
      </c>
      <c r="P50" s="582">
        <v>1</v>
      </c>
      <c r="Q50" s="478">
        <v>0</v>
      </c>
      <c r="R50" s="582">
        <v>1</v>
      </c>
      <c r="S50" s="478">
        <v>0</v>
      </c>
      <c r="T50" s="582">
        <v>0</v>
      </c>
      <c r="U50">
        <f t="shared" si="8"/>
        <v>2</v>
      </c>
      <c r="V50">
        <f t="shared" si="9"/>
        <v>3</v>
      </c>
      <c r="Y50" s="489" t="s">
        <v>171</v>
      </c>
      <c r="Z50" s="647">
        <f t="shared" si="10"/>
        <v>1</v>
      </c>
      <c r="AA50" s="646">
        <f t="shared" si="11"/>
        <v>0</v>
      </c>
      <c r="AB50" s="647">
        <f t="shared" si="12"/>
        <v>1</v>
      </c>
      <c r="AC50" s="646">
        <f t="shared" si="13"/>
        <v>1</v>
      </c>
      <c r="AD50" s="644">
        <v>0</v>
      </c>
      <c r="AE50" s="642">
        <v>1</v>
      </c>
      <c r="AF50" s="478">
        <v>0</v>
      </c>
      <c r="AG50" s="848">
        <v>0</v>
      </c>
      <c r="AH50" s="261"/>
      <c r="AI50" s="857"/>
    </row>
    <row r="51" spans="4:35" ht="16.5" thickBot="1" x14ac:dyDescent="0.35">
      <c r="D51" s="263" t="s">
        <v>173</v>
      </c>
      <c r="E51" s="479">
        <v>0</v>
      </c>
      <c r="F51" s="583">
        <v>1</v>
      </c>
      <c r="G51" s="588">
        <v>16</v>
      </c>
      <c r="H51" s="479">
        <v>8</v>
      </c>
      <c r="I51" s="479">
        <v>27</v>
      </c>
      <c r="J51" s="583">
        <v>6</v>
      </c>
      <c r="K51" s="583">
        <v>11</v>
      </c>
      <c r="L51" s="583">
        <v>12</v>
      </c>
      <c r="M51" s="479">
        <v>8</v>
      </c>
      <c r="N51" s="583">
        <v>9</v>
      </c>
      <c r="O51" s="479">
        <v>7</v>
      </c>
      <c r="P51" s="583">
        <v>4</v>
      </c>
      <c r="Q51" s="479">
        <v>16</v>
      </c>
      <c r="R51" s="583">
        <v>9</v>
      </c>
      <c r="S51" s="479">
        <v>8</v>
      </c>
      <c r="T51" s="583">
        <v>10</v>
      </c>
      <c r="U51" s="649">
        <f t="shared" si="8"/>
        <v>93</v>
      </c>
      <c r="V51">
        <f t="shared" si="9"/>
        <v>59</v>
      </c>
      <c r="Y51" s="492" t="s">
        <v>173</v>
      </c>
      <c r="Z51" s="651">
        <f t="shared" si="10"/>
        <v>43</v>
      </c>
      <c r="AA51" s="652">
        <f t="shared" si="11"/>
        <v>15</v>
      </c>
      <c r="AB51" s="651">
        <f t="shared" si="12"/>
        <v>27</v>
      </c>
      <c r="AC51" s="652">
        <f t="shared" si="13"/>
        <v>31</v>
      </c>
      <c r="AD51" s="653">
        <v>16</v>
      </c>
      <c r="AE51" s="654">
        <v>9</v>
      </c>
      <c r="AF51" s="479">
        <v>8</v>
      </c>
      <c r="AG51" s="850">
        <v>10</v>
      </c>
      <c r="AH51" s="859"/>
      <c r="AI51" s="860"/>
    </row>
    <row r="52" spans="4:35" ht="16.5" thickBot="1" x14ac:dyDescent="0.35">
      <c r="D52" s="481" t="s">
        <v>106</v>
      </c>
      <c r="E52" s="480">
        <f t="shared" ref="E52:T52" si="14">SUM(E37:E51)</f>
        <v>26</v>
      </c>
      <c r="F52" s="480">
        <f t="shared" si="14"/>
        <v>33</v>
      </c>
      <c r="G52" s="480">
        <f t="shared" si="14"/>
        <v>71</v>
      </c>
      <c r="H52" s="480">
        <f t="shared" si="14"/>
        <v>47</v>
      </c>
      <c r="I52" s="480">
        <f t="shared" si="14"/>
        <v>81</v>
      </c>
      <c r="J52" s="480">
        <f t="shared" si="14"/>
        <v>43</v>
      </c>
      <c r="K52" s="480">
        <f t="shared" si="14"/>
        <v>50</v>
      </c>
      <c r="L52" s="480">
        <f t="shared" si="14"/>
        <v>72</v>
      </c>
      <c r="M52" s="480">
        <f t="shared" si="14"/>
        <v>38</v>
      </c>
      <c r="N52" s="480">
        <f t="shared" si="14"/>
        <v>43</v>
      </c>
      <c r="O52" s="480">
        <f t="shared" ref="O52:R52" si="15">SUM(O37:O51)</f>
        <v>41</v>
      </c>
      <c r="P52" s="480">
        <f t="shared" si="15"/>
        <v>36</v>
      </c>
      <c r="Q52" s="480">
        <f t="shared" si="15"/>
        <v>67</v>
      </c>
      <c r="R52" s="480">
        <f t="shared" si="15"/>
        <v>75</v>
      </c>
      <c r="S52" s="480">
        <f t="shared" si="14"/>
        <v>40</v>
      </c>
      <c r="T52" s="480">
        <f t="shared" si="14"/>
        <v>51</v>
      </c>
      <c r="U52">
        <f t="shared" si="8"/>
        <v>414</v>
      </c>
      <c r="V52">
        <f t="shared" si="9"/>
        <v>400</v>
      </c>
      <c r="Y52" s="627" t="s">
        <v>106</v>
      </c>
      <c r="Z52" s="662">
        <f t="shared" si="10"/>
        <v>178</v>
      </c>
      <c r="AA52" s="663">
        <f t="shared" si="11"/>
        <v>123</v>
      </c>
      <c r="AB52" s="662">
        <f t="shared" si="12"/>
        <v>128</v>
      </c>
      <c r="AC52" s="663">
        <f t="shared" si="13"/>
        <v>166</v>
      </c>
      <c r="AD52" s="655">
        <f t="shared" ref="AD52:AG52" si="16">SUM(AD37:AD51)</f>
        <v>67</v>
      </c>
      <c r="AE52" s="655">
        <f t="shared" si="16"/>
        <v>75</v>
      </c>
      <c r="AF52" s="480">
        <f>SUM(AF37:AF51)</f>
        <v>40</v>
      </c>
      <c r="AG52" s="680">
        <f>SUM(AG37:AG51)</f>
        <v>51</v>
      </c>
      <c r="AH52" s="861">
        <f>SUM(AH37:AH51)</f>
        <v>0</v>
      </c>
      <c r="AI52" s="862">
        <f>SUM(AI37:AI51)</f>
        <v>1</v>
      </c>
    </row>
    <row r="55" spans="4:35" ht="15.75" thickBot="1" x14ac:dyDescent="0.3"/>
    <row r="56" spans="4:35" ht="16.5" thickBot="1" x14ac:dyDescent="0.3">
      <c r="D56" s="803" t="s">
        <v>435</v>
      </c>
      <c r="E56" s="804"/>
      <c r="F56" s="804"/>
      <c r="G56" s="804"/>
      <c r="H56" s="804"/>
      <c r="I56" s="804"/>
      <c r="J56" s="804"/>
      <c r="K56" s="804"/>
      <c r="L56" s="804"/>
      <c r="M56" s="804"/>
      <c r="N56" s="804"/>
      <c r="O56" s="804"/>
      <c r="P56" s="804"/>
      <c r="Q56" s="804"/>
      <c r="R56" s="804"/>
      <c r="S56" s="804"/>
      <c r="T56" s="805"/>
      <c r="Y56" s="803" t="s">
        <v>435</v>
      </c>
      <c r="Z56" s="804"/>
      <c r="AA56" s="804"/>
      <c r="AB56" s="804"/>
      <c r="AC56" s="804"/>
      <c r="AD56" s="804"/>
      <c r="AE56" s="804"/>
      <c r="AF56" s="804"/>
      <c r="AG56" s="805"/>
    </row>
    <row r="57" spans="4:35" ht="15.75" thickBot="1" x14ac:dyDescent="0.3">
      <c r="D57" s="810" t="s">
        <v>151</v>
      </c>
      <c r="E57" s="812" t="s">
        <v>152</v>
      </c>
      <c r="F57" s="813"/>
      <c r="G57" s="808" t="s">
        <v>153</v>
      </c>
      <c r="H57" s="809"/>
      <c r="I57" s="808" t="s">
        <v>363</v>
      </c>
      <c r="J57" s="809"/>
      <c r="K57" s="795" t="s">
        <v>155</v>
      </c>
      <c r="L57" s="796"/>
      <c r="M57" s="795" t="s">
        <v>354</v>
      </c>
      <c r="N57" s="796"/>
      <c r="O57" s="795" t="s">
        <v>157</v>
      </c>
      <c r="P57" s="796"/>
      <c r="Q57" s="795" t="s">
        <v>158</v>
      </c>
      <c r="R57" s="796"/>
      <c r="S57" s="795" t="s">
        <v>159</v>
      </c>
      <c r="T57" s="796"/>
      <c r="Y57" s="810" t="s">
        <v>151</v>
      </c>
      <c r="Z57" s="795" t="s">
        <v>390</v>
      </c>
      <c r="AA57" s="796"/>
      <c r="AB57" s="795" t="s">
        <v>579</v>
      </c>
      <c r="AC57" s="796"/>
      <c r="AD57" s="795" t="s">
        <v>158</v>
      </c>
      <c r="AE57" s="796"/>
      <c r="AF57" s="795" t="s">
        <v>384</v>
      </c>
      <c r="AG57" s="796"/>
      <c r="AH57" s="795" t="s">
        <v>679</v>
      </c>
      <c r="AI57" s="796"/>
    </row>
    <row r="58" spans="4:35" ht="15" customHeight="1" thickBot="1" x14ac:dyDescent="0.3">
      <c r="D58" s="811"/>
      <c r="E58" s="483">
        <v>2025</v>
      </c>
      <c r="F58" s="483">
        <v>2026</v>
      </c>
      <c r="G58" s="483">
        <v>2025</v>
      </c>
      <c r="H58" s="483">
        <v>2026</v>
      </c>
      <c r="I58" s="483">
        <v>2025</v>
      </c>
      <c r="J58" s="483">
        <v>2026</v>
      </c>
      <c r="K58" s="589">
        <v>2025</v>
      </c>
      <c r="L58" s="593">
        <v>2026</v>
      </c>
      <c r="M58" s="593">
        <v>2025</v>
      </c>
      <c r="N58" s="593">
        <v>2026</v>
      </c>
      <c r="O58" s="593">
        <v>2025</v>
      </c>
      <c r="P58" s="593">
        <v>2026</v>
      </c>
      <c r="Q58" s="593">
        <v>2025</v>
      </c>
      <c r="R58" s="593">
        <v>2026</v>
      </c>
      <c r="S58" s="593">
        <v>2025</v>
      </c>
      <c r="T58" s="593">
        <v>2026</v>
      </c>
      <c r="Y58" s="811"/>
      <c r="Z58" s="593">
        <v>2025</v>
      </c>
      <c r="AA58" s="593">
        <v>2026</v>
      </c>
      <c r="AB58" s="593">
        <v>2025</v>
      </c>
      <c r="AC58" s="593">
        <v>2026</v>
      </c>
      <c r="AD58" s="593">
        <v>2025</v>
      </c>
      <c r="AE58" s="593">
        <v>2026</v>
      </c>
      <c r="AF58" s="593">
        <v>2025</v>
      </c>
      <c r="AG58" s="593">
        <v>2026</v>
      </c>
      <c r="AH58" s="593">
        <v>2025</v>
      </c>
      <c r="AI58" s="593">
        <v>2026</v>
      </c>
    </row>
    <row r="59" spans="4:35" ht="15" customHeight="1" x14ac:dyDescent="0.3">
      <c r="D59" s="487" t="s">
        <v>339</v>
      </c>
      <c r="E59" s="485">
        <v>0</v>
      </c>
      <c r="F59" s="265">
        <v>0</v>
      </c>
      <c r="G59" s="485">
        <v>0</v>
      </c>
      <c r="H59" s="265">
        <v>0</v>
      </c>
      <c r="I59" s="485">
        <v>0</v>
      </c>
      <c r="J59" s="265">
        <v>0</v>
      </c>
      <c r="K59" s="485">
        <v>0</v>
      </c>
      <c r="L59" s="265">
        <v>0</v>
      </c>
      <c r="M59" s="485">
        <v>0</v>
      </c>
      <c r="N59" s="265">
        <v>0</v>
      </c>
      <c r="O59" s="485">
        <v>0</v>
      </c>
      <c r="P59" s="265">
        <v>0</v>
      </c>
      <c r="Q59" s="485">
        <v>0</v>
      </c>
      <c r="R59" s="265">
        <v>0</v>
      </c>
      <c r="S59" s="485">
        <v>0</v>
      </c>
      <c r="T59" s="265">
        <v>0</v>
      </c>
      <c r="U59">
        <f>E59+G59+I59+K59+M59+O59+Q59+S59</f>
        <v>0</v>
      </c>
      <c r="V59">
        <f>F59+H59+J59+L59+N59+P59+R59+T59</f>
        <v>0</v>
      </c>
      <c r="Y59" s="259" t="s">
        <v>339</v>
      </c>
      <c r="Z59" s="645">
        <f>E59+G59+I59</f>
        <v>0</v>
      </c>
      <c r="AA59" s="643">
        <f>F59+H59+J59</f>
        <v>0</v>
      </c>
      <c r="AB59" s="645">
        <f>K59+M59+S59</f>
        <v>0</v>
      </c>
      <c r="AC59" s="643">
        <f>L59+N59+T59</f>
        <v>0</v>
      </c>
      <c r="AD59" s="656">
        <v>0</v>
      </c>
      <c r="AE59" s="657">
        <v>0</v>
      </c>
      <c r="AF59" s="485">
        <v>0</v>
      </c>
      <c r="AG59" s="265">
        <v>0</v>
      </c>
      <c r="AH59" s="485">
        <v>0</v>
      </c>
      <c r="AI59" s="265">
        <v>0</v>
      </c>
    </row>
    <row r="60" spans="4:35" ht="15" customHeight="1" x14ac:dyDescent="0.3">
      <c r="D60" s="488" t="s">
        <v>292</v>
      </c>
      <c r="E60" s="486">
        <v>0</v>
      </c>
      <c r="F60" s="266">
        <v>2</v>
      </c>
      <c r="G60" s="486">
        <v>1</v>
      </c>
      <c r="H60" s="266">
        <v>0</v>
      </c>
      <c r="I60" s="486">
        <v>0</v>
      </c>
      <c r="J60" s="266">
        <v>0</v>
      </c>
      <c r="K60" s="486">
        <v>0</v>
      </c>
      <c r="L60" s="266">
        <v>0</v>
      </c>
      <c r="M60" s="486">
        <v>0</v>
      </c>
      <c r="N60" s="266">
        <v>0</v>
      </c>
      <c r="O60" s="486">
        <v>0</v>
      </c>
      <c r="P60" s="266">
        <v>0</v>
      </c>
      <c r="Q60" s="486">
        <v>0</v>
      </c>
      <c r="R60" s="266">
        <v>0</v>
      </c>
      <c r="S60" s="486">
        <v>0</v>
      </c>
      <c r="T60" s="266">
        <v>0</v>
      </c>
      <c r="U60">
        <f t="shared" ref="U60:U76" si="17">E60+G60+I60+K60+M60+O60+Q60+S60</f>
        <v>1</v>
      </c>
      <c r="V60">
        <f t="shared" ref="V60:V76" si="18">F60+H60+J60+L60+N60+P60+R60+T60</f>
        <v>2</v>
      </c>
      <c r="Y60" s="260" t="s">
        <v>292</v>
      </c>
      <c r="Z60" s="647">
        <f t="shared" ref="Z60:Z77" si="19">E60+G60+I60</f>
        <v>1</v>
      </c>
      <c r="AA60" s="646">
        <f t="shared" ref="AA60:AA77" si="20">F60+H60+J60</f>
        <v>2</v>
      </c>
      <c r="AB60" s="647">
        <f t="shared" ref="AB60:AB77" si="21">K60+M60+S60</f>
        <v>0</v>
      </c>
      <c r="AC60" s="646">
        <f t="shared" ref="AC60:AC77" si="22">L60+N60+T60</f>
        <v>0</v>
      </c>
      <c r="AD60" s="658">
        <v>0</v>
      </c>
      <c r="AE60" s="659">
        <v>0</v>
      </c>
      <c r="AF60" s="486">
        <v>0</v>
      </c>
      <c r="AG60" s="266">
        <v>0</v>
      </c>
      <c r="AH60" s="486">
        <v>0</v>
      </c>
      <c r="AI60" s="266">
        <v>0</v>
      </c>
    </row>
    <row r="61" spans="4:35" ht="15" customHeight="1" x14ac:dyDescent="0.3">
      <c r="D61" s="488" t="s">
        <v>65</v>
      </c>
      <c r="E61" s="486">
        <v>1</v>
      </c>
      <c r="F61" s="266">
        <v>0</v>
      </c>
      <c r="G61" s="486">
        <v>2</v>
      </c>
      <c r="H61" s="266">
        <v>1</v>
      </c>
      <c r="I61" s="486">
        <v>1</v>
      </c>
      <c r="J61" s="266">
        <v>1</v>
      </c>
      <c r="K61" s="486">
        <v>0</v>
      </c>
      <c r="L61" s="266">
        <v>0</v>
      </c>
      <c r="M61" s="486">
        <v>1</v>
      </c>
      <c r="N61" s="266">
        <v>1</v>
      </c>
      <c r="O61" s="486">
        <v>2</v>
      </c>
      <c r="P61" s="266">
        <v>0</v>
      </c>
      <c r="Q61" s="486">
        <v>2</v>
      </c>
      <c r="R61" s="266">
        <v>0</v>
      </c>
      <c r="S61" s="486">
        <v>1</v>
      </c>
      <c r="T61" s="266">
        <v>0</v>
      </c>
      <c r="U61">
        <f t="shared" si="17"/>
        <v>10</v>
      </c>
      <c r="V61">
        <f t="shared" si="18"/>
        <v>3</v>
      </c>
      <c r="Y61" s="260" t="s">
        <v>65</v>
      </c>
      <c r="Z61" s="647">
        <f t="shared" si="19"/>
        <v>4</v>
      </c>
      <c r="AA61" s="646">
        <f t="shared" si="20"/>
        <v>2</v>
      </c>
      <c r="AB61" s="647">
        <f t="shared" si="21"/>
        <v>2</v>
      </c>
      <c r="AC61" s="646">
        <f t="shared" si="22"/>
        <v>1</v>
      </c>
      <c r="AD61" s="658">
        <v>2</v>
      </c>
      <c r="AE61" s="659">
        <v>0</v>
      </c>
      <c r="AF61" s="486">
        <v>1</v>
      </c>
      <c r="AG61" s="266">
        <v>0</v>
      </c>
      <c r="AH61" s="486">
        <v>1</v>
      </c>
      <c r="AI61" s="266">
        <v>0</v>
      </c>
    </row>
    <row r="62" spans="4:35" ht="15" customHeight="1" x14ac:dyDescent="0.3">
      <c r="D62" s="488" t="s">
        <v>293</v>
      </c>
      <c r="E62" s="486">
        <v>0</v>
      </c>
      <c r="F62" s="266">
        <v>0</v>
      </c>
      <c r="G62" s="486">
        <v>1</v>
      </c>
      <c r="H62" s="266">
        <v>0</v>
      </c>
      <c r="I62" s="486">
        <v>0</v>
      </c>
      <c r="J62" s="266">
        <v>0</v>
      </c>
      <c r="K62" s="486">
        <v>0</v>
      </c>
      <c r="L62" s="266">
        <v>0</v>
      </c>
      <c r="M62" s="486">
        <v>0</v>
      </c>
      <c r="N62" s="266">
        <v>0</v>
      </c>
      <c r="O62" s="486">
        <v>0</v>
      </c>
      <c r="P62" s="266">
        <v>0</v>
      </c>
      <c r="Q62" s="486">
        <v>0</v>
      </c>
      <c r="R62" s="266">
        <v>2</v>
      </c>
      <c r="S62" s="486">
        <v>0</v>
      </c>
      <c r="T62" s="266">
        <v>0</v>
      </c>
      <c r="U62">
        <f t="shared" si="17"/>
        <v>1</v>
      </c>
      <c r="V62">
        <f t="shared" si="18"/>
        <v>2</v>
      </c>
      <c r="Y62" s="260" t="s">
        <v>293</v>
      </c>
      <c r="Z62" s="647">
        <f t="shared" si="19"/>
        <v>1</v>
      </c>
      <c r="AA62" s="646">
        <f t="shared" si="20"/>
        <v>0</v>
      </c>
      <c r="AB62" s="647">
        <f t="shared" si="21"/>
        <v>0</v>
      </c>
      <c r="AC62" s="646">
        <f t="shared" si="22"/>
        <v>0</v>
      </c>
      <c r="AD62" s="658">
        <v>0</v>
      </c>
      <c r="AE62" s="659">
        <v>2</v>
      </c>
      <c r="AF62" s="486">
        <v>0</v>
      </c>
      <c r="AG62" s="266">
        <v>0</v>
      </c>
      <c r="AH62" s="486">
        <v>0</v>
      </c>
      <c r="AI62" s="266">
        <v>0</v>
      </c>
    </row>
    <row r="63" spans="4:35" ht="15" customHeight="1" x14ac:dyDescent="0.3">
      <c r="D63" s="488" t="s">
        <v>473</v>
      </c>
      <c r="E63" s="486">
        <v>0</v>
      </c>
      <c r="F63" s="266">
        <v>0</v>
      </c>
      <c r="G63" s="486">
        <v>0</v>
      </c>
      <c r="H63" s="266">
        <v>1</v>
      </c>
      <c r="I63" s="486">
        <v>1</v>
      </c>
      <c r="J63" s="266">
        <v>1</v>
      </c>
      <c r="K63" s="486">
        <v>3</v>
      </c>
      <c r="L63" s="266">
        <v>1</v>
      </c>
      <c r="M63" s="486">
        <v>0</v>
      </c>
      <c r="N63" s="266">
        <v>0</v>
      </c>
      <c r="O63" s="486">
        <v>0</v>
      </c>
      <c r="P63" s="266">
        <v>0</v>
      </c>
      <c r="Q63" s="486">
        <v>0</v>
      </c>
      <c r="R63" s="266">
        <v>3</v>
      </c>
      <c r="S63" s="486">
        <v>0</v>
      </c>
      <c r="T63" s="266">
        <v>0</v>
      </c>
      <c r="U63">
        <f t="shared" si="17"/>
        <v>4</v>
      </c>
      <c r="V63">
        <f t="shared" si="18"/>
        <v>6</v>
      </c>
      <c r="Y63" s="260" t="s">
        <v>473</v>
      </c>
      <c r="Z63" s="647">
        <f t="shared" si="19"/>
        <v>1</v>
      </c>
      <c r="AA63" s="646">
        <f t="shared" si="20"/>
        <v>2</v>
      </c>
      <c r="AB63" s="647">
        <f t="shared" si="21"/>
        <v>3</v>
      </c>
      <c r="AC63" s="646">
        <f t="shared" si="22"/>
        <v>1</v>
      </c>
      <c r="AD63" s="658">
        <v>0</v>
      </c>
      <c r="AE63" s="659">
        <v>3</v>
      </c>
      <c r="AF63" s="486">
        <v>0</v>
      </c>
      <c r="AG63" s="266">
        <v>0</v>
      </c>
      <c r="AH63" s="486">
        <v>0</v>
      </c>
      <c r="AI63" s="266">
        <v>0</v>
      </c>
    </row>
    <row r="64" spans="4:35" ht="15" customHeight="1" x14ac:dyDescent="0.3">
      <c r="D64" s="489" t="s">
        <v>73</v>
      </c>
      <c r="E64" s="486">
        <v>7</v>
      </c>
      <c r="F64" s="266">
        <v>0</v>
      </c>
      <c r="G64" s="486">
        <v>4</v>
      </c>
      <c r="H64" s="266">
        <v>1</v>
      </c>
      <c r="I64" s="486">
        <v>0</v>
      </c>
      <c r="J64" s="266">
        <v>1</v>
      </c>
      <c r="K64" s="486">
        <v>0</v>
      </c>
      <c r="L64" s="266">
        <v>0</v>
      </c>
      <c r="M64" s="486">
        <v>1</v>
      </c>
      <c r="N64" s="266">
        <v>0</v>
      </c>
      <c r="O64" s="486">
        <v>0</v>
      </c>
      <c r="P64" s="266">
        <v>0</v>
      </c>
      <c r="Q64" s="486"/>
      <c r="R64" s="266">
        <v>0</v>
      </c>
      <c r="S64" s="486">
        <v>0</v>
      </c>
      <c r="T64" s="266">
        <v>0</v>
      </c>
      <c r="U64" s="649">
        <f t="shared" si="17"/>
        <v>12</v>
      </c>
      <c r="V64">
        <f t="shared" si="18"/>
        <v>2</v>
      </c>
      <c r="Y64" s="262" t="s">
        <v>73</v>
      </c>
      <c r="Z64" s="647">
        <f t="shared" si="19"/>
        <v>11</v>
      </c>
      <c r="AA64" s="646">
        <f t="shared" si="20"/>
        <v>2</v>
      </c>
      <c r="AB64" s="647">
        <f t="shared" si="21"/>
        <v>1</v>
      </c>
      <c r="AC64" s="646">
        <f t="shared" si="22"/>
        <v>0</v>
      </c>
      <c r="AD64" s="658"/>
      <c r="AE64" s="659">
        <v>0</v>
      </c>
      <c r="AF64" s="486">
        <v>0</v>
      </c>
      <c r="AG64" s="266">
        <v>0</v>
      </c>
      <c r="AH64" s="486">
        <v>0</v>
      </c>
      <c r="AI64" s="266">
        <v>0</v>
      </c>
    </row>
    <row r="65" spans="4:35" ht="30" customHeight="1" x14ac:dyDescent="0.25">
      <c r="D65" s="490" t="s">
        <v>340</v>
      </c>
      <c r="E65" s="486">
        <v>0</v>
      </c>
      <c r="F65" s="266">
        <v>0</v>
      </c>
      <c r="G65" s="486">
        <v>0</v>
      </c>
      <c r="H65" s="266">
        <v>0</v>
      </c>
      <c r="I65" s="486">
        <v>0</v>
      </c>
      <c r="J65" s="266">
        <v>0</v>
      </c>
      <c r="K65" s="486">
        <v>0</v>
      </c>
      <c r="L65" s="266">
        <v>0</v>
      </c>
      <c r="M65" s="486">
        <v>1</v>
      </c>
      <c r="N65" s="266">
        <v>0</v>
      </c>
      <c r="O65" s="486">
        <v>0</v>
      </c>
      <c r="P65" s="266">
        <v>0</v>
      </c>
      <c r="Q65" s="486">
        <v>1</v>
      </c>
      <c r="R65" s="266">
        <v>0</v>
      </c>
      <c r="S65" s="486">
        <v>0</v>
      </c>
      <c r="T65" s="266">
        <v>0</v>
      </c>
      <c r="U65">
        <f t="shared" si="17"/>
        <v>2</v>
      </c>
      <c r="V65">
        <f t="shared" si="18"/>
        <v>0</v>
      </c>
      <c r="Y65" s="628" t="s">
        <v>340</v>
      </c>
      <c r="Z65" s="647">
        <f t="shared" si="19"/>
        <v>0</v>
      </c>
      <c r="AA65" s="646">
        <f t="shared" si="20"/>
        <v>0</v>
      </c>
      <c r="AB65" s="647">
        <f t="shared" si="21"/>
        <v>1</v>
      </c>
      <c r="AC65" s="646">
        <f t="shared" si="22"/>
        <v>0</v>
      </c>
      <c r="AD65" s="658">
        <v>1</v>
      </c>
      <c r="AE65" s="659">
        <v>0</v>
      </c>
      <c r="AF65" s="486">
        <v>0</v>
      </c>
      <c r="AG65" s="266">
        <v>0</v>
      </c>
      <c r="AH65" s="486">
        <v>0</v>
      </c>
      <c r="AI65" s="266">
        <v>0</v>
      </c>
    </row>
    <row r="66" spans="4:35" ht="19.5" customHeight="1" x14ac:dyDescent="0.25">
      <c r="D66" s="490" t="s">
        <v>385</v>
      </c>
      <c r="E66" s="486">
        <v>0</v>
      </c>
      <c r="F66" s="266">
        <v>0</v>
      </c>
      <c r="G66" s="486">
        <v>0</v>
      </c>
      <c r="H66" s="266">
        <v>0</v>
      </c>
      <c r="I66" s="486">
        <v>0</v>
      </c>
      <c r="J66" s="266">
        <v>0</v>
      </c>
      <c r="K66" s="486">
        <v>0</v>
      </c>
      <c r="L66" s="266">
        <v>0</v>
      </c>
      <c r="M66" s="486">
        <v>1</v>
      </c>
      <c r="N66" s="266">
        <v>0</v>
      </c>
      <c r="O66" s="486">
        <v>2</v>
      </c>
      <c r="P66" s="266">
        <v>0</v>
      </c>
      <c r="Q66" s="486">
        <v>0</v>
      </c>
      <c r="R66" s="266">
        <v>0</v>
      </c>
      <c r="S66" s="486">
        <v>1</v>
      </c>
      <c r="T66" s="266">
        <v>0</v>
      </c>
      <c r="U66">
        <f t="shared" si="17"/>
        <v>4</v>
      </c>
      <c r="V66">
        <f t="shared" si="18"/>
        <v>0</v>
      </c>
      <c r="Y66" s="628" t="s">
        <v>385</v>
      </c>
      <c r="Z66" s="647">
        <f t="shared" si="19"/>
        <v>0</v>
      </c>
      <c r="AA66" s="646">
        <f t="shared" si="20"/>
        <v>0</v>
      </c>
      <c r="AB66" s="647">
        <f t="shared" si="21"/>
        <v>2</v>
      </c>
      <c r="AC66" s="646">
        <f t="shared" si="22"/>
        <v>0</v>
      </c>
      <c r="AD66" s="658">
        <v>0</v>
      </c>
      <c r="AE66" s="659">
        <v>0</v>
      </c>
      <c r="AF66" s="486">
        <v>1</v>
      </c>
      <c r="AG66" s="266">
        <v>0</v>
      </c>
      <c r="AH66" s="486">
        <v>1</v>
      </c>
      <c r="AI66" s="266">
        <v>0</v>
      </c>
    </row>
    <row r="67" spans="4:35" ht="15" customHeight="1" x14ac:dyDescent="0.3">
      <c r="D67" s="489" t="s">
        <v>294</v>
      </c>
      <c r="E67" s="486">
        <v>0</v>
      </c>
      <c r="F67" s="266">
        <v>0</v>
      </c>
      <c r="G67" s="486">
        <v>1</v>
      </c>
      <c r="H67" s="266">
        <v>0</v>
      </c>
      <c r="I67" s="486">
        <v>0</v>
      </c>
      <c r="J67" s="266">
        <v>0</v>
      </c>
      <c r="K67" s="486">
        <v>0</v>
      </c>
      <c r="L67" s="266">
        <v>0</v>
      </c>
      <c r="M67" s="486">
        <v>0</v>
      </c>
      <c r="N67" s="266">
        <v>0</v>
      </c>
      <c r="O67" s="486">
        <v>0</v>
      </c>
      <c r="P67" s="266">
        <v>0</v>
      </c>
      <c r="Q67" s="486">
        <v>0</v>
      </c>
      <c r="R67" s="266">
        <v>0</v>
      </c>
      <c r="S67" s="486">
        <v>0</v>
      </c>
      <c r="T67" s="266">
        <v>0</v>
      </c>
      <c r="U67">
        <f t="shared" si="17"/>
        <v>1</v>
      </c>
      <c r="V67">
        <f t="shared" si="18"/>
        <v>0</v>
      </c>
      <c r="Y67" s="262" t="s">
        <v>294</v>
      </c>
      <c r="Z67" s="647">
        <f t="shared" si="19"/>
        <v>1</v>
      </c>
      <c r="AA67" s="646">
        <f t="shared" si="20"/>
        <v>0</v>
      </c>
      <c r="AB67" s="647">
        <f t="shared" si="21"/>
        <v>0</v>
      </c>
      <c r="AC67" s="646">
        <f t="shared" si="22"/>
        <v>0</v>
      </c>
      <c r="AD67" s="658">
        <v>0</v>
      </c>
      <c r="AE67" s="659">
        <v>0</v>
      </c>
      <c r="AF67" s="486">
        <v>0</v>
      </c>
      <c r="AG67" s="266">
        <v>0</v>
      </c>
      <c r="AH67" s="486">
        <v>0</v>
      </c>
      <c r="AI67" s="266">
        <v>0</v>
      </c>
    </row>
    <row r="68" spans="4:35" ht="15" customHeight="1" x14ac:dyDescent="0.3">
      <c r="D68" s="489" t="s">
        <v>376</v>
      </c>
      <c r="E68" s="486">
        <v>1</v>
      </c>
      <c r="F68" s="266">
        <v>3</v>
      </c>
      <c r="G68" s="486">
        <v>4</v>
      </c>
      <c r="H68" s="266">
        <v>2</v>
      </c>
      <c r="I68" s="486">
        <v>4</v>
      </c>
      <c r="J68" s="266">
        <v>4</v>
      </c>
      <c r="K68" s="486">
        <v>2</v>
      </c>
      <c r="L68" s="266">
        <v>1</v>
      </c>
      <c r="M68" s="486">
        <v>3</v>
      </c>
      <c r="N68" s="266">
        <v>2</v>
      </c>
      <c r="O68" s="486">
        <v>1</v>
      </c>
      <c r="P68" s="266">
        <v>1</v>
      </c>
      <c r="Q68" s="486">
        <v>7</v>
      </c>
      <c r="R68" s="266">
        <v>3</v>
      </c>
      <c r="S68" s="486">
        <v>3</v>
      </c>
      <c r="T68" s="266">
        <v>5</v>
      </c>
      <c r="U68" s="649">
        <f t="shared" si="17"/>
        <v>25</v>
      </c>
      <c r="V68" s="649">
        <f t="shared" si="18"/>
        <v>21</v>
      </c>
      <c r="Y68" s="262" t="s">
        <v>376</v>
      </c>
      <c r="Z68" s="647">
        <f t="shared" si="19"/>
        <v>9</v>
      </c>
      <c r="AA68" s="646">
        <f t="shared" si="20"/>
        <v>9</v>
      </c>
      <c r="AB68" s="647">
        <f t="shared" si="21"/>
        <v>8</v>
      </c>
      <c r="AC68" s="646">
        <f t="shared" si="22"/>
        <v>8</v>
      </c>
      <c r="AD68" s="658">
        <v>7</v>
      </c>
      <c r="AE68" s="659">
        <v>3</v>
      </c>
      <c r="AF68" s="486">
        <v>3</v>
      </c>
      <c r="AG68" s="266">
        <v>5</v>
      </c>
      <c r="AH68" s="486">
        <v>3</v>
      </c>
      <c r="AI68" s="266">
        <v>5</v>
      </c>
    </row>
    <row r="69" spans="4:35" ht="15" customHeight="1" x14ac:dyDescent="0.3">
      <c r="D69" s="489" t="s">
        <v>377</v>
      </c>
      <c r="E69" s="486">
        <v>2</v>
      </c>
      <c r="F69" s="266">
        <v>6</v>
      </c>
      <c r="G69" s="486">
        <v>2</v>
      </c>
      <c r="H69" s="266">
        <v>3</v>
      </c>
      <c r="I69" s="486">
        <v>4</v>
      </c>
      <c r="J69" s="266">
        <v>6</v>
      </c>
      <c r="K69" s="486">
        <v>3</v>
      </c>
      <c r="L69" s="266">
        <v>2</v>
      </c>
      <c r="M69" s="486">
        <v>7</v>
      </c>
      <c r="N69" s="266">
        <v>0</v>
      </c>
      <c r="O69" s="486">
        <v>6</v>
      </c>
      <c r="P69" s="266">
        <v>2</v>
      </c>
      <c r="Q69" s="486">
        <v>4</v>
      </c>
      <c r="R69" s="266">
        <v>8</v>
      </c>
      <c r="S69" s="486">
        <v>10</v>
      </c>
      <c r="T69" s="266">
        <v>3</v>
      </c>
      <c r="U69" s="649">
        <f t="shared" si="17"/>
        <v>38</v>
      </c>
      <c r="V69" s="649">
        <f t="shared" si="18"/>
        <v>30</v>
      </c>
      <c r="Y69" s="262" t="s">
        <v>377</v>
      </c>
      <c r="Z69" s="647">
        <f t="shared" si="19"/>
        <v>8</v>
      </c>
      <c r="AA69" s="646">
        <f t="shared" si="20"/>
        <v>15</v>
      </c>
      <c r="AB69" s="647">
        <f t="shared" si="21"/>
        <v>20</v>
      </c>
      <c r="AC69" s="646">
        <f t="shared" si="22"/>
        <v>5</v>
      </c>
      <c r="AD69" s="658">
        <v>4</v>
      </c>
      <c r="AE69" s="659">
        <v>8</v>
      </c>
      <c r="AF69" s="486">
        <v>10</v>
      </c>
      <c r="AG69" s="266">
        <v>3</v>
      </c>
      <c r="AH69" s="486">
        <v>10</v>
      </c>
      <c r="AI69" s="266">
        <v>3</v>
      </c>
    </row>
    <row r="70" spans="4:35" ht="15" customHeight="1" x14ac:dyDescent="0.3">
      <c r="D70" s="491" t="s">
        <v>368</v>
      </c>
      <c r="E70" s="486">
        <v>0</v>
      </c>
      <c r="F70" s="266">
        <v>0</v>
      </c>
      <c r="G70" s="486">
        <v>0</v>
      </c>
      <c r="H70" s="266">
        <v>0</v>
      </c>
      <c r="I70" s="486">
        <v>0</v>
      </c>
      <c r="J70" s="266">
        <v>0</v>
      </c>
      <c r="K70" s="486">
        <v>0</v>
      </c>
      <c r="L70" s="266">
        <v>0</v>
      </c>
      <c r="M70" s="486">
        <v>0</v>
      </c>
      <c r="N70" s="266">
        <v>0</v>
      </c>
      <c r="O70" s="486">
        <v>0</v>
      </c>
      <c r="P70" s="266">
        <v>0</v>
      </c>
      <c r="Q70" s="486">
        <v>1</v>
      </c>
      <c r="R70" s="266">
        <v>0</v>
      </c>
      <c r="S70" s="486">
        <v>0</v>
      </c>
      <c r="T70" s="266">
        <v>0</v>
      </c>
      <c r="U70">
        <f t="shared" si="17"/>
        <v>1</v>
      </c>
      <c r="V70">
        <f t="shared" si="18"/>
        <v>0</v>
      </c>
      <c r="Y70" s="263" t="s">
        <v>368</v>
      </c>
      <c r="Z70" s="647">
        <f t="shared" si="19"/>
        <v>0</v>
      </c>
      <c r="AA70" s="646">
        <f t="shared" si="20"/>
        <v>0</v>
      </c>
      <c r="AB70" s="647">
        <f t="shared" si="21"/>
        <v>0</v>
      </c>
      <c r="AC70" s="646">
        <f t="shared" si="22"/>
        <v>0</v>
      </c>
      <c r="AD70" s="658">
        <v>1</v>
      </c>
      <c r="AE70" s="659">
        <v>0</v>
      </c>
      <c r="AF70" s="486">
        <v>0</v>
      </c>
      <c r="AG70" s="266">
        <v>0</v>
      </c>
      <c r="AH70" s="486">
        <v>0</v>
      </c>
      <c r="AI70" s="266">
        <v>0</v>
      </c>
    </row>
    <row r="71" spans="4:35" ht="15" customHeight="1" x14ac:dyDescent="0.3">
      <c r="D71" s="491" t="s">
        <v>87</v>
      </c>
      <c r="E71" s="486">
        <v>1</v>
      </c>
      <c r="F71" s="266">
        <v>1</v>
      </c>
      <c r="G71" s="486">
        <v>3</v>
      </c>
      <c r="H71" s="266">
        <v>4</v>
      </c>
      <c r="I71" s="486">
        <v>0</v>
      </c>
      <c r="J71" s="266">
        <v>0</v>
      </c>
      <c r="K71" s="486">
        <v>0</v>
      </c>
      <c r="L71" s="266">
        <v>1</v>
      </c>
      <c r="M71" s="486">
        <v>0</v>
      </c>
      <c r="N71" s="266">
        <v>3</v>
      </c>
      <c r="O71" s="486">
        <v>0</v>
      </c>
      <c r="P71" s="266">
        <v>3</v>
      </c>
      <c r="Q71" s="486">
        <v>0</v>
      </c>
      <c r="R71" s="266">
        <v>2</v>
      </c>
      <c r="S71" s="486">
        <v>1</v>
      </c>
      <c r="T71" s="266">
        <v>2</v>
      </c>
      <c r="U71">
        <f t="shared" si="17"/>
        <v>5</v>
      </c>
      <c r="V71" s="649">
        <f t="shared" si="18"/>
        <v>16</v>
      </c>
      <c r="Y71" s="263" t="s">
        <v>87</v>
      </c>
      <c r="Z71" s="647">
        <f t="shared" si="19"/>
        <v>4</v>
      </c>
      <c r="AA71" s="646">
        <f t="shared" si="20"/>
        <v>5</v>
      </c>
      <c r="AB71" s="647">
        <f t="shared" si="21"/>
        <v>1</v>
      </c>
      <c r="AC71" s="646">
        <f t="shared" si="22"/>
        <v>6</v>
      </c>
      <c r="AD71" s="658">
        <v>0</v>
      </c>
      <c r="AE71" s="659">
        <v>2</v>
      </c>
      <c r="AF71" s="486">
        <v>1</v>
      </c>
      <c r="AG71" s="266">
        <v>2</v>
      </c>
      <c r="AH71" s="486">
        <v>1</v>
      </c>
      <c r="AI71" s="266">
        <v>2</v>
      </c>
    </row>
    <row r="72" spans="4:35" ht="15" customHeight="1" x14ac:dyDescent="0.3">
      <c r="D72" s="491" t="s">
        <v>603</v>
      </c>
      <c r="E72" s="486">
        <v>0</v>
      </c>
      <c r="F72" s="266">
        <v>0</v>
      </c>
      <c r="G72" s="486">
        <v>0</v>
      </c>
      <c r="H72" s="266">
        <v>0</v>
      </c>
      <c r="I72" s="486">
        <v>0</v>
      </c>
      <c r="J72" s="266">
        <v>0</v>
      </c>
      <c r="K72" s="486">
        <v>0</v>
      </c>
      <c r="L72" s="266">
        <v>0</v>
      </c>
      <c r="M72" s="486">
        <v>0</v>
      </c>
      <c r="N72" s="266">
        <v>0</v>
      </c>
      <c r="O72" s="486">
        <v>0</v>
      </c>
      <c r="P72" s="266">
        <v>0</v>
      </c>
      <c r="Q72" s="486">
        <v>1</v>
      </c>
      <c r="R72" s="266">
        <v>0</v>
      </c>
      <c r="S72" s="486">
        <v>0</v>
      </c>
      <c r="T72" s="266">
        <v>0</v>
      </c>
      <c r="U72">
        <f t="shared" si="17"/>
        <v>1</v>
      </c>
      <c r="V72">
        <f t="shared" si="18"/>
        <v>0</v>
      </c>
      <c r="Y72" s="491" t="s">
        <v>603</v>
      </c>
      <c r="Z72" s="660">
        <f t="shared" si="19"/>
        <v>0</v>
      </c>
      <c r="AA72" s="661">
        <f t="shared" si="20"/>
        <v>0</v>
      </c>
      <c r="AB72" s="660">
        <f t="shared" ref="AB72" si="23">G72+I72+K72</f>
        <v>0</v>
      </c>
      <c r="AC72" s="661">
        <f t="shared" ref="AC72" si="24">H72+J72+L72</f>
        <v>0</v>
      </c>
      <c r="AD72" s="658">
        <v>1</v>
      </c>
      <c r="AE72" s="659">
        <v>0</v>
      </c>
      <c r="AF72" s="486">
        <v>0</v>
      </c>
      <c r="AG72" s="266">
        <v>0</v>
      </c>
      <c r="AH72" s="486">
        <v>0</v>
      </c>
      <c r="AI72" s="266">
        <v>0</v>
      </c>
    </row>
    <row r="73" spans="4:35" ht="15" customHeight="1" x14ac:dyDescent="0.3">
      <c r="D73" s="491" t="s">
        <v>315</v>
      </c>
      <c r="E73" s="486">
        <v>0</v>
      </c>
      <c r="F73" s="266">
        <v>0</v>
      </c>
      <c r="G73" s="486">
        <v>0</v>
      </c>
      <c r="H73" s="266">
        <v>0</v>
      </c>
      <c r="I73" s="486">
        <v>0</v>
      </c>
      <c r="J73" s="266">
        <v>0</v>
      </c>
      <c r="K73" s="486">
        <v>0</v>
      </c>
      <c r="L73" s="266">
        <v>1</v>
      </c>
      <c r="M73" s="486">
        <v>0</v>
      </c>
      <c r="N73" s="266">
        <v>0</v>
      </c>
      <c r="O73" s="486">
        <v>0</v>
      </c>
      <c r="P73" s="266">
        <v>0</v>
      </c>
      <c r="Q73" s="486">
        <v>0</v>
      </c>
      <c r="R73" s="266">
        <v>1</v>
      </c>
      <c r="S73" s="486">
        <v>0</v>
      </c>
      <c r="T73" s="266">
        <v>0</v>
      </c>
      <c r="U73">
        <f t="shared" si="17"/>
        <v>0</v>
      </c>
      <c r="V73">
        <f t="shared" si="18"/>
        <v>2</v>
      </c>
      <c r="Y73" s="263" t="s">
        <v>315</v>
      </c>
      <c r="Z73" s="647">
        <f t="shared" si="19"/>
        <v>0</v>
      </c>
      <c r="AA73" s="646">
        <f t="shared" si="20"/>
        <v>0</v>
      </c>
      <c r="AB73" s="647">
        <f t="shared" si="21"/>
        <v>0</v>
      </c>
      <c r="AC73" s="646">
        <f t="shared" si="22"/>
        <v>1</v>
      </c>
      <c r="AD73" s="658">
        <v>0</v>
      </c>
      <c r="AE73" s="659">
        <v>1</v>
      </c>
      <c r="AF73" s="486">
        <v>0</v>
      </c>
      <c r="AG73" s="266">
        <v>0</v>
      </c>
      <c r="AH73" s="486">
        <v>0</v>
      </c>
      <c r="AI73" s="266">
        <v>0</v>
      </c>
    </row>
    <row r="74" spans="4:35" ht="15" customHeight="1" x14ac:dyDescent="0.3">
      <c r="D74" s="491" t="s">
        <v>317</v>
      </c>
      <c r="E74" s="486">
        <v>0</v>
      </c>
      <c r="F74" s="266">
        <v>0</v>
      </c>
      <c r="G74" s="486">
        <v>0</v>
      </c>
      <c r="H74" s="266">
        <v>0</v>
      </c>
      <c r="I74" s="486">
        <v>2</v>
      </c>
      <c r="J74" s="266">
        <v>0</v>
      </c>
      <c r="K74" s="486">
        <v>0</v>
      </c>
      <c r="L74" s="266">
        <v>0</v>
      </c>
      <c r="M74" s="486">
        <v>0</v>
      </c>
      <c r="N74" s="266">
        <v>0</v>
      </c>
      <c r="O74" s="486">
        <v>0</v>
      </c>
      <c r="P74" s="266">
        <v>0</v>
      </c>
      <c r="Q74" s="486">
        <v>0</v>
      </c>
      <c r="R74" s="266">
        <v>0</v>
      </c>
      <c r="S74" s="486">
        <v>0</v>
      </c>
      <c r="T74" s="266">
        <v>0</v>
      </c>
      <c r="U74">
        <f t="shared" si="17"/>
        <v>2</v>
      </c>
      <c r="V74">
        <f t="shared" si="18"/>
        <v>0</v>
      </c>
      <c r="Y74" s="263" t="s">
        <v>317</v>
      </c>
      <c r="Z74" s="647">
        <f t="shared" si="19"/>
        <v>2</v>
      </c>
      <c r="AA74" s="646">
        <f t="shared" si="20"/>
        <v>0</v>
      </c>
      <c r="AB74" s="647">
        <f t="shared" si="21"/>
        <v>0</v>
      </c>
      <c r="AC74" s="646">
        <f t="shared" si="22"/>
        <v>0</v>
      </c>
      <c r="AD74" s="658">
        <v>0</v>
      </c>
      <c r="AE74" s="659">
        <v>0</v>
      </c>
      <c r="AF74" s="486">
        <v>0</v>
      </c>
      <c r="AG74" s="266">
        <v>0</v>
      </c>
      <c r="AH74" s="486">
        <v>0</v>
      </c>
      <c r="AI74" s="266">
        <v>0</v>
      </c>
    </row>
    <row r="75" spans="4:35" ht="15" customHeight="1" x14ac:dyDescent="0.3">
      <c r="D75" s="491" t="s">
        <v>388</v>
      </c>
      <c r="E75" s="486">
        <v>0</v>
      </c>
      <c r="F75" s="266">
        <v>0</v>
      </c>
      <c r="G75" s="486">
        <v>0</v>
      </c>
      <c r="H75" s="266">
        <v>0</v>
      </c>
      <c r="I75" s="486">
        <v>0</v>
      </c>
      <c r="J75" s="266">
        <v>0</v>
      </c>
      <c r="K75" s="486">
        <v>0</v>
      </c>
      <c r="L75" s="266">
        <v>0</v>
      </c>
      <c r="M75" s="486">
        <v>0</v>
      </c>
      <c r="N75" s="266">
        <v>0</v>
      </c>
      <c r="O75" s="486">
        <v>0</v>
      </c>
      <c r="P75" s="266">
        <v>0</v>
      </c>
      <c r="Q75" s="486">
        <v>0</v>
      </c>
      <c r="R75" s="266">
        <v>0</v>
      </c>
      <c r="S75" s="486">
        <v>0</v>
      </c>
      <c r="T75" s="266">
        <v>0</v>
      </c>
      <c r="U75">
        <f t="shared" si="17"/>
        <v>0</v>
      </c>
      <c r="V75">
        <f t="shared" si="18"/>
        <v>0</v>
      </c>
      <c r="Y75" s="263" t="s">
        <v>388</v>
      </c>
      <c r="Z75" s="647">
        <f t="shared" si="19"/>
        <v>0</v>
      </c>
      <c r="AA75" s="646">
        <f t="shared" si="20"/>
        <v>0</v>
      </c>
      <c r="AB75" s="647">
        <f t="shared" si="21"/>
        <v>0</v>
      </c>
      <c r="AC75" s="646">
        <f t="shared" si="22"/>
        <v>0</v>
      </c>
      <c r="AD75" s="658">
        <v>0</v>
      </c>
      <c r="AE75" s="659">
        <v>0</v>
      </c>
      <c r="AF75" s="486">
        <v>0</v>
      </c>
      <c r="AG75" s="266">
        <v>0</v>
      </c>
      <c r="AH75" s="486">
        <v>0</v>
      </c>
      <c r="AI75" s="266">
        <v>0</v>
      </c>
    </row>
    <row r="76" spans="4:35" s="86" customFormat="1" ht="15" customHeight="1" thickBot="1" x14ac:dyDescent="0.35">
      <c r="D76" s="492" t="s">
        <v>353</v>
      </c>
      <c r="E76" s="486">
        <v>0</v>
      </c>
      <c r="F76" s="266">
        <v>0</v>
      </c>
      <c r="G76" s="486">
        <v>0</v>
      </c>
      <c r="H76" s="266">
        <v>0</v>
      </c>
      <c r="I76" s="486">
        <v>0</v>
      </c>
      <c r="J76" s="266">
        <v>0</v>
      </c>
      <c r="K76" s="486">
        <v>0</v>
      </c>
      <c r="L76" s="266">
        <v>0</v>
      </c>
      <c r="M76" s="486">
        <v>1</v>
      </c>
      <c r="N76" s="266">
        <v>0</v>
      </c>
      <c r="O76" s="486">
        <v>0</v>
      </c>
      <c r="P76" s="266">
        <v>0</v>
      </c>
      <c r="Q76" s="486">
        <v>0</v>
      </c>
      <c r="R76" s="266">
        <v>0</v>
      </c>
      <c r="S76" s="486">
        <v>0</v>
      </c>
      <c r="T76" s="266">
        <v>2</v>
      </c>
      <c r="U76">
        <f t="shared" si="17"/>
        <v>1</v>
      </c>
      <c r="V76">
        <f t="shared" si="18"/>
        <v>2</v>
      </c>
      <c r="Y76" s="263" t="s">
        <v>353</v>
      </c>
      <c r="Z76" s="651">
        <f t="shared" si="19"/>
        <v>0</v>
      </c>
      <c r="AA76" s="652">
        <f t="shared" si="20"/>
        <v>0</v>
      </c>
      <c r="AB76" s="651">
        <f t="shared" si="21"/>
        <v>1</v>
      </c>
      <c r="AC76" s="652">
        <f t="shared" si="22"/>
        <v>2</v>
      </c>
      <c r="AD76" s="658">
        <v>0</v>
      </c>
      <c r="AE76" s="659">
        <v>0</v>
      </c>
      <c r="AF76" s="486">
        <v>0</v>
      </c>
      <c r="AG76" s="266">
        <v>2</v>
      </c>
      <c r="AH76" s="486">
        <v>0</v>
      </c>
      <c r="AI76" s="266">
        <v>2</v>
      </c>
    </row>
    <row r="77" spans="4:35" s="86" customFormat="1" ht="15.75" thickBot="1" x14ac:dyDescent="0.3">
      <c r="D77" s="484" t="s">
        <v>106</v>
      </c>
      <c r="E77" s="567">
        <f t="shared" ref="E77:J77" si="25">SUM(E59:E76)</f>
        <v>12</v>
      </c>
      <c r="F77" s="567">
        <f t="shared" si="25"/>
        <v>12</v>
      </c>
      <c r="G77" s="567">
        <f t="shared" si="25"/>
        <v>18</v>
      </c>
      <c r="H77" s="567">
        <f t="shared" si="25"/>
        <v>12</v>
      </c>
      <c r="I77" s="567">
        <f t="shared" si="25"/>
        <v>12</v>
      </c>
      <c r="J77" s="567">
        <f t="shared" si="25"/>
        <v>13</v>
      </c>
      <c r="K77" s="567">
        <f t="shared" ref="K77:N77" si="26">SUM(K59:K76)</f>
        <v>8</v>
      </c>
      <c r="L77" s="567">
        <f t="shared" si="26"/>
        <v>6</v>
      </c>
      <c r="M77" s="567">
        <f t="shared" si="26"/>
        <v>15</v>
      </c>
      <c r="N77" s="567">
        <f t="shared" si="26"/>
        <v>6</v>
      </c>
      <c r="O77" s="567">
        <f>SUM(O59:O76)</f>
        <v>11</v>
      </c>
      <c r="P77" s="567">
        <f t="shared" ref="P77:T77" si="27">SUM(P59:P76)</f>
        <v>6</v>
      </c>
      <c r="Q77" s="567">
        <f t="shared" ref="Q77:R77" si="28">SUM(Q59:Q76)</f>
        <v>16</v>
      </c>
      <c r="R77" s="567">
        <f t="shared" si="28"/>
        <v>19</v>
      </c>
      <c r="S77" s="567">
        <f t="shared" si="27"/>
        <v>16</v>
      </c>
      <c r="T77" s="567">
        <f t="shared" si="27"/>
        <v>12</v>
      </c>
      <c r="U77">
        <f t="shared" ref="U77" si="29">E77+G77+I77+K77+M77+O77+S77</f>
        <v>92</v>
      </c>
      <c r="V77">
        <f t="shared" ref="V77" si="30">F77+H77+J77+L77+N77+P77+T77</f>
        <v>67</v>
      </c>
      <c r="Y77" s="629" t="s">
        <v>106</v>
      </c>
      <c r="Z77" s="464">
        <f t="shared" si="19"/>
        <v>42</v>
      </c>
      <c r="AA77" s="465">
        <f t="shared" si="20"/>
        <v>37</v>
      </c>
      <c r="AB77" s="464">
        <f t="shared" si="21"/>
        <v>39</v>
      </c>
      <c r="AC77" s="465">
        <f t="shared" si="22"/>
        <v>24</v>
      </c>
      <c r="AD77" s="464">
        <f t="shared" ref="AD77:AG77" si="31">SUM(AD59:AD76)</f>
        <v>16</v>
      </c>
      <c r="AE77" s="465">
        <f t="shared" si="31"/>
        <v>19</v>
      </c>
      <c r="AF77" s="567">
        <f t="shared" si="31"/>
        <v>16</v>
      </c>
      <c r="AG77" s="567">
        <f t="shared" si="31"/>
        <v>12</v>
      </c>
      <c r="AH77" s="567">
        <f t="shared" ref="AH77:AI77" si="32">SUM(AH59:AH76)</f>
        <v>16</v>
      </c>
      <c r="AI77" s="567">
        <f t="shared" si="32"/>
        <v>12</v>
      </c>
    </row>
    <row r="78" spans="4:35" s="86" customFormat="1" x14ac:dyDescent="0.25">
      <c r="U78"/>
      <c r="V78"/>
    </row>
    <row r="79" spans="4:35" s="86" customFormat="1" x14ac:dyDescent="0.25">
      <c r="U79"/>
      <c r="V79"/>
    </row>
    <row r="80" spans="4:35" s="86" customFormat="1" x14ac:dyDescent="0.25">
      <c r="U80"/>
      <c r="V80"/>
    </row>
    <row r="81" spans="4:35" s="86" customFormat="1" x14ac:dyDescent="0.25">
      <c r="U81"/>
      <c r="V81"/>
    </row>
    <row r="82" spans="4:35" s="86" customFormat="1" x14ac:dyDescent="0.25">
      <c r="D82"/>
      <c r="E82"/>
      <c r="F82"/>
      <c r="G82"/>
      <c r="H82"/>
      <c r="I82"/>
      <c r="J82"/>
      <c r="K82"/>
      <c r="L82"/>
      <c r="M82"/>
      <c r="N82"/>
      <c r="O82"/>
      <c r="P82"/>
      <c r="Q82"/>
      <c r="R82"/>
      <c r="S82"/>
      <c r="T82"/>
      <c r="U82"/>
      <c r="V82"/>
    </row>
    <row r="84" spans="4:35" s="86" customFormat="1" ht="16.5" customHeight="1" thickBot="1" x14ac:dyDescent="0.3">
      <c r="D84"/>
      <c r="E84"/>
      <c r="F84"/>
      <c r="G84"/>
      <c r="H84"/>
      <c r="I84"/>
      <c r="J84"/>
      <c r="K84"/>
      <c r="L84"/>
      <c r="M84"/>
      <c r="N84"/>
      <c r="O84"/>
      <c r="P84"/>
      <c r="Q84"/>
      <c r="R84"/>
      <c r="S84"/>
      <c r="T84"/>
      <c r="U84"/>
      <c r="V84"/>
    </row>
    <row r="85" spans="4:35" s="86" customFormat="1" ht="15.75" thickBot="1" x14ac:dyDescent="0.3">
      <c r="D85" s="814" t="s">
        <v>436</v>
      </c>
      <c r="E85" s="815"/>
      <c r="F85" s="815"/>
      <c r="G85" s="815"/>
      <c r="H85" s="815"/>
      <c r="I85" s="815"/>
      <c r="J85" s="815"/>
      <c r="K85" s="815"/>
      <c r="L85" s="815"/>
      <c r="M85" s="815"/>
      <c r="N85" s="815"/>
      <c r="O85" s="815"/>
      <c r="P85" s="815"/>
      <c r="Q85" s="815"/>
      <c r="R85" s="815"/>
      <c r="S85" s="815"/>
      <c r="T85" s="816"/>
      <c r="U85"/>
      <c r="V85"/>
      <c r="Y85" s="814" t="s">
        <v>436</v>
      </c>
      <c r="Z85" s="815"/>
      <c r="AA85" s="815"/>
      <c r="AB85" s="815"/>
      <c r="AC85" s="815"/>
      <c r="AD85" s="815"/>
      <c r="AE85" s="815"/>
      <c r="AF85" s="815"/>
      <c r="AG85" s="816"/>
    </row>
    <row r="86" spans="4:35" s="86" customFormat="1" ht="15.75" thickBot="1" x14ac:dyDescent="0.3">
      <c r="D86" s="810" t="s">
        <v>151</v>
      </c>
      <c r="E86" s="812" t="s">
        <v>152</v>
      </c>
      <c r="F86" s="813"/>
      <c r="G86" s="808" t="s">
        <v>153</v>
      </c>
      <c r="H86" s="809"/>
      <c r="I86" s="808" t="s">
        <v>363</v>
      </c>
      <c r="J86" s="809"/>
      <c r="K86" s="795" t="s">
        <v>155</v>
      </c>
      <c r="L86" s="796"/>
      <c r="M86" s="795" t="s">
        <v>354</v>
      </c>
      <c r="N86" s="796"/>
      <c r="O86" s="795" t="s">
        <v>157</v>
      </c>
      <c r="P86" s="796"/>
      <c r="Q86" s="795" t="s">
        <v>602</v>
      </c>
      <c r="R86" s="796"/>
      <c r="S86" s="795" t="s">
        <v>384</v>
      </c>
      <c r="T86" s="796"/>
      <c r="U86"/>
      <c r="V86"/>
      <c r="Y86" s="810" t="s">
        <v>151</v>
      </c>
      <c r="Z86" s="795" t="s">
        <v>390</v>
      </c>
      <c r="AA86" s="796"/>
      <c r="AB86" s="795" t="s">
        <v>579</v>
      </c>
      <c r="AC86" s="796"/>
      <c r="AD86" s="795" t="s">
        <v>602</v>
      </c>
      <c r="AE86" s="796"/>
      <c r="AF86" s="795" t="s">
        <v>384</v>
      </c>
      <c r="AG86" s="796"/>
      <c r="AH86" s="795" t="s">
        <v>384</v>
      </c>
      <c r="AI86" s="796"/>
    </row>
    <row r="87" spans="4:35" s="86" customFormat="1" ht="15.75" thickBot="1" x14ac:dyDescent="0.3">
      <c r="D87" s="811"/>
      <c r="E87" s="480">
        <v>2025</v>
      </c>
      <c r="F87" s="480">
        <v>2026</v>
      </c>
      <c r="G87" s="480">
        <v>2025</v>
      </c>
      <c r="H87" s="480">
        <v>2026</v>
      </c>
      <c r="I87" s="480">
        <v>2025</v>
      </c>
      <c r="J87" s="480">
        <v>2026</v>
      </c>
      <c r="K87" s="593">
        <v>2025</v>
      </c>
      <c r="L87" s="593">
        <v>2026</v>
      </c>
      <c r="M87" s="593">
        <v>2025</v>
      </c>
      <c r="N87" s="593">
        <v>2026</v>
      </c>
      <c r="O87" s="593">
        <v>2025</v>
      </c>
      <c r="P87" s="593">
        <v>2026</v>
      </c>
      <c r="Q87" s="593">
        <v>2025</v>
      </c>
      <c r="R87" s="593">
        <v>2026</v>
      </c>
      <c r="S87" s="593">
        <v>2025</v>
      </c>
      <c r="T87" s="593">
        <v>2026</v>
      </c>
      <c r="U87"/>
      <c r="V87"/>
      <c r="Y87" s="811"/>
      <c r="Z87" s="589">
        <v>2025</v>
      </c>
      <c r="AA87" s="589">
        <v>2026</v>
      </c>
      <c r="AB87" s="589">
        <v>2025</v>
      </c>
      <c r="AC87" s="589">
        <v>2026</v>
      </c>
      <c r="AD87" s="593">
        <v>2025</v>
      </c>
      <c r="AE87" s="593">
        <v>2026</v>
      </c>
      <c r="AF87" s="593">
        <v>2025</v>
      </c>
      <c r="AG87" s="593">
        <v>2026</v>
      </c>
      <c r="AH87" s="593">
        <v>2025</v>
      </c>
      <c r="AI87" s="593">
        <v>2026</v>
      </c>
    </row>
    <row r="88" spans="4:35" s="86" customFormat="1" ht="15.75" x14ac:dyDescent="0.3">
      <c r="D88" s="259" t="s">
        <v>314</v>
      </c>
      <c r="E88" s="268">
        <v>0</v>
      </c>
      <c r="F88" s="268">
        <v>0</v>
      </c>
      <c r="G88" s="268">
        <v>0</v>
      </c>
      <c r="H88" s="268">
        <v>0</v>
      </c>
      <c r="I88" s="268">
        <v>1</v>
      </c>
      <c r="J88" s="268">
        <v>0</v>
      </c>
      <c r="K88" s="268">
        <v>0</v>
      </c>
      <c r="L88" s="268">
        <v>0</v>
      </c>
      <c r="M88" s="268">
        <v>0</v>
      </c>
      <c r="N88" s="268">
        <v>0</v>
      </c>
      <c r="O88" s="268">
        <v>0</v>
      </c>
      <c r="P88" s="268">
        <v>0</v>
      </c>
      <c r="Q88" s="268">
        <v>0</v>
      </c>
      <c r="R88" s="268">
        <v>0</v>
      </c>
      <c r="S88" s="268">
        <v>0</v>
      </c>
      <c r="T88" s="268">
        <v>0</v>
      </c>
      <c r="U88">
        <f>E88+G88+I88+K88+M88+O88+Q88+S88</f>
        <v>1</v>
      </c>
      <c r="V88">
        <f>F88+H88+J88+L88+N88+P88+R88+T88</f>
        <v>0</v>
      </c>
      <c r="Y88" s="259" t="s">
        <v>314</v>
      </c>
      <c r="Z88" s="664">
        <f>E88+G88+I88</f>
        <v>1</v>
      </c>
      <c r="AA88" s="665">
        <f>F88+H88+J88</f>
        <v>0</v>
      </c>
      <c r="AB88" s="666">
        <f>K88+M88+S88</f>
        <v>0</v>
      </c>
      <c r="AC88" s="665">
        <f>L88+N88+T88</f>
        <v>0</v>
      </c>
      <c r="AD88" s="667">
        <v>0</v>
      </c>
      <c r="AE88" s="667">
        <v>0</v>
      </c>
      <c r="AF88" s="268">
        <v>0</v>
      </c>
      <c r="AG88" s="268">
        <v>0</v>
      </c>
      <c r="AH88" s="268">
        <v>0</v>
      </c>
      <c r="AI88" s="268">
        <v>0</v>
      </c>
    </row>
    <row r="89" spans="4:35" s="86" customFormat="1" ht="15.75" x14ac:dyDescent="0.3">
      <c r="D89" s="262" t="s">
        <v>518</v>
      </c>
      <c r="E89" s="261">
        <v>0</v>
      </c>
      <c r="F89" s="261">
        <v>0</v>
      </c>
      <c r="G89" s="261">
        <v>0</v>
      </c>
      <c r="H89" s="261">
        <v>0</v>
      </c>
      <c r="I89" s="261">
        <v>0</v>
      </c>
      <c r="J89" s="261">
        <v>0</v>
      </c>
      <c r="K89" s="261">
        <v>0</v>
      </c>
      <c r="L89" s="261">
        <v>1</v>
      </c>
      <c r="M89" s="261">
        <v>0</v>
      </c>
      <c r="N89" s="261">
        <v>0</v>
      </c>
      <c r="O89" s="261">
        <v>0</v>
      </c>
      <c r="P89" s="261">
        <v>0</v>
      </c>
      <c r="Q89" s="261">
        <v>0</v>
      </c>
      <c r="R89" s="261">
        <v>0</v>
      </c>
      <c r="S89" s="261">
        <v>0</v>
      </c>
      <c r="T89" s="261">
        <v>0</v>
      </c>
      <c r="U89">
        <f t="shared" ref="U89:U109" si="33">E89+G89+I89+K89+M89+O89+Q89+S89</f>
        <v>0</v>
      </c>
      <c r="V89">
        <f t="shared" ref="V89:V109" si="34">F89+H89+J89+L89+N89+P89+R89+T89</f>
        <v>1</v>
      </c>
      <c r="Y89" s="262" t="s">
        <v>518</v>
      </c>
      <c r="Z89" s="660">
        <f t="shared" ref="Z89:Z110" si="35">E89+G89+I89</f>
        <v>0</v>
      </c>
      <c r="AA89" s="661">
        <f t="shared" ref="AA89:AA110" si="36">F89+H89+J89</f>
        <v>0</v>
      </c>
      <c r="AB89" s="668">
        <f t="shared" ref="AB89:AB110" si="37">K89+M89+S89</f>
        <v>0</v>
      </c>
      <c r="AC89" s="661">
        <f t="shared" ref="AC89:AC110" si="38">L89+N89+T89</f>
        <v>1</v>
      </c>
      <c r="AD89" s="661">
        <v>0</v>
      </c>
      <c r="AE89" s="661">
        <v>0</v>
      </c>
      <c r="AF89" s="261">
        <v>0</v>
      </c>
      <c r="AG89" s="261">
        <v>0</v>
      </c>
      <c r="AH89" s="261">
        <v>0</v>
      </c>
      <c r="AI89" s="261">
        <v>0</v>
      </c>
    </row>
    <row r="90" spans="4:35" s="86" customFormat="1" ht="15.75" x14ac:dyDescent="0.3">
      <c r="D90" s="262" t="s">
        <v>483</v>
      </c>
      <c r="E90" s="261">
        <v>0</v>
      </c>
      <c r="F90" s="261">
        <v>0</v>
      </c>
      <c r="G90" s="261">
        <v>0</v>
      </c>
      <c r="H90" s="261">
        <v>1</v>
      </c>
      <c r="I90" s="261">
        <v>0</v>
      </c>
      <c r="J90" s="261">
        <v>0</v>
      </c>
      <c r="K90" s="261">
        <v>0</v>
      </c>
      <c r="L90" s="261">
        <v>0</v>
      </c>
      <c r="M90" s="261">
        <v>0</v>
      </c>
      <c r="N90" s="261">
        <v>0</v>
      </c>
      <c r="O90" s="261">
        <v>0</v>
      </c>
      <c r="P90" s="261">
        <v>1</v>
      </c>
      <c r="Q90" s="261">
        <v>0</v>
      </c>
      <c r="R90" s="261">
        <v>0</v>
      </c>
      <c r="S90" s="261">
        <v>0</v>
      </c>
      <c r="T90" s="261">
        <v>0</v>
      </c>
      <c r="U90">
        <f t="shared" si="33"/>
        <v>0</v>
      </c>
      <c r="V90">
        <f t="shared" si="34"/>
        <v>2</v>
      </c>
      <c r="Y90" s="262" t="s">
        <v>483</v>
      </c>
      <c r="Z90" s="660">
        <f t="shared" si="35"/>
        <v>0</v>
      </c>
      <c r="AA90" s="661">
        <f t="shared" si="36"/>
        <v>1</v>
      </c>
      <c r="AB90" s="668">
        <f t="shared" si="37"/>
        <v>0</v>
      </c>
      <c r="AC90" s="661">
        <f t="shared" si="38"/>
        <v>0</v>
      </c>
      <c r="AD90" s="661">
        <v>0</v>
      </c>
      <c r="AE90" s="661">
        <v>0</v>
      </c>
      <c r="AF90" s="261">
        <v>0</v>
      </c>
      <c r="AG90" s="261">
        <v>0</v>
      </c>
      <c r="AH90" s="261">
        <v>0</v>
      </c>
      <c r="AI90" s="261">
        <v>0</v>
      </c>
    </row>
    <row r="91" spans="4:35" s="86" customFormat="1" ht="15.75" x14ac:dyDescent="0.3">
      <c r="D91" s="262" t="s">
        <v>74</v>
      </c>
      <c r="E91" s="261">
        <v>2</v>
      </c>
      <c r="F91" s="261">
        <v>2</v>
      </c>
      <c r="G91" s="261">
        <v>4</v>
      </c>
      <c r="H91" s="261">
        <v>9</v>
      </c>
      <c r="I91" s="261">
        <v>4</v>
      </c>
      <c r="J91" s="261">
        <v>2</v>
      </c>
      <c r="K91" s="261">
        <v>2</v>
      </c>
      <c r="L91" s="261">
        <v>4</v>
      </c>
      <c r="M91" s="261">
        <v>0</v>
      </c>
      <c r="N91" s="261">
        <v>1</v>
      </c>
      <c r="O91" s="261">
        <v>1</v>
      </c>
      <c r="P91" s="261">
        <v>1</v>
      </c>
      <c r="Q91" s="261">
        <v>0</v>
      </c>
      <c r="R91" s="261">
        <v>1</v>
      </c>
      <c r="S91" s="261">
        <v>5</v>
      </c>
      <c r="T91" s="261">
        <v>1</v>
      </c>
      <c r="U91" s="649">
        <f t="shared" si="33"/>
        <v>18</v>
      </c>
      <c r="V91" s="649">
        <f t="shared" si="34"/>
        <v>21</v>
      </c>
      <c r="Y91" s="262" t="s">
        <v>74</v>
      </c>
      <c r="Z91" s="660">
        <f t="shared" si="35"/>
        <v>10</v>
      </c>
      <c r="AA91" s="661">
        <f t="shared" si="36"/>
        <v>13</v>
      </c>
      <c r="AB91" s="668">
        <f t="shared" si="37"/>
        <v>7</v>
      </c>
      <c r="AC91" s="661">
        <f t="shared" si="38"/>
        <v>6</v>
      </c>
      <c r="AD91" s="661">
        <v>0</v>
      </c>
      <c r="AE91" s="661">
        <v>0</v>
      </c>
      <c r="AF91" s="261">
        <v>5</v>
      </c>
      <c r="AG91" s="261">
        <v>1</v>
      </c>
      <c r="AH91" s="261">
        <v>5</v>
      </c>
      <c r="AI91" s="261">
        <v>1</v>
      </c>
    </row>
    <row r="92" spans="4:35" s="86" customFormat="1" ht="15.75" x14ac:dyDescent="0.3">
      <c r="D92" s="262" t="s">
        <v>182</v>
      </c>
      <c r="E92" s="261">
        <v>0</v>
      </c>
      <c r="F92" s="261">
        <v>0</v>
      </c>
      <c r="G92" s="261">
        <v>0</v>
      </c>
      <c r="H92" s="261">
        <v>0</v>
      </c>
      <c r="I92" s="261">
        <v>0</v>
      </c>
      <c r="J92" s="261">
        <v>0</v>
      </c>
      <c r="K92" s="261">
        <v>0</v>
      </c>
      <c r="L92" s="261">
        <v>0</v>
      </c>
      <c r="M92" s="261">
        <v>0</v>
      </c>
      <c r="N92" s="261">
        <v>0</v>
      </c>
      <c r="O92" s="261">
        <v>0</v>
      </c>
      <c r="P92" s="261">
        <v>0</v>
      </c>
      <c r="Q92" s="261">
        <v>1</v>
      </c>
      <c r="R92" s="261">
        <v>0</v>
      </c>
      <c r="S92" s="261">
        <v>0</v>
      </c>
      <c r="T92" s="261">
        <v>0</v>
      </c>
      <c r="U92">
        <f t="shared" si="33"/>
        <v>1</v>
      </c>
      <c r="V92">
        <f t="shared" si="34"/>
        <v>0</v>
      </c>
      <c r="Y92" s="262" t="s">
        <v>182</v>
      </c>
      <c r="Z92" s="660">
        <f t="shared" si="35"/>
        <v>0</v>
      </c>
      <c r="AA92" s="661">
        <f t="shared" si="36"/>
        <v>0</v>
      </c>
      <c r="AB92" s="668">
        <f t="shared" si="37"/>
        <v>0</v>
      </c>
      <c r="AC92" s="661">
        <f t="shared" si="38"/>
        <v>0</v>
      </c>
      <c r="AD92" s="661">
        <v>1</v>
      </c>
      <c r="AE92" s="661">
        <v>0</v>
      </c>
      <c r="AF92" s="261">
        <v>0</v>
      </c>
      <c r="AG92" s="261">
        <v>0</v>
      </c>
      <c r="AH92" s="261">
        <v>0</v>
      </c>
      <c r="AI92" s="261">
        <v>0</v>
      </c>
    </row>
    <row r="93" spans="4:35" s="86" customFormat="1" ht="15.75" x14ac:dyDescent="0.3">
      <c r="D93" s="262" t="s">
        <v>75</v>
      </c>
      <c r="E93" s="261">
        <v>12</v>
      </c>
      <c r="F93" s="261">
        <v>8</v>
      </c>
      <c r="G93" s="261">
        <v>17</v>
      </c>
      <c r="H93" s="261">
        <v>9</v>
      </c>
      <c r="I93" s="261">
        <v>21</v>
      </c>
      <c r="J93" s="261">
        <v>9</v>
      </c>
      <c r="K93" s="261">
        <v>16</v>
      </c>
      <c r="L93" s="261">
        <v>5</v>
      </c>
      <c r="M93" s="261">
        <v>17</v>
      </c>
      <c r="N93" s="261">
        <v>8</v>
      </c>
      <c r="O93" s="261">
        <v>14</v>
      </c>
      <c r="P93" s="261">
        <v>11</v>
      </c>
      <c r="Q93" s="261">
        <v>14</v>
      </c>
      <c r="R93" s="261">
        <v>7</v>
      </c>
      <c r="S93" s="261">
        <v>8</v>
      </c>
      <c r="T93" s="261">
        <v>14</v>
      </c>
      <c r="U93" s="649">
        <f t="shared" si="33"/>
        <v>119</v>
      </c>
      <c r="V93" s="649">
        <f t="shared" si="34"/>
        <v>71</v>
      </c>
      <c r="Y93" s="262" t="s">
        <v>75</v>
      </c>
      <c r="Z93" s="660">
        <f t="shared" si="35"/>
        <v>50</v>
      </c>
      <c r="AA93" s="661">
        <f t="shared" si="36"/>
        <v>26</v>
      </c>
      <c r="AB93" s="668">
        <f t="shared" si="37"/>
        <v>41</v>
      </c>
      <c r="AC93" s="661">
        <f t="shared" si="38"/>
        <v>27</v>
      </c>
      <c r="AD93" s="661">
        <v>14</v>
      </c>
      <c r="AE93" s="661">
        <v>7</v>
      </c>
      <c r="AF93" s="261">
        <v>8</v>
      </c>
      <c r="AG93" s="261">
        <v>14</v>
      </c>
      <c r="AH93" s="261">
        <v>8</v>
      </c>
      <c r="AI93" s="261">
        <v>14</v>
      </c>
    </row>
    <row r="94" spans="4:35" s="86" customFormat="1" ht="15.75" x14ac:dyDescent="0.3">
      <c r="D94" s="262" t="s">
        <v>183</v>
      </c>
      <c r="E94" s="261">
        <v>1</v>
      </c>
      <c r="F94" s="261">
        <v>0</v>
      </c>
      <c r="G94" s="261">
        <v>1</v>
      </c>
      <c r="H94" s="261">
        <v>0</v>
      </c>
      <c r="I94" s="261">
        <v>1</v>
      </c>
      <c r="J94" s="261">
        <v>0</v>
      </c>
      <c r="K94" s="261">
        <v>3</v>
      </c>
      <c r="L94" s="261">
        <v>0</v>
      </c>
      <c r="M94" s="261">
        <v>1</v>
      </c>
      <c r="N94" s="261">
        <v>0</v>
      </c>
      <c r="O94" s="261">
        <v>0</v>
      </c>
      <c r="P94" s="261">
        <v>0</v>
      </c>
      <c r="Q94" s="261">
        <v>0</v>
      </c>
      <c r="R94" s="261">
        <v>1</v>
      </c>
      <c r="S94" s="261">
        <v>0</v>
      </c>
      <c r="T94" s="261">
        <v>1</v>
      </c>
      <c r="U94">
        <f t="shared" si="33"/>
        <v>7</v>
      </c>
      <c r="V94">
        <f t="shared" si="34"/>
        <v>2</v>
      </c>
      <c r="Y94" s="262" t="s">
        <v>183</v>
      </c>
      <c r="Z94" s="660">
        <f t="shared" si="35"/>
        <v>3</v>
      </c>
      <c r="AA94" s="661">
        <f t="shared" si="36"/>
        <v>0</v>
      </c>
      <c r="AB94" s="668">
        <f t="shared" si="37"/>
        <v>4</v>
      </c>
      <c r="AC94" s="661">
        <f t="shared" si="38"/>
        <v>1</v>
      </c>
      <c r="AD94" s="661">
        <v>0</v>
      </c>
      <c r="AE94" s="661">
        <v>1</v>
      </c>
      <c r="AF94" s="261">
        <v>0</v>
      </c>
      <c r="AG94" s="261">
        <v>1</v>
      </c>
      <c r="AH94" s="261">
        <v>0</v>
      </c>
      <c r="AI94" s="261">
        <v>1</v>
      </c>
    </row>
    <row r="95" spans="4:35" s="86" customFormat="1" ht="15.75" x14ac:dyDescent="0.3">
      <c r="D95" s="262" t="s">
        <v>369</v>
      </c>
      <c r="E95" s="261">
        <v>0</v>
      </c>
      <c r="F95" s="261">
        <v>0</v>
      </c>
      <c r="G95" s="261">
        <v>0</v>
      </c>
      <c r="H95" s="261">
        <v>0</v>
      </c>
      <c r="I95" s="261">
        <v>0</v>
      </c>
      <c r="J95" s="261">
        <v>0</v>
      </c>
      <c r="K95" s="261">
        <v>0</v>
      </c>
      <c r="L95" s="261">
        <v>0</v>
      </c>
      <c r="M95" s="261">
        <v>0</v>
      </c>
      <c r="N95" s="261">
        <v>0</v>
      </c>
      <c r="O95" s="261">
        <v>0</v>
      </c>
      <c r="P95" s="261">
        <v>0</v>
      </c>
      <c r="Q95" s="261">
        <v>0</v>
      </c>
      <c r="R95" s="261">
        <v>0</v>
      </c>
      <c r="S95" s="261">
        <v>0</v>
      </c>
      <c r="T95" s="261">
        <v>0</v>
      </c>
      <c r="U95">
        <f t="shared" si="33"/>
        <v>0</v>
      </c>
      <c r="V95">
        <f t="shared" si="34"/>
        <v>0</v>
      </c>
      <c r="Y95" s="262" t="s">
        <v>369</v>
      </c>
      <c r="Z95" s="660">
        <f t="shared" si="35"/>
        <v>0</v>
      </c>
      <c r="AA95" s="661">
        <f t="shared" si="36"/>
        <v>0</v>
      </c>
      <c r="AB95" s="668">
        <f t="shared" si="37"/>
        <v>0</v>
      </c>
      <c r="AC95" s="661">
        <f t="shared" si="38"/>
        <v>0</v>
      </c>
      <c r="AD95" s="661">
        <v>0</v>
      </c>
      <c r="AE95" s="661">
        <v>0</v>
      </c>
      <c r="AF95" s="261">
        <v>0</v>
      </c>
      <c r="AG95" s="261">
        <v>0</v>
      </c>
      <c r="AH95" s="261">
        <v>0</v>
      </c>
      <c r="AI95" s="261">
        <v>0</v>
      </c>
    </row>
    <row r="96" spans="4:35" s="86" customFormat="1" ht="15.75" x14ac:dyDescent="0.3">
      <c r="D96" s="262" t="s">
        <v>295</v>
      </c>
      <c r="E96" s="261">
        <v>0</v>
      </c>
      <c r="F96" s="261">
        <v>0</v>
      </c>
      <c r="G96" s="261">
        <v>1</v>
      </c>
      <c r="H96" s="261">
        <v>0</v>
      </c>
      <c r="I96" s="261">
        <v>0</v>
      </c>
      <c r="J96" s="261">
        <v>0</v>
      </c>
      <c r="K96" s="261">
        <v>0</v>
      </c>
      <c r="L96" s="261">
        <v>0</v>
      </c>
      <c r="M96" s="261">
        <v>0</v>
      </c>
      <c r="N96" s="261">
        <v>0</v>
      </c>
      <c r="O96" s="261">
        <v>0</v>
      </c>
      <c r="P96" s="261">
        <v>0</v>
      </c>
      <c r="Q96" s="261">
        <v>0</v>
      </c>
      <c r="R96" s="261">
        <v>0</v>
      </c>
      <c r="S96" s="261">
        <v>0</v>
      </c>
      <c r="T96" s="261">
        <v>0</v>
      </c>
      <c r="U96">
        <f t="shared" si="33"/>
        <v>1</v>
      </c>
      <c r="V96">
        <f t="shared" si="34"/>
        <v>0</v>
      </c>
      <c r="Y96" s="262" t="s">
        <v>295</v>
      </c>
      <c r="Z96" s="660">
        <f t="shared" si="35"/>
        <v>1</v>
      </c>
      <c r="AA96" s="661">
        <f t="shared" si="36"/>
        <v>0</v>
      </c>
      <c r="AB96" s="668">
        <f t="shared" si="37"/>
        <v>0</v>
      </c>
      <c r="AC96" s="661">
        <f t="shared" si="38"/>
        <v>0</v>
      </c>
      <c r="AD96" s="661">
        <v>0</v>
      </c>
      <c r="AE96" s="661">
        <v>0</v>
      </c>
      <c r="AF96" s="261">
        <v>0</v>
      </c>
      <c r="AG96" s="261">
        <v>0</v>
      </c>
      <c r="AH96" s="261">
        <v>0</v>
      </c>
      <c r="AI96" s="261">
        <v>0</v>
      </c>
    </row>
    <row r="97" spans="1:35" s="86" customFormat="1" ht="15.75" x14ac:dyDescent="0.3">
      <c r="D97" s="262" t="s">
        <v>324</v>
      </c>
      <c r="E97" s="261">
        <v>0</v>
      </c>
      <c r="F97" s="261">
        <v>0</v>
      </c>
      <c r="G97" s="261">
        <v>0</v>
      </c>
      <c r="H97" s="261">
        <v>0</v>
      </c>
      <c r="I97" s="261">
        <v>0</v>
      </c>
      <c r="J97" s="261">
        <v>0</v>
      </c>
      <c r="K97" s="261">
        <v>0</v>
      </c>
      <c r="L97" s="261">
        <v>0</v>
      </c>
      <c r="M97" s="261">
        <v>0</v>
      </c>
      <c r="N97" s="261">
        <v>0</v>
      </c>
      <c r="O97" s="261">
        <v>0</v>
      </c>
      <c r="P97" s="261">
        <v>0</v>
      </c>
      <c r="Q97" s="261">
        <v>0</v>
      </c>
      <c r="R97" s="261">
        <v>0</v>
      </c>
      <c r="S97" s="261">
        <v>2</v>
      </c>
      <c r="T97" s="261">
        <v>1</v>
      </c>
      <c r="U97">
        <f t="shared" si="33"/>
        <v>2</v>
      </c>
      <c r="V97">
        <f t="shared" si="34"/>
        <v>1</v>
      </c>
      <c r="Y97" s="262" t="s">
        <v>324</v>
      </c>
      <c r="Z97" s="660">
        <f t="shared" si="35"/>
        <v>0</v>
      </c>
      <c r="AA97" s="661">
        <f t="shared" si="36"/>
        <v>0</v>
      </c>
      <c r="AB97" s="668">
        <f t="shared" si="37"/>
        <v>2</v>
      </c>
      <c r="AC97" s="661">
        <f t="shared" si="38"/>
        <v>1</v>
      </c>
      <c r="AD97" s="661">
        <v>0</v>
      </c>
      <c r="AE97" s="661">
        <v>0</v>
      </c>
      <c r="AF97" s="261">
        <v>2</v>
      </c>
      <c r="AG97" s="261">
        <v>1</v>
      </c>
      <c r="AH97" s="261">
        <v>2</v>
      </c>
      <c r="AI97" s="261">
        <v>1</v>
      </c>
    </row>
    <row r="98" spans="1:35" s="86" customFormat="1" ht="15.75" x14ac:dyDescent="0.3">
      <c r="D98" s="262" t="s">
        <v>184</v>
      </c>
      <c r="E98" s="261">
        <v>0</v>
      </c>
      <c r="F98" s="261">
        <v>0</v>
      </c>
      <c r="G98" s="261">
        <v>0</v>
      </c>
      <c r="H98" s="261">
        <v>0</v>
      </c>
      <c r="I98" s="261">
        <v>0</v>
      </c>
      <c r="J98" s="261">
        <v>0</v>
      </c>
      <c r="K98" s="261">
        <v>0</v>
      </c>
      <c r="L98" s="261">
        <v>0</v>
      </c>
      <c r="M98" s="261">
        <v>0</v>
      </c>
      <c r="N98" s="261">
        <v>0</v>
      </c>
      <c r="O98" s="261">
        <v>0</v>
      </c>
      <c r="P98" s="261">
        <v>0</v>
      </c>
      <c r="Q98" s="261">
        <v>0</v>
      </c>
      <c r="R98" s="261">
        <v>0</v>
      </c>
      <c r="S98" s="261">
        <v>0</v>
      </c>
      <c r="T98" s="261">
        <v>0</v>
      </c>
      <c r="U98">
        <f t="shared" si="33"/>
        <v>0</v>
      </c>
      <c r="V98">
        <f t="shared" si="34"/>
        <v>0</v>
      </c>
      <c r="Y98" s="262" t="s">
        <v>184</v>
      </c>
      <c r="Z98" s="660">
        <f t="shared" si="35"/>
        <v>0</v>
      </c>
      <c r="AA98" s="661">
        <f t="shared" si="36"/>
        <v>0</v>
      </c>
      <c r="AB98" s="668">
        <f>K98+M98+O98</f>
        <v>0</v>
      </c>
      <c r="AC98" s="661">
        <f t="shared" si="38"/>
        <v>0</v>
      </c>
      <c r="AD98" s="661">
        <v>0</v>
      </c>
      <c r="AE98" s="661">
        <v>0</v>
      </c>
      <c r="AF98" s="261">
        <v>0</v>
      </c>
      <c r="AG98" s="261">
        <v>0</v>
      </c>
      <c r="AH98" s="261">
        <v>0</v>
      </c>
      <c r="AI98" s="261">
        <v>0</v>
      </c>
    </row>
    <row r="99" spans="1:35" s="86" customFormat="1" ht="15.75" x14ac:dyDescent="0.3">
      <c r="D99" s="262" t="s">
        <v>554</v>
      </c>
      <c r="E99" s="261">
        <v>0</v>
      </c>
      <c r="F99" s="261">
        <v>0</v>
      </c>
      <c r="G99" s="261">
        <v>0</v>
      </c>
      <c r="H99" s="261">
        <v>0</v>
      </c>
      <c r="I99" s="261">
        <v>0</v>
      </c>
      <c r="J99" s="261">
        <v>0</v>
      </c>
      <c r="K99" s="261">
        <v>0</v>
      </c>
      <c r="L99" s="261">
        <v>0</v>
      </c>
      <c r="M99" s="261">
        <v>0</v>
      </c>
      <c r="N99" s="261">
        <v>0</v>
      </c>
      <c r="O99" s="261">
        <v>0</v>
      </c>
      <c r="P99" s="261">
        <v>1</v>
      </c>
      <c r="Q99" s="261">
        <v>0</v>
      </c>
      <c r="R99" s="261">
        <v>0</v>
      </c>
      <c r="S99" s="261">
        <v>0</v>
      </c>
      <c r="T99" s="261">
        <v>0</v>
      </c>
      <c r="U99">
        <f t="shared" si="33"/>
        <v>0</v>
      </c>
      <c r="V99">
        <f t="shared" si="34"/>
        <v>1</v>
      </c>
      <c r="Y99" s="262" t="s">
        <v>554</v>
      </c>
      <c r="Z99" s="660">
        <f t="shared" si="35"/>
        <v>0</v>
      </c>
      <c r="AA99" s="661">
        <f t="shared" si="36"/>
        <v>0</v>
      </c>
      <c r="AB99" s="668">
        <f t="shared" ref="AB99:AB100" si="39">K99+M99+O99</f>
        <v>0</v>
      </c>
      <c r="AC99" s="661">
        <f t="shared" si="38"/>
        <v>0</v>
      </c>
      <c r="AD99" s="661">
        <v>0</v>
      </c>
      <c r="AE99" s="661">
        <v>0</v>
      </c>
      <c r="AF99" s="261">
        <v>0</v>
      </c>
      <c r="AG99" s="261">
        <v>0</v>
      </c>
      <c r="AH99" s="261">
        <v>0</v>
      </c>
      <c r="AI99" s="261">
        <v>0</v>
      </c>
    </row>
    <row r="100" spans="1:35" s="86" customFormat="1" ht="15.75" x14ac:dyDescent="0.3">
      <c r="D100" s="262" t="s">
        <v>559</v>
      </c>
      <c r="E100" s="261">
        <v>0</v>
      </c>
      <c r="F100" s="261">
        <v>0</v>
      </c>
      <c r="G100" s="261">
        <v>0</v>
      </c>
      <c r="H100" s="261">
        <v>0</v>
      </c>
      <c r="I100" s="261">
        <v>0</v>
      </c>
      <c r="J100" s="261">
        <v>0</v>
      </c>
      <c r="K100" s="261">
        <v>0</v>
      </c>
      <c r="L100" s="261">
        <v>0</v>
      </c>
      <c r="M100" s="261">
        <v>0</v>
      </c>
      <c r="N100" s="261">
        <v>0</v>
      </c>
      <c r="O100" s="261">
        <v>0</v>
      </c>
      <c r="P100" s="261">
        <v>1</v>
      </c>
      <c r="Q100" s="261">
        <v>0</v>
      </c>
      <c r="R100" s="261">
        <v>0</v>
      </c>
      <c r="S100" s="261">
        <v>0</v>
      </c>
      <c r="T100" s="261">
        <v>0</v>
      </c>
      <c r="U100">
        <f t="shared" si="33"/>
        <v>0</v>
      </c>
      <c r="V100">
        <f t="shared" si="34"/>
        <v>1</v>
      </c>
      <c r="Y100" s="262" t="s">
        <v>559</v>
      </c>
      <c r="Z100" s="660">
        <f t="shared" si="35"/>
        <v>0</v>
      </c>
      <c r="AA100" s="661">
        <f t="shared" si="36"/>
        <v>0</v>
      </c>
      <c r="AB100" s="668">
        <f t="shared" si="39"/>
        <v>0</v>
      </c>
      <c r="AC100" s="661">
        <f t="shared" si="38"/>
        <v>0</v>
      </c>
      <c r="AD100" s="661">
        <v>0</v>
      </c>
      <c r="AE100" s="661">
        <v>0</v>
      </c>
      <c r="AF100" s="261">
        <v>0</v>
      </c>
      <c r="AG100" s="261">
        <v>0</v>
      </c>
      <c r="AH100" s="261">
        <v>0</v>
      </c>
      <c r="AI100" s="261">
        <v>0</v>
      </c>
    </row>
    <row r="101" spans="1:35" s="86" customFormat="1" ht="15.75" x14ac:dyDescent="0.3">
      <c r="D101" s="262" t="s">
        <v>185</v>
      </c>
      <c r="E101" s="261">
        <v>1</v>
      </c>
      <c r="F101" s="261">
        <v>0</v>
      </c>
      <c r="G101" s="261">
        <v>0</v>
      </c>
      <c r="H101" s="261">
        <v>0</v>
      </c>
      <c r="I101" s="261">
        <v>0</v>
      </c>
      <c r="J101" s="261">
        <v>0</v>
      </c>
      <c r="K101" s="261">
        <v>1</v>
      </c>
      <c r="L101" s="261">
        <v>0</v>
      </c>
      <c r="M101" s="261">
        <v>0</v>
      </c>
      <c r="N101" s="261">
        <v>0</v>
      </c>
      <c r="O101" s="261">
        <v>0</v>
      </c>
      <c r="P101" s="261">
        <v>0</v>
      </c>
      <c r="Q101" s="261">
        <v>0</v>
      </c>
      <c r="R101" s="261">
        <v>0</v>
      </c>
      <c r="S101" s="261">
        <v>1</v>
      </c>
      <c r="T101" s="261">
        <v>0</v>
      </c>
      <c r="U101">
        <f t="shared" si="33"/>
        <v>3</v>
      </c>
      <c r="V101">
        <f t="shared" si="34"/>
        <v>0</v>
      </c>
      <c r="Y101" s="262" t="s">
        <v>185</v>
      </c>
      <c r="Z101" s="660">
        <f t="shared" si="35"/>
        <v>1</v>
      </c>
      <c r="AA101" s="661">
        <f t="shared" si="36"/>
        <v>0</v>
      </c>
      <c r="AB101" s="668">
        <f t="shared" si="37"/>
        <v>2</v>
      </c>
      <c r="AC101" s="661">
        <f t="shared" si="38"/>
        <v>0</v>
      </c>
      <c r="AD101" s="661">
        <v>0</v>
      </c>
      <c r="AE101" s="661">
        <v>0</v>
      </c>
      <c r="AF101" s="261">
        <v>1</v>
      </c>
      <c r="AG101" s="261">
        <v>0</v>
      </c>
      <c r="AH101" s="261">
        <v>1</v>
      </c>
      <c r="AI101" s="261">
        <v>0</v>
      </c>
    </row>
    <row r="102" spans="1:35" s="86" customFormat="1" ht="15.75" x14ac:dyDescent="0.3">
      <c r="D102" s="262" t="s">
        <v>325</v>
      </c>
      <c r="E102" s="261">
        <v>0</v>
      </c>
      <c r="F102" s="261">
        <v>0</v>
      </c>
      <c r="G102" s="261">
        <v>0</v>
      </c>
      <c r="H102" s="261">
        <v>0</v>
      </c>
      <c r="I102" s="261">
        <v>0</v>
      </c>
      <c r="J102" s="261">
        <v>0</v>
      </c>
      <c r="K102" s="261">
        <v>1</v>
      </c>
      <c r="L102" s="261">
        <v>0</v>
      </c>
      <c r="M102" s="261">
        <v>0</v>
      </c>
      <c r="N102" s="261">
        <v>0</v>
      </c>
      <c r="O102" s="261">
        <v>1</v>
      </c>
      <c r="P102" s="261">
        <v>0</v>
      </c>
      <c r="Q102" s="261">
        <v>1</v>
      </c>
      <c r="R102" s="261">
        <v>0</v>
      </c>
      <c r="S102" s="261">
        <v>0</v>
      </c>
      <c r="T102" s="261">
        <v>0</v>
      </c>
      <c r="U102">
        <f t="shared" si="33"/>
        <v>3</v>
      </c>
      <c r="V102">
        <f t="shared" si="34"/>
        <v>0</v>
      </c>
      <c r="Y102" s="262" t="s">
        <v>325</v>
      </c>
      <c r="Z102" s="660">
        <f t="shared" si="35"/>
        <v>0</v>
      </c>
      <c r="AA102" s="661">
        <f t="shared" si="36"/>
        <v>0</v>
      </c>
      <c r="AB102" s="668">
        <f t="shared" si="37"/>
        <v>1</v>
      </c>
      <c r="AC102" s="661">
        <f t="shared" si="38"/>
        <v>0</v>
      </c>
      <c r="AD102" s="661">
        <v>1</v>
      </c>
      <c r="AE102" s="661">
        <v>0</v>
      </c>
      <c r="AF102" s="261">
        <v>0</v>
      </c>
      <c r="AG102" s="261">
        <v>0</v>
      </c>
      <c r="AH102" s="261">
        <v>0</v>
      </c>
      <c r="AI102" s="261">
        <v>0</v>
      </c>
    </row>
    <row r="103" spans="1:35" s="86" customFormat="1" ht="15.75" x14ac:dyDescent="0.3">
      <c r="D103" s="262" t="s">
        <v>186</v>
      </c>
      <c r="E103" s="261">
        <v>0</v>
      </c>
      <c r="F103" s="261">
        <v>0</v>
      </c>
      <c r="G103" s="261">
        <v>0</v>
      </c>
      <c r="H103" s="261">
        <v>0</v>
      </c>
      <c r="I103" s="261">
        <v>0</v>
      </c>
      <c r="J103" s="261">
        <v>1</v>
      </c>
      <c r="K103" s="261">
        <v>1</v>
      </c>
      <c r="L103" s="261">
        <v>0</v>
      </c>
      <c r="M103" s="261">
        <v>1</v>
      </c>
      <c r="N103" s="261">
        <v>0</v>
      </c>
      <c r="O103" s="261">
        <v>0</v>
      </c>
      <c r="P103" s="261">
        <v>0</v>
      </c>
      <c r="Q103" s="261">
        <v>0</v>
      </c>
      <c r="R103" s="261">
        <v>0</v>
      </c>
      <c r="S103" s="261">
        <v>0</v>
      </c>
      <c r="T103" s="261">
        <v>0</v>
      </c>
      <c r="U103">
        <f t="shared" si="33"/>
        <v>2</v>
      </c>
      <c r="V103">
        <f t="shared" si="34"/>
        <v>1</v>
      </c>
      <c r="Y103" s="262" t="s">
        <v>186</v>
      </c>
      <c r="Z103" s="660">
        <f t="shared" si="35"/>
        <v>0</v>
      </c>
      <c r="AA103" s="661">
        <f t="shared" si="36"/>
        <v>1</v>
      </c>
      <c r="AB103" s="668">
        <f t="shared" si="37"/>
        <v>2</v>
      </c>
      <c r="AC103" s="661">
        <f t="shared" si="38"/>
        <v>0</v>
      </c>
      <c r="AD103" s="661">
        <v>0</v>
      </c>
      <c r="AE103" s="661">
        <v>0</v>
      </c>
      <c r="AF103" s="261">
        <v>0</v>
      </c>
      <c r="AG103" s="261">
        <v>0</v>
      </c>
      <c r="AH103" s="261">
        <v>0</v>
      </c>
      <c r="AI103" s="261">
        <v>0</v>
      </c>
    </row>
    <row r="104" spans="1:35" s="86" customFormat="1" ht="15.75" x14ac:dyDescent="0.3">
      <c r="A104" s="86" t="s">
        <v>373</v>
      </c>
      <c r="D104" s="263" t="s">
        <v>367</v>
      </c>
      <c r="E104" s="261">
        <v>0</v>
      </c>
      <c r="F104" s="261">
        <v>0</v>
      </c>
      <c r="G104" s="261">
        <v>0</v>
      </c>
      <c r="H104" s="261">
        <v>1</v>
      </c>
      <c r="I104" s="261">
        <v>0</v>
      </c>
      <c r="J104" s="261">
        <v>0</v>
      </c>
      <c r="K104" s="261">
        <v>0</v>
      </c>
      <c r="L104" s="261">
        <v>0</v>
      </c>
      <c r="M104" s="261">
        <v>0</v>
      </c>
      <c r="N104" s="261">
        <v>0</v>
      </c>
      <c r="O104" s="261">
        <v>0</v>
      </c>
      <c r="P104" s="261">
        <v>0</v>
      </c>
      <c r="Q104" s="261">
        <v>0</v>
      </c>
      <c r="R104" s="261">
        <v>0</v>
      </c>
      <c r="S104" s="261">
        <v>2</v>
      </c>
      <c r="T104" s="261">
        <v>0</v>
      </c>
      <c r="U104">
        <f t="shared" si="33"/>
        <v>2</v>
      </c>
      <c r="V104">
        <f t="shared" si="34"/>
        <v>1</v>
      </c>
      <c r="Y104" s="263" t="s">
        <v>367</v>
      </c>
      <c r="Z104" s="660">
        <f t="shared" si="35"/>
        <v>0</v>
      </c>
      <c r="AA104" s="661">
        <f t="shared" si="36"/>
        <v>1</v>
      </c>
      <c r="AB104" s="668">
        <f t="shared" si="37"/>
        <v>2</v>
      </c>
      <c r="AC104" s="661">
        <f t="shared" si="38"/>
        <v>0</v>
      </c>
      <c r="AD104" s="661">
        <v>0</v>
      </c>
      <c r="AE104" s="661">
        <v>0</v>
      </c>
      <c r="AF104" s="261">
        <v>2</v>
      </c>
      <c r="AG104" s="261">
        <v>0</v>
      </c>
      <c r="AH104" s="261">
        <v>2</v>
      </c>
      <c r="AI104" s="261">
        <v>0</v>
      </c>
    </row>
    <row r="105" spans="1:35" s="86" customFormat="1" ht="15.75" x14ac:dyDescent="0.3">
      <c r="D105" s="263" t="s">
        <v>524</v>
      </c>
      <c r="E105" s="261">
        <v>0</v>
      </c>
      <c r="F105" s="261">
        <v>0</v>
      </c>
      <c r="G105" s="261">
        <v>0</v>
      </c>
      <c r="H105" s="261">
        <v>0</v>
      </c>
      <c r="I105" s="261">
        <v>0</v>
      </c>
      <c r="J105" s="261">
        <v>0</v>
      </c>
      <c r="K105" s="261">
        <v>0</v>
      </c>
      <c r="L105" s="261">
        <v>1</v>
      </c>
      <c r="M105" s="261">
        <v>0</v>
      </c>
      <c r="N105" s="261">
        <v>0</v>
      </c>
      <c r="O105" s="261">
        <v>0</v>
      </c>
      <c r="P105" s="261">
        <v>0</v>
      </c>
      <c r="Q105" s="261">
        <v>0</v>
      </c>
      <c r="R105" s="261">
        <v>0</v>
      </c>
      <c r="S105" s="261">
        <v>0</v>
      </c>
      <c r="T105" s="261">
        <v>0</v>
      </c>
      <c r="U105">
        <f t="shared" si="33"/>
        <v>0</v>
      </c>
      <c r="V105">
        <f t="shared" si="34"/>
        <v>1</v>
      </c>
      <c r="Y105" s="263" t="s">
        <v>524</v>
      </c>
      <c r="Z105" s="660">
        <f t="shared" si="35"/>
        <v>0</v>
      </c>
      <c r="AA105" s="661">
        <f t="shared" si="36"/>
        <v>0</v>
      </c>
      <c r="AB105" s="668">
        <f t="shared" si="37"/>
        <v>0</v>
      </c>
      <c r="AC105" s="661">
        <f>L105+N105+T106</f>
        <v>1</v>
      </c>
      <c r="AD105" s="661">
        <v>0</v>
      </c>
      <c r="AE105" s="661">
        <v>0</v>
      </c>
      <c r="AF105" s="261">
        <v>0</v>
      </c>
      <c r="AG105" s="261">
        <v>0</v>
      </c>
      <c r="AH105" s="261">
        <v>0</v>
      </c>
      <c r="AI105" s="261">
        <v>0</v>
      </c>
    </row>
    <row r="106" spans="1:35" s="86" customFormat="1" ht="15.75" x14ac:dyDescent="0.3">
      <c r="D106" s="263" t="s">
        <v>599</v>
      </c>
      <c r="E106" s="261">
        <v>0</v>
      </c>
      <c r="F106" s="261">
        <v>0</v>
      </c>
      <c r="G106" s="261">
        <v>0</v>
      </c>
      <c r="H106" s="261">
        <v>0</v>
      </c>
      <c r="I106" s="261">
        <v>0</v>
      </c>
      <c r="J106" s="261">
        <v>0</v>
      </c>
      <c r="K106" s="261">
        <v>0</v>
      </c>
      <c r="L106" s="261">
        <v>0</v>
      </c>
      <c r="M106" s="261">
        <v>0</v>
      </c>
      <c r="N106" s="261">
        <v>0</v>
      </c>
      <c r="O106" s="261">
        <v>0</v>
      </c>
      <c r="P106" s="261">
        <v>0</v>
      </c>
      <c r="Q106" s="261">
        <v>0</v>
      </c>
      <c r="R106" s="261">
        <v>1</v>
      </c>
      <c r="S106" s="261">
        <v>0</v>
      </c>
      <c r="T106" s="261">
        <v>0</v>
      </c>
      <c r="U106">
        <f t="shared" si="33"/>
        <v>0</v>
      </c>
      <c r="V106">
        <f t="shared" si="34"/>
        <v>1</v>
      </c>
      <c r="Y106" s="263" t="s">
        <v>599</v>
      </c>
      <c r="Z106" s="660">
        <f t="shared" ref="Z106" si="40">E106+G106+I106</f>
        <v>0</v>
      </c>
      <c r="AA106" s="661">
        <f t="shared" ref="AA106" si="41">F106+H106+J106</f>
        <v>0</v>
      </c>
      <c r="AB106" s="660">
        <f t="shared" ref="AB106" si="42">G106+I106+K106</f>
        <v>0</v>
      </c>
      <c r="AC106" s="661">
        <f t="shared" ref="AC106" si="43">H106+J106+L106</f>
        <v>0</v>
      </c>
      <c r="AD106" s="661">
        <v>0</v>
      </c>
      <c r="AE106" s="661">
        <v>1</v>
      </c>
      <c r="AF106" s="261">
        <v>0</v>
      </c>
      <c r="AG106" s="261">
        <v>0</v>
      </c>
      <c r="AH106" s="261">
        <v>0</v>
      </c>
      <c r="AI106" s="261">
        <v>0</v>
      </c>
    </row>
    <row r="107" spans="1:35" s="86" customFormat="1" ht="15.75" x14ac:dyDescent="0.3">
      <c r="D107" s="263" t="s">
        <v>341</v>
      </c>
      <c r="E107" s="261">
        <v>0</v>
      </c>
      <c r="F107" s="261">
        <v>0</v>
      </c>
      <c r="G107" s="261">
        <v>1</v>
      </c>
      <c r="H107" s="261">
        <v>0</v>
      </c>
      <c r="I107" s="261">
        <v>0</v>
      </c>
      <c r="J107" s="261">
        <v>0</v>
      </c>
      <c r="K107" s="261">
        <v>0</v>
      </c>
      <c r="L107" s="261">
        <v>0</v>
      </c>
      <c r="M107" s="261">
        <v>0</v>
      </c>
      <c r="N107" s="261">
        <v>0</v>
      </c>
      <c r="O107" s="261">
        <v>0</v>
      </c>
      <c r="P107" s="261">
        <v>0</v>
      </c>
      <c r="Q107" s="261">
        <v>0</v>
      </c>
      <c r="R107" s="261">
        <v>0</v>
      </c>
      <c r="S107" s="261">
        <v>0</v>
      </c>
      <c r="T107" s="261">
        <v>0</v>
      </c>
      <c r="U107">
        <f t="shared" si="33"/>
        <v>1</v>
      </c>
      <c r="V107">
        <f t="shared" si="34"/>
        <v>0</v>
      </c>
      <c r="Y107" s="263" t="s">
        <v>341</v>
      </c>
      <c r="Z107" s="660">
        <f t="shared" si="35"/>
        <v>1</v>
      </c>
      <c r="AA107" s="661">
        <f t="shared" si="36"/>
        <v>0</v>
      </c>
      <c r="AB107" s="668">
        <f>K107+M107+S108</f>
        <v>0</v>
      </c>
      <c r="AC107" s="661">
        <f t="shared" si="38"/>
        <v>0</v>
      </c>
      <c r="AD107" s="661">
        <v>0</v>
      </c>
      <c r="AE107" s="661">
        <v>0</v>
      </c>
      <c r="AF107" s="261">
        <v>0</v>
      </c>
      <c r="AG107" s="261">
        <v>0</v>
      </c>
      <c r="AH107" s="261">
        <v>0</v>
      </c>
      <c r="AI107" s="261">
        <v>0</v>
      </c>
    </row>
    <row r="108" spans="1:35" s="86" customFormat="1" ht="15.75" x14ac:dyDescent="0.3">
      <c r="D108" s="263" t="s">
        <v>585</v>
      </c>
      <c r="E108" s="261">
        <v>0</v>
      </c>
      <c r="F108" s="261">
        <v>0</v>
      </c>
      <c r="G108" s="261">
        <v>0</v>
      </c>
      <c r="H108" s="261">
        <v>0</v>
      </c>
      <c r="I108" s="261">
        <v>0</v>
      </c>
      <c r="J108" s="261">
        <v>0</v>
      </c>
      <c r="K108" s="261">
        <v>0</v>
      </c>
      <c r="L108" s="261">
        <v>0</v>
      </c>
      <c r="M108" s="261">
        <v>0</v>
      </c>
      <c r="N108" s="261">
        <v>0</v>
      </c>
      <c r="O108" s="261">
        <v>0</v>
      </c>
      <c r="P108" s="261">
        <v>0</v>
      </c>
      <c r="Q108" s="261">
        <v>0</v>
      </c>
      <c r="R108" s="261">
        <v>2</v>
      </c>
      <c r="S108" s="261">
        <v>0</v>
      </c>
      <c r="T108" s="261">
        <v>0</v>
      </c>
      <c r="U108">
        <f t="shared" si="33"/>
        <v>0</v>
      </c>
      <c r="V108">
        <f t="shared" si="34"/>
        <v>2</v>
      </c>
      <c r="Y108" s="263" t="s">
        <v>585</v>
      </c>
      <c r="Z108" s="660">
        <f t="shared" ref="Z108" si="44">E108+G108+I108</f>
        <v>0</v>
      </c>
      <c r="AA108" s="661">
        <f t="shared" ref="AA108" si="45">F108+H108+J108</f>
        <v>0</v>
      </c>
      <c r="AB108" s="660">
        <f t="shared" ref="AB108" si="46">G108+I108+K108</f>
        <v>0</v>
      </c>
      <c r="AC108" s="661">
        <f t="shared" ref="AC108" si="47">H108+J108+L108</f>
        <v>0</v>
      </c>
      <c r="AD108" s="661">
        <v>0</v>
      </c>
      <c r="AE108" s="661">
        <v>2</v>
      </c>
      <c r="AF108" s="261">
        <v>0</v>
      </c>
      <c r="AG108" s="261">
        <v>0</v>
      </c>
      <c r="AH108" s="261">
        <v>0</v>
      </c>
      <c r="AI108" s="261">
        <v>0</v>
      </c>
    </row>
    <row r="109" spans="1:35" s="86" customFormat="1" ht="16.5" thickBot="1" x14ac:dyDescent="0.35">
      <c r="D109" s="267" t="s">
        <v>360</v>
      </c>
      <c r="E109" s="264">
        <v>0</v>
      </c>
      <c r="F109" s="264">
        <v>0</v>
      </c>
      <c r="G109" s="264">
        <v>0</v>
      </c>
      <c r="H109" s="264">
        <v>0</v>
      </c>
      <c r="I109" s="264">
        <v>0</v>
      </c>
      <c r="J109" s="264">
        <v>0</v>
      </c>
      <c r="K109" s="264">
        <v>0</v>
      </c>
      <c r="L109" s="264">
        <v>0</v>
      </c>
      <c r="M109" s="264">
        <v>0</v>
      </c>
      <c r="N109" s="261">
        <v>0</v>
      </c>
      <c r="O109" s="264">
        <v>1</v>
      </c>
      <c r="P109" s="261">
        <v>0</v>
      </c>
      <c r="Q109" s="264">
        <v>1</v>
      </c>
      <c r="R109" s="261">
        <v>0</v>
      </c>
      <c r="S109" s="264">
        <v>0</v>
      </c>
      <c r="T109" s="261">
        <v>0</v>
      </c>
      <c r="U109">
        <f t="shared" si="33"/>
        <v>2</v>
      </c>
      <c r="V109">
        <f t="shared" si="34"/>
        <v>0</v>
      </c>
      <c r="Y109" s="267" t="s">
        <v>360</v>
      </c>
      <c r="Z109" s="669">
        <f t="shared" si="35"/>
        <v>0</v>
      </c>
      <c r="AA109" s="670">
        <f t="shared" si="36"/>
        <v>0</v>
      </c>
      <c r="AB109" s="671">
        <f t="shared" si="37"/>
        <v>0</v>
      </c>
      <c r="AC109" s="670">
        <f t="shared" si="38"/>
        <v>0</v>
      </c>
      <c r="AD109" s="670">
        <v>1</v>
      </c>
      <c r="AE109" s="661">
        <v>0</v>
      </c>
      <c r="AF109" s="264">
        <v>0</v>
      </c>
      <c r="AG109" s="261">
        <v>0</v>
      </c>
      <c r="AH109" s="264">
        <v>0</v>
      </c>
      <c r="AI109" s="261">
        <v>0</v>
      </c>
    </row>
    <row r="110" spans="1:35" s="86" customFormat="1" ht="16.5" thickBot="1" x14ac:dyDescent="0.35">
      <c r="D110" s="493" t="s">
        <v>105</v>
      </c>
      <c r="E110" s="480">
        <f t="shared" ref="E110:T110" si="48">SUM(E88:E109)</f>
        <v>16</v>
      </c>
      <c r="F110" s="480">
        <f t="shared" si="48"/>
        <v>10</v>
      </c>
      <c r="G110" s="480">
        <f t="shared" si="48"/>
        <v>24</v>
      </c>
      <c r="H110" s="480">
        <f t="shared" si="48"/>
        <v>20</v>
      </c>
      <c r="I110" s="480">
        <f t="shared" si="48"/>
        <v>27</v>
      </c>
      <c r="J110" s="480">
        <f t="shared" si="48"/>
        <v>12</v>
      </c>
      <c r="K110" s="480">
        <f t="shared" si="48"/>
        <v>24</v>
      </c>
      <c r="L110" s="480">
        <f t="shared" si="48"/>
        <v>11</v>
      </c>
      <c r="M110" s="480">
        <f>SUM(M88:M109)</f>
        <v>19</v>
      </c>
      <c r="N110" s="480">
        <f>SUM(N88:N109)</f>
        <v>9</v>
      </c>
      <c r="O110" s="480">
        <f t="shared" ref="O110:R110" si="49">SUM(O88:O109)</f>
        <v>17</v>
      </c>
      <c r="P110" s="480">
        <f t="shared" si="49"/>
        <v>15</v>
      </c>
      <c r="Q110" s="480">
        <f t="shared" si="49"/>
        <v>17</v>
      </c>
      <c r="R110" s="480">
        <f t="shared" si="49"/>
        <v>12</v>
      </c>
      <c r="S110" s="480">
        <f t="shared" si="48"/>
        <v>18</v>
      </c>
      <c r="T110" s="480">
        <f t="shared" si="48"/>
        <v>17</v>
      </c>
      <c r="U110">
        <f>E110+G110+I110+K110+M110+O110+S110</f>
        <v>145</v>
      </c>
      <c r="V110">
        <f t="shared" ref="V110" si="50">F110+H110+J110+L110+N110+P110+T110</f>
        <v>94</v>
      </c>
      <c r="Y110" s="650" t="s">
        <v>105</v>
      </c>
      <c r="Z110" s="672">
        <f t="shared" si="35"/>
        <v>67</v>
      </c>
      <c r="AA110" s="673">
        <f t="shared" si="36"/>
        <v>42</v>
      </c>
      <c r="AB110" s="674">
        <f t="shared" si="37"/>
        <v>61</v>
      </c>
      <c r="AC110" s="673">
        <f t="shared" si="38"/>
        <v>37</v>
      </c>
      <c r="AD110" s="675">
        <f t="shared" ref="AD110:AG110" si="51">SUM(AD88:AD109)</f>
        <v>17</v>
      </c>
      <c r="AE110" s="675">
        <f t="shared" si="51"/>
        <v>11</v>
      </c>
      <c r="AF110" s="480">
        <f t="shared" si="51"/>
        <v>18</v>
      </c>
      <c r="AG110" s="480">
        <f t="shared" si="51"/>
        <v>17</v>
      </c>
      <c r="AH110" s="480">
        <f t="shared" ref="AH110:AI110" si="52">SUM(AH88:AH109)</f>
        <v>18</v>
      </c>
      <c r="AI110" s="480">
        <f t="shared" si="52"/>
        <v>17</v>
      </c>
    </row>
    <row r="111" spans="1:35" s="86" customFormat="1" x14ac:dyDescent="0.25">
      <c r="D111"/>
      <c r="E111"/>
      <c r="F111"/>
      <c r="G111"/>
      <c r="H111"/>
      <c r="I111"/>
      <c r="J111"/>
      <c r="K111"/>
      <c r="L111"/>
      <c r="M111"/>
      <c r="N111"/>
      <c r="O111"/>
      <c r="P111"/>
      <c r="Q111"/>
      <c r="R111"/>
      <c r="S111"/>
      <c r="T111"/>
    </row>
    <row r="112" spans="1:35" s="86" customFormat="1" x14ac:dyDescent="0.25">
      <c r="D112"/>
      <c r="E112"/>
      <c r="F112"/>
      <c r="G112"/>
      <c r="H112"/>
      <c r="I112"/>
      <c r="J112"/>
      <c r="K112"/>
      <c r="L112"/>
      <c r="M112"/>
      <c r="N112"/>
      <c r="O112"/>
      <c r="P112"/>
      <c r="Q112"/>
      <c r="R112"/>
      <c r="S112"/>
      <c r="T112"/>
    </row>
  </sheetData>
  <mergeCells count="68">
    <mergeCell ref="AH5:AI5"/>
    <mergeCell ref="AH57:AI57"/>
    <mergeCell ref="AH86:AI86"/>
    <mergeCell ref="Q86:R86"/>
    <mergeCell ref="Y85:AG85"/>
    <mergeCell ref="O86:P86"/>
    <mergeCell ref="O5:P5"/>
    <mergeCell ref="O35:P35"/>
    <mergeCell ref="O57:P57"/>
    <mergeCell ref="AF5:AG5"/>
    <mergeCell ref="AH35:AI35"/>
    <mergeCell ref="AF57:AG57"/>
    <mergeCell ref="AF86:AG86"/>
    <mergeCell ref="Z86:AA86"/>
    <mergeCell ref="AB86:AC86"/>
    <mergeCell ref="Z35:AA35"/>
    <mergeCell ref="AB35:AC35"/>
    <mergeCell ref="Q5:R5"/>
    <mergeCell ref="Q35:R35"/>
    <mergeCell ref="Y5:Y6"/>
    <mergeCell ref="Z5:AA5"/>
    <mergeCell ref="AB5:AC5"/>
    <mergeCell ref="Y4:AG4"/>
    <mergeCell ref="Y34:AG34"/>
    <mergeCell ref="AD5:AE5"/>
    <mergeCell ref="M57:N57"/>
    <mergeCell ref="Y35:Y36"/>
    <mergeCell ref="Y57:Y58"/>
    <mergeCell ref="Z57:AA57"/>
    <mergeCell ref="AB57:AC57"/>
    <mergeCell ref="Y56:AG56"/>
    <mergeCell ref="M35:N35"/>
    <mergeCell ref="AD35:AE35"/>
    <mergeCell ref="AD57:AE57"/>
    <mergeCell ref="Q57:R57"/>
    <mergeCell ref="AF35:AG35"/>
    <mergeCell ref="M5:N5"/>
    <mergeCell ref="Y86:Y87"/>
    <mergeCell ref="E86:F86"/>
    <mergeCell ref="D85:T85"/>
    <mergeCell ref="S35:T35"/>
    <mergeCell ref="D86:D87"/>
    <mergeCell ref="S86:T86"/>
    <mergeCell ref="S57:T57"/>
    <mergeCell ref="D57:D58"/>
    <mergeCell ref="E57:F57"/>
    <mergeCell ref="G57:H57"/>
    <mergeCell ref="G86:H86"/>
    <mergeCell ref="I57:J57"/>
    <mergeCell ref="I86:J86"/>
    <mergeCell ref="K86:L86"/>
    <mergeCell ref="K57:L57"/>
    <mergeCell ref="AD86:AE86"/>
    <mergeCell ref="M86:N86"/>
    <mergeCell ref="D4:T4"/>
    <mergeCell ref="D34:T34"/>
    <mergeCell ref="D56:T56"/>
    <mergeCell ref="D5:D6"/>
    <mergeCell ref="S5:T5"/>
    <mergeCell ref="D35:D36"/>
    <mergeCell ref="E5:F5"/>
    <mergeCell ref="E35:F35"/>
    <mergeCell ref="G5:H5"/>
    <mergeCell ref="G35:H35"/>
    <mergeCell ref="I5:J5"/>
    <mergeCell ref="I35:J35"/>
    <mergeCell ref="K5:L5"/>
    <mergeCell ref="K35:L3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CC75F-F79A-483C-8C19-636E4560783D}">
  <dimension ref="A1:Z349"/>
  <sheetViews>
    <sheetView workbookViewId="0">
      <selection activeCell="H12" sqref="H12"/>
    </sheetView>
  </sheetViews>
  <sheetFormatPr baseColWidth="10" defaultRowHeight="50.1" customHeight="1" x14ac:dyDescent="0.25"/>
  <cols>
    <col min="1" max="1" width="15.28515625" bestFit="1" customWidth="1"/>
  </cols>
  <sheetData>
    <row r="1" spans="1:26" ht="50.1" customHeight="1" thickBot="1" x14ac:dyDescent="0.3">
      <c r="A1" s="116" t="s">
        <v>208</v>
      </c>
      <c r="B1" s="116" t="s">
        <v>209</v>
      </c>
      <c r="C1" s="116" t="s">
        <v>210</v>
      </c>
      <c r="D1" s="116" t="s">
        <v>211</v>
      </c>
      <c r="E1" s="116" t="s">
        <v>212</v>
      </c>
      <c r="F1" s="116" t="s">
        <v>213</v>
      </c>
      <c r="G1" s="116" t="s">
        <v>214</v>
      </c>
      <c r="H1" s="116" t="s">
        <v>215</v>
      </c>
      <c r="I1" s="116" t="s">
        <v>216</v>
      </c>
      <c r="J1" s="116" t="s">
        <v>217</v>
      </c>
      <c r="K1" s="116" t="s">
        <v>218</v>
      </c>
      <c r="L1" s="116" t="s">
        <v>219</v>
      </c>
      <c r="M1" s="116" t="s">
        <v>220</v>
      </c>
      <c r="N1" s="116" t="s">
        <v>221</v>
      </c>
      <c r="O1" s="116" t="s">
        <v>222</v>
      </c>
      <c r="P1" s="116" t="s">
        <v>223</v>
      </c>
      <c r="Q1" s="116" t="s">
        <v>224</v>
      </c>
      <c r="R1" s="116" t="s">
        <v>225</v>
      </c>
      <c r="S1" s="116" t="s">
        <v>226</v>
      </c>
      <c r="T1" s="116" t="s">
        <v>227</v>
      </c>
      <c r="U1" s="117"/>
      <c r="V1" s="117"/>
      <c r="W1" s="117"/>
      <c r="X1" s="117"/>
      <c r="Y1" s="117"/>
      <c r="Z1" s="117"/>
    </row>
    <row r="2" spans="1:26" ht="42" customHeight="1" thickBot="1" x14ac:dyDescent="0.3">
      <c r="A2" s="118">
        <v>46259.508240740739</v>
      </c>
      <c r="B2" s="117" t="s">
        <v>386</v>
      </c>
      <c r="C2" s="117" t="s">
        <v>228</v>
      </c>
      <c r="D2" s="117" t="s">
        <v>660</v>
      </c>
      <c r="E2" s="119">
        <v>3</v>
      </c>
      <c r="F2" s="117" t="s">
        <v>661</v>
      </c>
      <c r="G2" s="117" t="s">
        <v>229</v>
      </c>
      <c r="H2" s="117" t="s">
        <v>230</v>
      </c>
      <c r="I2" s="117" t="s">
        <v>230</v>
      </c>
      <c r="J2" s="117" t="s">
        <v>228</v>
      </c>
      <c r="K2" s="117" t="s">
        <v>231</v>
      </c>
      <c r="L2" s="117" t="s">
        <v>232</v>
      </c>
      <c r="M2" s="117" t="s">
        <v>233</v>
      </c>
      <c r="N2" s="117" t="s">
        <v>228</v>
      </c>
      <c r="O2" s="117" t="s">
        <v>235</v>
      </c>
      <c r="P2" s="117" t="s">
        <v>234</v>
      </c>
      <c r="Q2" s="117" t="s">
        <v>234</v>
      </c>
      <c r="R2" s="117" t="s">
        <v>234</v>
      </c>
      <c r="S2" s="117" t="s">
        <v>236</v>
      </c>
      <c r="T2" s="117" t="s">
        <v>238</v>
      </c>
      <c r="U2" s="117"/>
      <c r="V2" s="117"/>
      <c r="W2" s="117"/>
      <c r="X2" s="117"/>
      <c r="Y2" s="117"/>
      <c r="Z2" s="117"/>
    </row>
    <row r="3" spans="1:26" ht="50.1" customHeight="1" thickBot="1" x14ac:dyDescent="0.3">
      <c r="A3" s="118">
        <v>46259.509039351855</v>
      </c>
      <c r="B3" s="117" t="s">
        <v>386</v>
      </c>
      <c r="C3" s="117" t="s">
        <v>228</v>
      </c>
      <c r="D3" s="117" t="s">
        <v>662</v>
      </c>
      <c r="E3" s="119">
        <v>3</v>
      </c>
      <c r="F3" s="117" t="s">
        <v>663</v>
      </c>
      <c r="G3" s="117" t="s">
        <v>229</v>
      </c>
      <c r="H3" s="117" t="s">
        <v>230</v>
      </c>
      <c r="I3" s="117" t="s">
        <v>230</v>
      </c>
      <c r="J3" s="117" t="s">
        <v>228</v>
      </c>
      <c r="K3" s="117" t="s">
        <v>231</v>
      </c>
      <c r="L3" s="117" t="s">
        <v>232</v>
      </c>
      <c r="M3" s="117" t="s">
        <v>233</v>
      </c>
      <c r="N3" s="117" t="s">
        <v>228</v>
      </c>
      <c r="O3" s="117" t="s">
        <v>235</v>
      </c>
      <c r="P3" s="117" t="s">
        <v>234</v>
      </c>
      <c r="Q3" s="117" t="s">
        <v>235</v>
      </c>
      <c r="R3" s="117" t="s">
        <v>234</v>
      </c>
      <c r="S3" s="117" t="s">
        <v>236</v>
      </c>
      <c r="T3" s="120" t="s">
        <v>237</v>
      </c>
      <c r="U3" s="117"/>
      <c r="V3" s="117"/>
      <c r="W3" s="117"/>
      <c r="X3" s="117"/>
      <c r="Y3" s="117"/>
      <c r="Z3" s="117"/>
    </row>
    <row r="4" spans="1:26" ht="50.1" customHeight="1" thickBot="1" x14ac:dyDescent="0.3">
      <c r="A4" s="118">
        <v>46259.509664351855</v>
      </c>
      <c r="B4" s="117" t="s">
        <v>386</v>
      </c>
      <c r="C4" s="117" t="s">
        <v>228</v>
      </c>
      <c r="D4" s="117" t="s">
        <v>664</v>
      </c>
      <c r="E4" s="119">
        <v>2</v>
      </c>
      <c r="F4" s="117" t="s">
        <v>665</v>
      </c>
      <c r="G4" s="117" t="s">
        <v>229</v>
      </c>
      <c r="H4" s="117" t="s">
        <v>230</v>
      </c>
      <c r="I4" s="117" t="s">
        <v>230</v>
      </c>
      <c r="J4" s="117" t="s">
        <v>228</v>
      </c>
      <c r="K4" s="117" t="s">
        <v>231</v>
      </c>
      <c r="L4" s="117" t="s">
        <v>233</v>
      </c>
      <c r="M4" s="117" t="s">
        <v>232</v>
      </c>
      <c r="N4" s="117" t="s">
        <v>228</v>
      </c>
      <c r="O4" s="117" t="s">
        <v>235</v>
      </c>
      <c r="P4" s="117" t="s">
        <v>234</v>
      </c>
      <c r="Q4" s="117" t="s">
        <v>234</v>
      </c>
      <c r="R4" s="117" t="s">
        <v>235</v>
      </c>
      <c r="S4" s="117" t="s">
        <v>236</v>
      </c>
      <c r="T4" s="120" t="s">
        <v>237</v>
      </c>
      <c r="U4" s="117"/>
      <c r="V4" s="117"/>
      <c r="W4" s="117"/>
      <c r="X4" s="117"/>
      <c r="Y4" s="117"/>
      <c r="Z4" s="117"/>
    </row>
    <row r="5" spans="1:26" ht="50.1" customHeight="1" thickBot="1" x14ac:dyDescent="0.3">
      <c r="A5" s="118">
        <v>46259.510381944441</v>
      </c>
      <c r="B5" s="117" t="s">
        <v>386</v>
      </c>
      <c r="C5" s="117" t="s">
        <v>228</v>
      </c>
      <c r="D5" s="117" t="s">
        <v>666</v>
      </c>
      <c r="E5" s="119">
        <v>4</v>
      </c>
      <c r="F5" s="117" t="s">
        <v>667</v>
      </c>
      <c r="G5" s="117" t="s">
        <v>229</v>
      </c>
      <c r="H5" s="117" t="s">
        <v>230</v>
      </c>
      <c r="I5" s="117" t="s">
        <v>230</v>
      </c>
      <c r="J5" s="117" t="s">
        <v>228</v>
      </c>
      <c r="K5" s="117" t="s">
        <v>231</v>
      </c>
      <c r="L5" s="117" t="s">
        <v>232</v>
      </c>
      <c r="M5" s="117" t="s">
        <v>233</v>
      </c>
      <c r="N5" s="117" t="s">
        <v>228</v>
      </c>
      <c r="O5" s="117" t="s">
        <v>235</v>
      </c>
      <c r="P5" s="117" t="s">
        <v>234</v>
      </c>
      <c r="Q5" s="117" t="s">
        <v>232</v>
      </c>
      <c r="R5" s="117" t="s">
        <v>234</v>
      </c>
      <c r="S5" s="117" t="s">
        <v>236</v>
      </c>
      <c r="T5" s="117" t="s">
        <v>238</v>
      </c>
      <c r="U5" s="117"/>
      <c r="V5" s="117"/>
      <c r="W5" s="117"/>
      <c r="X5" s="117"/>
      <c r="Y5" s="117"/>
      <c r="Z5" s="117"/>
    </row>
    <row r="6" spans="1:26" ht="50.1" customHeight="1" thickBot="1" x14ac:dyDescent="0.3">
      <c r="A6" s="118">
        <v>46259.51116898148</v>
      </c>
      <c r="B6" s="117" t="s">
        <v>386</v>
      </c>
      <c r="C6" s="117" t="s">
        <v>228</v>
      </c>
      <c r="D6" s="117" t="s">
        <v>668</v>
      </c>
      <c r="E6" s="119">
        <v>3</v>
      </c>
      <c r="F6" s="117" t="s">
        <v>669</v>
      </c>
      <c r="G6" s="117" t="s">
        <v>229</v>
      </c>
      <c r="H6" s="117" t="s">
        <v>230</v>
      </c>
      <c r="I6" s="117" t="s">
        <v>230</v>
      </c>
      <c r="J6" s="117" t="s">
        <v>228</v>
      </c>
      <c r="K6" s="117" t="s">
        <v>231</v>
      </c>
      <c r="L6" s="117" t="s">
        <v>232</v>
      </c>
      <c r="M6" s="117" t="s">
        <v>233</v>
      </c>
      <c r="N6" s="117" t="s">
        <v>228</v>
      </c>
      <c r="O6" s="117" t="s">
        <v>235</v>
      </c>
      <c r="P6" s="117" t="s">
        <v>234</v>
      </c>
      <c r="Q6" s="117" t="s">
        <v>235</v>
      </c>
      <c r="R6" s="117" t="s">
        <v>234</v>
      </c>
      <c r="S6" s="117" t="s">
        <v>236</v>
      </c>
      <c r="T6" s="120" t="s">
        <v>237</v>
      </c>
      <c r="U6" s="117"/>
      <c r="V6" s="117"/>
      <c r="W6" s="117"/>
      <c r="X6" s="117"/>
      <c r="Y6" s="117"/>
      <c r="Z6" s="117"/>
    </row>
    <row r="7" spans="1:26" ht="50.1" customHeight="1" thickBot="1" x14ac:dyDescent="0.3">
      <c r="A7" s="118">
        <v>46259.511724537035</v>
      </c>
      <c r="B7" s="117" t="s">
        <v>386</v>
      </c>
      <c r="C7" s="117" t="s">
        <v>228</v>
      </c>
      <c r="D7" s="117" t="s">
        <v>670</v>
      </c>
      <c r="E7" s="119">
        <v>4</v>
      </c>
      <c r="F7" s="117" t="s">
        <v>671</v>
      </c>
      <c r="G7" s="117" t="s">
        <v>229</v>
      </c>
      <c r="H7" s="117" t="s">
        <v>230</v>
      </c>
      <c r="I7" s="117" t="s">
        <v>230</v>
      </c>
      <c r="J7" s="117" t="s">
        <v>228</v>
      </c>
      <c r="K7" s="117" t="s">
        <v>231</v>
      </c>
      <c r="L7" s="117" t="s">
        <v>233</v>
      </c>
      <c r="M7" s="117" t="s">
        <v>233</v>
      </c>
      <c r="N7" s="117" t="s">
        <v>228</v>
      </c>
      <c r="O7" s="117" t="s">
        <v>235</v>
      </c>
      <c r="P7" s="117" t="s">
        <v>235</v>
      </c>
      <c r="Q7" s="117" t="s">
        <v>234</v>
      </c>
      <c r="R7" s="117" t="s">
        <v>235</v>
      </c>
      <c r="S7" s="117" t="s">
        <v>236</v>
      </c>
      <c r="T7" s="120" t="s">
        <v>237</v>
      </c>
      <c r="U7" s="117"/>
      <c r="V7" s="117"/>
      <c r="W7" s="117"/>
      <c r="X7" s="117"/>
      <c r="Y7" s="117"/>
      <c r="Z7" s="117"/>
    </row>
    <row r="8" spans="1:26" ht="50.1" customHeight="1" thickBot="1" x14ac:dyDescent="0.3">
      <c r="A8" s="118">
        <v>46259.51226851852</v>
      </c>
      <c r="B8" s="117" t="s">
        <v>386</v>
      </c>
      <c r="C8" s="117" t="s">
        <v>228</v>
      </c>
      <c r="D8" s="117" t="s">
        <v>672</v>
      </c>
      <c r="E8" s="119">
        <v>3</v>
      </c>
      <c r="F8" s="117" t="s">
        <v>673</v>
      </c>
      <c r="G8" s="117" t="s">
        <v>229</v>
      </c>
      <c r="H8" s="117" t="s">
        <v>230</v>
      </c>
      <c r="I8" s="117" t="s">
        <v>230</v>
      </c>
      <c r="J8" s="117" t="s">
        <v>228</v>
      </c>
      <c r="K8" s="117" t="s">
        <v>231</v>
      </c>
      <c r="L8" s="117" t="s">
        <v>232</v>
      </c>
      <c r="M8" s="117" t="s">
        <v>233</v>
      </c>
      <c r="N8" s="117" t="s">
        <v>228</v>
      </c>
      <c r="O8" s="117" t="s">
        <v>235</v>
      </c>
      <c r="P8" s="117" t="s">
        <v>235</v>
      </c>
      <c r="Q8" s="117" t="s">
        <v>234</v>
      </c>
      <c r="R8" s="117" t="s">
        <v>235</v>
      </c>
      <c r="S8" s="117" t="s">
        <v>236</v>
      </c>
      <c r="T8" s="120" t="s">
        <v>237</v>
      </c>
      <c r="U8" s="117"/>
      <c r="V8" s="117"/>
      <c r="W8" s="117"/>
      <c r="X8" s="117"/>
      <c r="Y8" s="117"/>
      <c r="Z8" s="117"/>
    </row>
    <row r="9" spans="1:26" ht="50.1" customHeight="1" thickBot="1" x14ac:dyDescent="0.3">
      <c r="A9" s="118">
        <v>46259.60765046296</v>
      </c>
      <c r="B9" s="117" t="s">
        <v>386</v>
      </c>
      <c r="C9" s="117" t="s">
        <v>228</v>
      </c>
      <c r="D9" s="117" t="s">
        <v>674</v>
      </c>
      <c r="E9" s="119">
        <v>3</v>
      </c>
      <c r="F9" s="117" t="s">
        <v>675</v>
      </c>
      <c r="G9" s="117" t="s">
        <v>229</v>
      </c>
      <c r="H9" s="117" t="s">
        <v>230</v>
      </c>
      <c r="I9" s="117" t="s">
        <v>230</v>
      </c>
      <c r="J9" s="117" t="s">
        <v>228</v>
      </c>
      <c r="K9" s="117" t="s">
        <v>231</v>
      </c>
      <c r="L9" s="117" t="s">
        <v>233</v>
      </c>
      <c r="M9" s="117" t="s">
        <v>232</v>
      </c>
      <c r="N9" s="117" t="s">
        <v>228</v>
      </c>
      <c r="O9" s="117" t="s">
        <v>234</v>
      </c>
      <c r="P9" s="117" t="s">
        <v>234</v>
      </c>
      <c r="Q9" s="117" t="s">
        <v>235</v>
      </c>
      <c r="R9" s="117" t="s">
        <v>234</v>
      </c>
      <c r="S9" s="117" t="s">
        <v>236</v>
      </c>
      <c r="T9" s="120" t="s">
        <v>237</v>
      </c>
      <c r="U9" s="117"/>
      <c r="V9" s="117"/>
      <c r="W9" s="117"/>
      <c r="X9" s="117"/>
      <c r="Y9" s="117"/>
      <c r="Z9" s="117"/>
    </row>
    <row r="10" spans="1:26" ht="50.1" customHeight="1" thickBot="1" x14ac:dyDescent="0.3">
      <c r="A10" s="118">
        <v>46262.508726851855</v>
      </c>
      <c r="B10" s="117" t="s">
        <v>386</v>
      </c>
      <c r="C10" s="117" t="s">
        <v>228</v>
      </c>
      <c r="D10" s="117" t="s">
        <v>676</v>
      </c>
      <c r="E10" s="119">
        <v>2</v>
      </c>
      <c r="F10" s="117" t="s">
        <v>677</v>
      </c>
      <c r="G10" s="117" t="s">
        <v>229</v>
      </c>
      <c r="H10" s="117" t="s">
        <v>230</v>
      </c>
      <c r="I10" s="117" t="s">
        <v>230</v>
      </c>
      <c r="J10" s="117" t="s">
        <v>228</v>
      </c>
      <c r="K10" s="117" t="s">
        <v>231</v>
      </c>
      <c r="L10" s="117" t="s">
        <v>232</v>
      </c>
      <c r="M10" s="117" t="s">
        <v>233</v>
      </c>
      <c r="N10" s="117" t="s">
        <v>228</v>
      </c>
      <c r="O10" s="117" t="s">
        <v>235</v>
      </c>
      <c r="P10" s="117" t="s">
        <v>234</v>
      </c>
      <c r="Q10" s="117" t="s">
        <v>234</v>
      </c>
      <c r="R10" s="117" t="s">
        <v>232</v>
      </c>
      <c r="S10" s="117" t="s">
        <v>236</v>
      </c>
      <c r="T10" s="117" t="s">
        <v>238</v>
      </c>
      <c r="U10" s="117"/>
      <c r="V10" s="117"/>
      <c r="W10" s="117"/>
      <c r="X10" s="117"/>
      <c r="Y10" s="117"/>
      <c r="Z10" s="117"/>
    </row>
    <row r="11" spans="1:26" ht="50.1" customHeight="1" thickBot="1" x14ac:dyDescent="0.3">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spans="1:26" ht="50.1" customHeight="1" thickBot="1" x14ac:dyDescent="0.3">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spans="1:26" ht="50.1" customHeight="1" thickBot="1" x14ac:dyDescent="0.3">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spans="1:26" ht="50.1" customHeight="1" thickBot="1" x14ac:dyDescent="0.3">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spans="1:26" ht="50.1" customHeight="1" thickBot="1" x14ac:dyDescent="0.3">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spans="1:26" ht="50.1" customHeight="1" thickBot="1" x14ac:dyDescent="0.3">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spans="1:26" ht="50.1" customHeight="1" thickBot="1" x14ac:dyDescent="0.3">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spans="1:26" ht="50.1" customHeight="1" thickBot="1" x14ac:dyDescent="0.3">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spans="1:26" ht="50.1" customHeight="1" thickBot="1" x14ac:dyDescent="0.3">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spans="1:26" ht="50.1" customHeight="1" thickBot="1" x14ac:dyDescent="0.3">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spans="1:26" ht="50.1" customHeight="1" thickBot="1" x14ac:dyDescent="0.3">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spans="1:26" ht="50.1" customHeight="1" thickBot="1" x14ac:dyDescent="0.3">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spans="1:26" ht="50.1" customHeight="1" thickBot="1" x14ac:dyDescent="0.3">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spans="1:26" ht="50.1" customHeight="1" thickBot="1" x14ac:dyDescent="0.3">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spans="1:26" ht="50.1" customHeight="1" thickBot="1" x14ac:dyDescent="0.3">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spans="1:26" ht="50.1" customHeight="1" thickBot="1" x14ac:dyDescent="0.3">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spans="1:26" ht="50.1" customHeight="1" thickBot="1" x14ac:dyDescent="0.3">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spans="1:26" ht="50.1" customHeight="1" thickBot="1" x14ac:dyDescent="0.3">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spans="1:26" ht="50.1" customHeight="1" thickBot="1" x14ac:dyDescent="0.3">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spans="1:26" ht="50.1" customHeight="1" thickBot="1" x14ac:dyDescent="0.3">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spans="1:26" ht="50.1" customHeight="1" thickBot="1" x14ac:dyDescent="0.3">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spans="1:26" ht="50.1" customHeight="1" thickBot="1" x14ac:dyDescent="0.3">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spans="1:26" ht="50.1" customHeight="1" thickBot="1" x14ac:dyDescent="0.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spans="1:26" ht="50.1" customHeight="1" thickBot="1" x14ac:dyDescent="0.3">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spans="1:26" ht="50.1" customHeight="1" thickBot="1" x14ac:dyDescent="0.3">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spans="1:26" ht="50.1" customHeight="1" thickBot="1" x14ac:dyDescent="0.3">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spans="1:26" ht="50.1" customHeight="1" thickBot="1" x14ac:dyDescent="0.3">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spans="1:26" ht="50.1" customHeight="1" thickBot="1" x14ac:dyDescent="0.3">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spans="1:26" ht="50.1" customHeight="1" thickBot="1" x14ac:dyDescent="0.3">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spans="1:26" ht="50.1" customHeight="1" thickBot="1" x14ac:dyDescent="0.3">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spans="1:26" ht="50.1" customHeight="1" thickBot="1" x14ac:dyDescent="0.3">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spans="1:26" ht="50.1" customHeight="1" thickBot="1" x14ac:dyDescent="0.3">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spans="1:26" ht="50.1" customHeight="1" thickBot="1" x14ac:dyDescent="0.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spans="1:26" ht="50.1" customHeight="1" thickBot="1" x14ac:dyDescent="0.3">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spans="1:26" ht="50.1" customHeight="1" thickBot="1" x14ac:dyDescent="0.3">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spans="1:26" ht="50.1" customHeight="1" thickBot="1" x14ac:dyDescent="0.3">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spans="1:26" ht="50.1" customHeight="1" thickBot="1" x14ac:dyDescent="0.3">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spans="1:26" ht="50.1" customHeight="1" thickBot="1" x14ac:dyDescent="0.3">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spans="1:26" ht="50.1" customHeight="1" thickBot="1" x14ac:dyDescent="0.3">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spans="1:26" ht="50.1" customHeight="1" thickBot="1" x14ac:dyDescent="0.3">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spans="1:26" ht="50.1" customHeight="1" thickBot="1" x14ac:dyDescent="0.3">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spans="1:26" ht="50.1" customHeight="1" thickBot="1" x14ac:dyDescent="0.3">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spans="1:26" ht="50.1" customHeight="1" thickBot="1" x14ac:dyDescent="0.3">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spans="1:26" ht="50.1" customHeight="1" thickBot="1" x14ac:dyDescent="0.3">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spans="1:26" ht="50.1" customHeight="1" thickBot="1" x14ac:dyDescent="0.3">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spans="1:26" ht="50.1" customHeight="1" thickBot="1" x14ac:dyDescent="0.3">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spans="1:26" ht="50.1" customHeight="1" thickBot="1" x14ac:dyDescent="0.3">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spans="1:26" ht="50.1" customHeight="1" thickBot="1" x14ac:dyDescent="0.3">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spans="1:26" ht="50.1" customHeight="1" thickBot="1" x14ac:dyDescent="0.3">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spans="1:26" ht="50.1" customHeight="1" thickBot="1" x14ac:dyDescent="0.3">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spans="1:26" ht="50.1" customHeight="1" thickBot="1" x14ac:dyDescent="0.3">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spans="1:26" ht="50.1" customHeight="1" thickBot="1" x14ac:dyDescent="0.3">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spans="1:26" ht="50.1" customHeight="1" thickBot="1" x14ac:dyDescent="0.3">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spans="1:26" ht="50.1" customHeight="1" thickBot="1" x14ac:dyDescent="0.3">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spans="1:26" ht="50.1" customHeight="1" thickBot="1" x14ac:dyDescent="0.3">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spans="1:26" ht="50.1" customHeight="1" thickBot="1" x14ac:dyDescent="0.3">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spans="1:26" ht="50.1" customHeight="1" thickBot="1" x14ac:dyDescent="0.3">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spans="1:26" ht="50.1" customHeight="1" thickBot="1" x14ac:dyDescent="0.3">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spans="1:26" ht="50.1" customHeight="1" thickBot="1" x14ac:dyDescent="0.3">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spans="1:26" ht="50.1" customHeight="1" thickBot="1" x14ac:dyDescent="0.3">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spans="1:26" ht="50.1" customHeight="1" thickBot="1" x14ac:dyDescent="0.3">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spans="1:26" ht="50.1" customHeight="1" thickBot="1" x14ac:dyDescent="0.3">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ht="50.1" customHeight="1" thickBot="1" x14ac:dyDescent="0.3">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ht="50.1" customHeight="1" thickBot="1" x14ac:dyDescent="0.3">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ht="50.1" customHeight="1" thickBot="1" x14ac:dyDescent="0.3">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ht="50.1" customHeight="1" thickBot="1" x14ac:dyDescent="0.3">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ht="50.1" customHeight="1" thickBot="1" x14ac:dyDescent="0.3">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ht="50.1" customHeight="1" thickBot="1" x14ac:dyDescent="0.3">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ht="50.1" customHeight="1" thickBot="1" x14ac:dyDescent="0.3">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ht="50.1" customHeight="1" thickBot="1" x14ac:dyDescent="0.3">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ht="50.1" customHeight="1" thickBot="1" x14ac:dyDescent="0.3">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ht="50.1" customHeight="1" thickBot="1" x14ac:dyDescent="0.3">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50.1" customHeight="1" thickBot="1" x14ac:dyDescent="0.3">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50.1" customHeight="1" thickBot="1" x14ac:dyDescent="0.3">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50.1" customHeight="1" thickBot="1" x14ac:dyDescent="0.3">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50.1" customHeight="1" thickBot="1" x14ac:dyDescent="0.3">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ht="50.1" customHeight="1" thickBot="1" x14ac:dyDescent="0.3">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ht="50.1" customHeight="1" thickBot="1" x14ac:dyDescent="0.3">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ht="50.1" customHeight="1" thickBot="1" x14ac:dyDescent="0.3">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ht="50.1" customHeight="1" thickBot="1" x14ac:dyDescent="0.3">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ht="50.1" customHeight="1" thickBot="1" x14ac:dyDescent="0.3">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ht="50.1" customHeight="1" thickBot="1" x14ac:dyDescent="0.3">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ht="50.1" customHeight="1" thickBot="1" x14ac:dyDescent="0.3">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ht="50.1" customHeight="1" thickBot="1" x14ac:dyDescent="0.3">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ht="50.1" customHeight="1" thickBot="1" x14ac:dyDescent="0.3">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ht="50.1" customHeight="1" thickBot="1" x14ac:dyDescent="0.3">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ht="50.1" customHeight="1" thickBot="1" x14ac:dyDescent="0.3">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ht="50.1" customHeight="1" thickBot="1" x14ac:dyDescent="0.3">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ht="50.1" customHeight="1" thickBot="1" x14ac:dyDescent="0.3">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ht="50.1" customHeight="1" thickBot="1" x14ac:dyDescent="0.3">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ht="50.1" customHeight="1" thickBot="1" x14ac:dyDescent="0.3">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ht="50.1" customHeight="1" thickBot="1" x14ac:dyDescent="0.3">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ht="50.1" customHeight="1" thickBot="1" x14ac:dyDescent="0.3">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ht="50.1" customHeight="1" thickBot="1" x14ac:dyDescent="0.3">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ht="50.1" customHeight="1" thickBot="1" x14ac:dyDescent="0.3">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ht="50.1" customHeight="1" thickBot="1" x14ac:dyDescent="0.3">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ht="50.1" customHeight="1" thickBot="1" x14ac:dyDescent="0.3">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ht="50.1" customHeight="1" thickBot="1" x14ac:dyDescent="0.3">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ht="50.1" customHeight="1" thickBot="1" x14ac:dyDescent="0.3">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ht="50.1" customHeight="1" thickBot="1" x14ac:dyDescent="0.3">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ht="50.1" customHeight="1" thickBot="1" x14ac:dyDescent="0.3">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ht="50.1" customHeight="1" thickBot="1" x14ac:dyDescent="0.3">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ht="50.1" customHeight="1" thickBot="1" x14ac:dyDescent="0.3">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ht="50.1" customHeight="1" thickBot="1" x14ac:dyDescent="0.3">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ht="50.1" customHeight="1" thickBot="1" x14ac:dyDescent="0.3">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ht="50.1" customHeight="1" thickBot="1" x14ac:dyDescent="0.3">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ht="50.1" customHeight="1" thickBot="1" x14ac:dyDescent="0.3">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ht="50.1" customHeight="1" thickBot="1" x14ac:dyDescent="0.3">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ht="50.1" customHeight="1" thickBot="1" x14ac:dyDescent="0.3">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ht="50.1" customHeight="1" thickBot="1" x14ac:dyDescent="0.3">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ht="50.1" customHeight="1" thickBot="1" x14ac:dyDescent="0.3">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ht="50.1" customHeight="1" thickBot="1" x14ac:dyDescent="0.3">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ht="50.1" customHeight="1" thickBot="1" x14ac:dyDescent="0.3">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ht="50.1" customHeight="1" thickBot="1" x14ac:dyDescent="0.3">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ht="50.1" customHeight="1" thickBot="1" x14ac:dyDescent="0.3">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ht="50.1" customHeight="1" thickBot="1" x14ac:dyDescent="0.3">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ht="50.1" customHeight="1" thickBot="1" x14ac:dyDescent="0.3">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ht="50.1" customHeight="1" thickBot="1" x14ac:dyDescent="0.3">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ht="50.1" customHeight="1" thickBot="1" x14ac:dyDescent="0.3">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ht="50.1" customHeight="1" thickBot="1" x14ac:dyDescent="0.3">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ht="50.1" customHeight="1" thickBot="1" x14ac:dyDescent="0.3">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ht="50.1" customHeight="1" thickBot="1" x14ac:dyDescent="0.3">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ht="50.1" customHeight="1" thickBot="1" x14ac:dyDescent="0.3">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ht="50.1" customHeight="1" thickBot="1" x14ac:dyDescent="0.3">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ht="50.1" customHeight="1" thickBot="1" x14ac:dyDescent="0.3">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ht="50.1" customHeight="1" thickBot="1" x14ac:dyDescent="0.3">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ht="50.1" customHeight="1" thickBot="1" x14ac:dyDescent="0.3">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ht="50.1" customHeight="1" thickBot="1" x14ac:dyDescent="0.3">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ht="50.1" customHeight="1" thickBot="1" x14ac:dyDescent="0.3">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ht="50.1" customHeight="1" thickBot="1" x14ac:dyDescent="0.3">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ht="50.1" customHeight="1" thickBot="1" x14ac:dyDescent="0.3">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ht="50.1" customHeight="1" thickBot="1" x14ac:dyDescent="0.3">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ht="50.1" customHeight="1" thickBot="1" x14ac:dyDescent="0.3">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ht="50.1" customHeight="1" thickBot="1" x14ac:dyDescent="0.3">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ht="50.1" customHeight="1" thickBot="1" x14ac:dyDescent="0.3">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ht="50.1" customHeight="1" thickBot="1" x14ac:dyDescent="0.3">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ht="50.1" customHeight="1" thickBot="1" x14ac:dyDescent="0.3">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ht="50.1" customHeight="1" thickBot="1" x14ac:dyDescent="0.3">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ht="50.1" customHeight="1" thickBot="1" x14ac:dyDescent="0.3">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ht="50.1" customHeight="1" thickBot="1" x14ac:dyDescent="0.3">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ht="50.1" customHeight="1" thickBot="1" x14ac:dyDescent="0.3">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ht="50.1" customHeight="1" thickBot="1" x14ac:dyDescent="0.3">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ht="50.1" customHeight="1" thickBot="1" x14ac:dyDescent="0.3">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ht="50.1" customHeight="1" thickBot="1" x14ac:dyDescent="0.3">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ht="50.1" customHeight="1" thickBot="1" x14ac:dyDescent="0.3">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ht="50.1" customHeight="1" thickBot="1" x14ac:dyDescent="0.3">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ht="50.1" customHeight="1" thickBot="1" x14ac:dyDescent="0.3">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ht="50.1" customHeight="1" thickBot="1" x14ac:dyDescent="0.3">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ht="50.1" customHeight="1" thickBot="1" x14ac:dyDescent="0.3">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ht="50.1" customHeight="1" thickBot="1" x14ac:dyDescent="0.3">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ht="50.1" customHeight="1" thickBot="1" x14ac:dyDescent="0.3">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ht="50.1" customHeight="1" thickBot="1" x14ac:dyDescent="0.3">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ht="50.1" customHeight="1" thickBot="1" x14ac:dyDescent="0.3">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ht="50.1" customHeight="1" thickBot="1" x14ac:dyDescent="0.3">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ht="50.1" customHeight="1" thickBot="1" x14ac:dyDescent="0.3">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ht="50.1" customHeight="1" thickBot="1" x14ac:dyDescent="0.3">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ht="50.1" customHeight="1" thickBot="1" x14ac:dyDescent="0.3">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ht="50.1" customHeight="1" thickBot="1" x14ac:dyDescent="0.3">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ht="50.1" customHeight="1" thickBot="1" x14ac:dyDescent="0.3">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ht="50.1" customHeight="1" thickBot="1" x14ac:dyDescent="0.3">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ht="50.1" customHeight="1" thickBot="1" x14ac:dyDescent="0.3">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ht="50.1" customHeight="1" thickBot="1" x14ac:dyDescent="0.3">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ht="50.1" customHeight="1" thickBot="1" x14ac:dyDescent="0.3">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ht="50.1" customHeight="1" thickBot="1" x14ac:dyDescent="0.3">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ht="50.1" customHeight="1" thickBot="1" x14ac:dyDescent="0.3">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ht="50.1" customHeight="1" thickBot="1" x14ac:dyDescent="0.3">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ht="50.1" customHeight="1" thickBot="1" x14ac:dyDescent="0.3">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ht="50.1" customHeight="1" thickBot="1" x14ac:dyDescent="0.3">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ht="50.1" customHeight="1" thickBot="1" x14ac:dyDescent="0.3">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ht="50.1" customHeight="1" thickBot="1" x14ac:dyDescent="0.3">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ht="50.1" customHeight="1" thickBot="1" x14ac:dyDescent="0.3">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ht="50.1" customHeight="1" thickBot="1" x14ac:dyDescent="0.3">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ht="50.1" customHeight="1" thickBot="1" x14ac:dyDescent="0.3">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ht="50.1" customHeight="1" thickBot="1" x14ac:dyDescent="0.3">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ht="50.1" customHeight="1" thickBot="1" x14ac:dyDescent="0.3">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ht="50.1" customHeight="1" thickBot="1" x14ac:dyDescent="0.3">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ht="50.1" customHeight="1" thickBot="1" x14ac:dyDescent="0.3">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ht="50.1" customHeight="1" thickBot="1" x14ac:dyDescent="0.3">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ht="50.1" customHeight="1" thickBot="1" x14ac:dyDescent="0.3">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ht="50.1" customHeight="1" thickBot="1" x14ac:dyDescent="0.3">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ht="50.1" customHeight="1" thickBot="1" x14ac:dyDescent="0.3">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ht="50.1" customHeight="1" thickBot="1" x14ac:dyDescent="0.3">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ht="50.1" customHeight="1" thickBot="1" x14ac:dyDescent="0.3">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ht="50.1" customHeight="1" thickBot="1" x14ac:dyDescent="0.3">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ht="50.1" customHeight="1" thickBot="1" x14ac:dyDescent="0.3">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ht="50.1" customHeight="1" thickBot="1" x14ac:dyDescent="0.3">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ht="50.1" customHeight="1" thickBot="1" x14ac:dyDescent="0.3">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ht="50.1" customHeight="1" thickBot="1" x14ac:dyDescent="0.3">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ht="50.1" customHeight="1" thickBot="1" x14ac:dyDescent="0.3">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ht="50.1" customHeight="1" thickBot="1" x14ac:dyDescent="0.3">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ht="50.1" customHeight="1" thickBot="1" x14ac:dyDescent="0.3">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ht="50.1" customHeight="1" thickBot="1" x14ac:dyDescent="0.3">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ht="50.1" customHeight="1" thickBot="1" x14ac:dyDescent="0.3">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ht="50.1" customHeight="1" thickBot="1" x14ac:dyDescent="0.3">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ht="50.1" customHeight="1" thickBot="1" x14ac:dyDescent="0.3">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ht="50.1" customHeight="1" thickBot="1" x14ac:dyDescent="0.3">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ht="50.1" customHeight="1" thickBot="1" x14ac:dyDescent="0.3">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ht="50.1" customHeight="1" thickBot="1" x14ac:dyDescent="0.3">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ht="50.1" customHeight="1" thickBot="1" x14ac:dyDescent="0.3">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ht="50.1" customHeight="1" thickBot="1" x14ac:dyDescent="0.3">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ht="50.1" customHeight="1" thickBot="1" x14ac:dyDescent="0.3">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ht="50.1" customHeight="1" thickBot="1" x14ac:dyDescent="0.3">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ht="50.1" customHeight="1" thickBot="1" x14ac:dyDescent="0.3">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ht="50.1" customHeight="1" thickBot="1" x14ac:dyDescent="0.3">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ht="50.1" customHeight="1" thickBot="1" x14ac:dyDescent="0.3">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ht="50.1" customHeight="1" thickBot="1" x14ac:dyDescent="0.3">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ht="50.1" customHeight="1" thickBot="1" x14ac:dyDescent="0.3">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ht="50.1" customHeight="1" thickBot="1" x14ac:dyDescent="0.3">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ht="50.1" customHeight="1" thickBot="1" x14ac:dyDescent="0.3">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ht="50.1" customHeight="1" thickBot="1" x14ac:dyDescent="0.3">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ht="50.1" customHeight="1" thickBot="1" x14ac:dyDescent="0.3">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ht="50.1" customHeight="1" thickBot="1" x14ac:dyDescent="0.3">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ht="50.1" customHeight="1" thickBot="1" x14ac:dyDescent="0.3">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ht="50.1" customHeight="1" thickBot="1" x14ac:dyDescent="0.3">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ht="50.1" customHeight="1" thickBot="1" x14ac:dyDescent="0.3">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ht="50.1" customHeight="1" thickBot="1" x14ac:dyDescent="0.3">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ht="50.1" customHeight="1" thickBot="1" x14ac:dyDescent="0.3">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ht="50.1" customHeight="1" thickBot="1" x14ac:dyDescent="0.3">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ht="50.1" customHeight="1" thickBot="1" x14ac:dyDescent="0.3">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ht="50.1" customHeight="1" thickBot="1" x14ac:dyDescent="0.3">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ht="50.1" customHeight="1" thickBot="1" x14ac:dyDescent="0.3">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ht="50.1" customHeight="1" thickBot="1" x14ac:dyDescent="0.3">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ht="50.1" customHeight="1" thickBot="1" x14ac:dyDescent="0.3">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ht="50.1" customHeight="1" thickBot="1" x14ac:dyDescent="0.3">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ht="50.1" customHeight="1" thickBot="1" x14ac:dyDescent="0.3">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ht="50.1" customHeight="1" thickBot="1" x14ac:dyDescent="0.3">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ht="50.1" customHeight="1" thickBot="1" x14ac:dyDescent="0.3">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ht="50.1" customHeight="1" thickBot="1" x14ac:dyDescent="0.3">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ht="50.1" customHeight="1" thickBot="1" x14ac:dyDescent="0.3">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ht="50.1" customHeight="1" thickBot="1" x14ac:dyDescent="0.3">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ht="50.1" customHeight="1" thickBot="1" x14ac:dyDescent="0.3">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ht="50.1" customHeight="1" thickBot="1" x14ac:dyDescent="0.3">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ht="50.1" customHeight="1" thickBot="1" x14ac:dyDescent="0.3">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ht="50.1" customHeight="1" thickBot="1" x14ac:dyDescent="0.3">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ht="50.1" customHeight="1" thickBot="1" x14ac:dyDescent="0.3">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ht="50.1" customHeight="1" thickBot="1" x14ac:dyDescent="0.3">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ht="50.1" customHeight="1" thickBot="1" x14ac:dyDescent="0.3">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ht="50.1" customHeight="1" thickBot="1" x14ac:dyDescent="0.3">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ht="50.1" customHeight="1" thickBot="1" x14ac:dyDescent="0.3">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ht="50.1" customHeight="1" thickBot="1" x14ac:dyDescent="0.3">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ht="50.1" customHeight="1" thickBot="1" x14ac:dyDescent="0.3">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ht="50.1" customHeight="1" thickBot="1" x14ac:dyDescent="0.3">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ht="50.1" customHeight="1" thickBot="1" x14ac:dyDescent="0.3">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ht="50.1" customHeight="1" thickBot="1" x14ac:dyDescent="0.3">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ht="50.1" customHeight="1" thickBot="1" x14ac:dyDescent="0.3">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ht="50.1" customHeight="1" thickBot="1" x14ac:dyDescent="0.3">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ht="50.1" customHeight="1" thickBot="1" x14ac:dyDescent="0.3">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ht="50.1" customHeight="1" thickBot="1" x14ac:dyDescent="0.3">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ht="50.1" customHeight="1" thickBot="1" x14ac:dyDescent="0.3">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ht="50.1" customHeight="1" thickBot="1" x14ac:dyDescent="0.3">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ht="50.1" customHeight="1" thickBot="1" x14ac:dyDescent="0.3">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ht="50.1" customHeight="1" thickBot="1" x14ac:dyDescent="0.3">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ht="50.1" customHeight="1" thickBot="1" x14ac:dyDescent="0.3">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ht="50.1" customHeight="1" thickBot="1" x14ac:dyDescent="0.3">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ht="50.1" customHeight="1" thickBot="1" x14ac:dyDescent="0.3">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ht="50.1" customHeight="1" thickBot="1" x14ac:dyDescent="0.3">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ht="50.1" customHeight="1" thickBot="1" x14ac:dyDescent="0.3">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ht="50.1" customHeight="1" thickBot="1" x14ac:dyDescent="0.3">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ht="50.1" customHeight="1" thickBot="1" x14ac:dyDescent="0.3">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ht="50.1" customHeight="1" thickBot="1" x14ac:dyDescent="0.3">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ht="50.1" customHeight="1" thickBot="1" x14ac:dyDescent="0.3">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ht="50.1" customHeight="1" thickBot="1" x14ac:dyDescent="0.3">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ht="50.1" customHeight="1" thickBot="1" x14ac:dyDescent="0.3">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ht="50.1" customHeight="1" thickBot="1" x14ac:dyDescent="0.3">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ht="50.1" customHeight="1" thickBot="1" x14ac:dyDescent="0.3">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ht="50.1" customHeight="1" thickBot="1" x14ac:dyDescent="0.3">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ht="50.1" customHeight="1" thickBot="1" x14ac:dyDescent="0.3">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ht="50.1" customHeight="1" thickBot="1" x14ac:dyDescent="0.3">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ht="50.1" customHeight="1" thickBot="1" x14ac:dyDescent="0.3">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ht="50.1" customHeight="1" thickBot="1" x14ac:dyDescent="0.3">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ht="50.1" customHeight="1" thickBot="1" x14ac:dyDescent="0.3">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ht="50.1" customHeight="1" thickBot="1" x14ac:dyDescent="0.3">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ht="50.1" customHeight="1" thickBot="1" x14ac:dyDescent="0.3">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ht="50.1" customHeight="1" thickBot="1" x14ac:dyDescent="0.3">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ht="50.1" customHeight="1" thickBot="1" x14ac:dyDescent="0.3">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ht="50.1" customHeight="1" thickBot="1" x14ac:dyDescent="0.3">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ht="50.1" customHeight="1" thickBot="1" x14ac:dyDescent="0.3">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ht="50.1" customHeight="1" thickBot="1" x14ac:dyDescent="0.3">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ht="50.1" customHeight="1" thickBot="1" x14ac:dyDescent="0.3">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ht="50.1" customHeight="1" thickBot="1" x14ac:dyDescent="0.3">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ht="50.1" customHeight="1" thickBot="1" x14ac:dyDescent="0.3">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ht="50.1" customHeight="1" thickBot="1" x14ac:dyDescent="0.3">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ht="50.1" customHeight="1" thickBot="1" x14ac:dyDescent="0.3">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ht="50.1" customHeight="1" thickBot="1" x14ac:dyDescent="0.3">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ht="50.1" customHeight="1" thickBot="1" x14ac:dyDescent="0.3">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ht="50.1" customHeight="1" thickBot="1" x14ac:dyDescent="0.3">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ht="50.1" customHeight="1" thickBot="1" x14ac:dyDescent="0.3">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ht="50.1" customHeight="1" thickBot="1" x14ac:dyDescent="0.3">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ht="50.1" customHeight="1" thickBot="1" x14ac:dyDescent="0.3">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ht="50.1" customHeight="1" thickBot="1" x14ac:dyDescent="0.3">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ht="50.1" customHeight="1" thickBot="1" x14ac:dyDescent="0.3">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ht="50.1" customHeight="1" thickBot="1" x14ac:dyDescent="0.3">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ht="50.1" customHeight="1" thickBot="1" x14ac:dyDescent="0.3">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ht="50.1" customHeight="1" thickBot="1" x14ac:dyDescent="0.3">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ht="50.1" customHeight="1" thickBot="1" x14ac:dyDescent="0.3">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ht="50.1" customHeight="1" thickBot="1" x14ac:dyDescent="0.3">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ht="50.1" customHeight="1" thickBot="1" x14ac:dyDescent="0.3">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ht="50.1" customHeight="1" thickBot="1" x14ac:dyDescent="0.3">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ht="50.1" customHeight="1" thickBot="1" x14ac:dyDescent="0.3">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ht="50.1" customHeight="1" thickBot="1" x14ac:dyDescent="0.3">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ht="50.1" customHeight="1" thickBot="1" x14ac:dyDescent="0.3">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ht="50.1" customHeight="1" thickBot="1" x14ac:dyDescent="0.3">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ht="50.1" customHeight="1" thickBot="1" x14ac:dyDescent="0.3">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ht="50.1" customHeight="1" thickBot="1" x14ac:dyDescent="0.3">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ht="50.1" customHeight="1" thickBot="1" x14ac:dyDescent="0.3">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ht="50.1" customHeight="1" thickBot="1" x14ac:dyDescent="0.3">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ht="50.1" customHeight="1" thickBot="1" x14ac:dyDescent="0.3">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ht="50.1" customHeight="1" thickBot="1" x14ac:dyDescent="0.3">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ht="50.1" customHeight="1" thickBot="1" x14ac:dyDescent="0.3">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ht="50.1" customHeight="1" thickBot="1" x14ac:dyDescent="0.3">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ht="50.1" customHeight="1" thickBot="1" x14ac:dyDescent="0.3">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ht="50.1" customHeight="1" thickBot="1" x14ac:dyDescent="0.3">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ht="50.1" customHeight="1" thickBot="1" x14ac:dyDescent="0.3">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ht="50.1" customHeight="1" thickBot="1" x14ac:dyDescent="0.3">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ht="50.1" customHeight="1" thickBot="1" x14ac:dyDescent="0.3">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ht="50.1" customHeight="1" thickBot="1" x14ac:dyDescent="0.3">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ht="50.1" customHeight="1" thickBot="1" x14ac:dyDescent="0.3">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ht="50.1" customHeight="1" thickBot="1" x14ac:dyDescent="0.3">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ht="50.1" customHeight="1" thickBot="1" x14ac:dyDescent="0.3">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ht="50.1" customHeight="1" thickBot="1" x14ac:dyDescent="0.3">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ht="50.1" customHeight="1" thickBot="1" x14ac:dyDescent="0.3">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ht="50.1" customHeight="1" thickBot="1" x14ac:dyDescent="0.3">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ht="50.1" customHeight="1" thickBot="1" x14ac:dyDescent="0.3">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ht="50.1" customHeight="1" thickBot="1" x14ac:dyDescent="0.3">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ht="50.1" customHeight="1" thickBot="1" x14ac:dyDescent="0.3">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ht="50.1" customHeight="1" thickBot="1" x14ac:dyDescent="0.3">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ht="50.1" customHeight="1" thickBot="1" x14ac:dyDescent="0.3">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ht="50.1" customHeight="1" thickBot="1" x14ac:dyDescent="0.3">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ht="50.1" customHeight="1" thickBot="1" x14ac:dyDescent="0.3">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ht="50.1" customHeight="1" thickBot="1" x14ac:dyDescent="0.3">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ht="50.1" customHeight="1" thickBot="1" x14ac:dyDescent="0.3">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ht="50.1" customHeight="1" thickBot="1" x14ac:dyDescent="0.3">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ht="50.1" customHeight="1" thickBot="1" x14ac:dyDescent="0.3">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ht="50.1" customHeight="1" thickBot="1" x14ac:dyDescent="0.3">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ht="50.1" customHeight="1" thickBot="1" x14ac:dyDescent="0.3">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ht="50.1" customHeight="1" thickBot="1" x14ac:dyDescent="0.3">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ht="50.1" customHeight="1" thickBot="1" x14ac:dyDescent="0.3">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ht="50.1" customHeight="1" thickBot="1" x14ac:dyDescent="0.3">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ht="50.1" customHeight="1" thickBot="1" x14ac:dyDescent="0.3">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45E3-E664-4DC0-B1AD-25EC4C2CE01E}">
  <dimension ref="A4:B8"/>
  <sheetViews>
    <sheetView workbookViewId="0">
      <selection activeCell="A4" sqref="A4"/>
    </sheetView>
  </sheetViews>
  <sheetFormatPr baseColWidth="10" defaultRowHeight="15" x14ac:dyDescent="0.25"/>
  <cols>
    <col min="1" max="1" width="40.85546875" bestFit="1" customWidth="1"/>
    <col min="2" max="2" width="24.85546875" bestFit="1" customWidth="1"/>
  </cols>
  <sheetData>
    <row r="4" spans="1:2" x14ac:dyDescent="0.25">
      <c r="A4" s="648" t="s">
        <v>104</v>
      </c>
      <c r="B4" t="s">
        <v>560</v>
      </c>
    </row>
    <row r="5" spans="1:2" x14ac:dyDescent="0.25">
      <c r="A5" s="16" t="s">
        <v>237</v>
      </c>
      <c r="B5">
        <v>21</v>
      </c>
    </row>
    <row r="6" spans="1:2" x14ac:dyDescent="0.25">
      <c r="A6" s="16" t="s">
        <v>239</v>
      </c>
      <c r="B6">
        <v>1</v>
      </c>
    </row>
    <row r="7" spans="1:2" x14ac:dyDescent="0.25">
      <c r="A7" s="16" t="s">
        <v>238</v>
      </c>
      <c r="B7">
        <v>9</v>
      </c>
    </row>
    <row r="8" spans="1:2" x14ac:dyDescent="0.25">
      <c r="A8" s="16" t="s">
        <v>105</v>
      </c>
      <c r="B8">
        <v>31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58BD4-0D7D-40C5-AB7F-68AA37485983}">
  <sheetPr>
    <pageSetUpPr fitToPage="1"/>
  </sheetPr>
  <dimension ref="C3:AG57"/>
  <sheetViews>
    <sheetView topLeftCell="E1" workbookViewId="0">
      <selection activeCell="L6" sqref="L6:L57"/>
    </sheetView>
  </sheetViews>
  <sheetFormatPr baseColWidth="10" defaultRowHeight="15" x14ac:dyDescent="0.25"/>
  <cols>
    <col min="4" max="4" width="40.42578125" customWidth="1"/>
    <col min="5" max="5" width="31.5703125" customWidth="1"/>
    <col min="6" max="6" width="8.28515625" customWidth="1"/>
    <col min="7" max="7" width="7.5703125" customWidth="1"/>
    <col min="8" max="8" width="8.28515625" customWidth="1"/>
    <col min="9" max="9" width="7.7109375" customWidth="1"/>
    <col min="10" max="10" width="8.85546875" customWidth="1"/>
    <col min="11" max="11" width="7.28515625" customWidth="1"/>
    <col min="12" max="12" width="6.5703125" customWidth="1"/>
    <col min="13" max="13" width="8.42578125" customWidth="1"/>
    <col min="14" max="17" width="7.85546875" customWidth="1"/>
    <col min="18" max="18" width="7.140625" bestFit="1" customWidth="1"/>
  </cols>
  <sheetData>
    <row r="3" spans="3:33" ht="15.75" thickBot="1" x14ac:dyDescent="0.3"/>
    <row r="4" spans="3:33" ht="15.75" thickBot="1" x14ac:dyDescent="0.3">
      <c r="D4" s="820" t="s">
        <v>280</v>
      </c>
      <c r="E4" s="821"/>
      <c r="F4" s="821"/>
      <c r="G4" s="821"/>
      <c r="H4" s="821"/>
      <c r="I4" s="821"/>
      <c r="J4" s="821"/>
      <c r="K4" s="821"/>
      <c r="L4" s="821"/>
      <c r="M4" s="821"/>
      <c r="N4" s="821"/>
      <c r="O4" s="821"/>
      <c r="P4" s="821"/>
      <c r="Q4" s="821"/>
      <c r="R4" s="822"/>
    </row>
    <row r="5" spans="3:33" ht="16.5" thickBot="1" x14ac:dyDescent="0.3">
      <c r="D5" s="121" t="s">
        <v>240</v>
      </c>
      <c r="E5" s="122" t="s">
        <v>241</v>
      </c>
      <c r="F5" s="42">
        <v>46023</v>
      </c>
      <c r="G5" s="42">
        <v>46054</v>
      </c>
      <c r="H5" s="42">
        <v>46082</v>
      </c>
      <c r="I5" s="42">
        <v>46113</v>
      </c>
      <c r="J5" s="42">
        <v>46143</v>
      </c>
      <c r="K5" s="42">
        <v>46174</v>
      </c>
      <c r="L5" s="42">
        <v>46204</v>
      </c>
      <c r="M5" s="42">
        <v>46235</v>
      </c>
      <c r="N5" s="42">
        <v>46266</v>
      </c>
      <c r="O5" s="42">
        <v>46296</v>
      </c>
      <c r="P5" s="42">
        <v>46327</v>
      </c>
      <c r="Q5" s="42">
        <v>46357</v>
      </c>
      <c r="R5" s="123" t="s">
        <v>164</v>
      </c>
      <c r="U5" s="123">
        <v>46023</v>
      </c>
      <c r="V5" s="123">
        <v>46054</v>
      </c>
      <c r="W5" s="123">
        <v>46082</v>
      </c>
      <c r="X5" s="123">
        <v>46113</v>
      </c>
      <c r="Y5" s="123">
        <v>46143</v>
      </c>
      <c r="Z5" s="123">
        <v>46174</v>
      </c>
      <c r="AA5" s="123">
        <v>46204</v>
      </c>
      <c r="AB5" s="123">
        <v>46235</v>
      </c>
      <c r="AC5" s="123">
        <v>46266</v>
      </c>
      <c r="AD5" s="123">
        <v>46296</v>
      </c>
      <c r="AE5" s="123">
        <v>46327</v>
      </c>
      <c r="AF5" s="123">
        <v>46357</v>
      </c>
      <c r="AG5" s="123" t="s">
        <v>164</v>
      </c>
    </row>
    <row r="6" spans="3:33" ht="48.75" customHeight="1" x14ac:dyDescent="0.3">
      <c r="D6" s="817" t="s">
        <v>242</v>
      </c>
      <c r="E6" s="124" t="s">
        <v>243</v>
      </c>
      <c r="F6" s="339">
        <v>36</v>
      </c>
      <c r="G6" s="339">
        <v>0</v>
      </c>
      <c r="H6" s="339">
        <v>29</v>
      </c>
      <c r="I6" s="339">
        <v>0</v>
      </c>
      <c r="J6" s="339">
        <v>15</v>
      </c>
      <c r="K6" s="339">
        <v>0</v>
      </c>
      <c r="L6" s="339">
        <v>0</v>
      </c>
      <c r="M6" s="339"/>
      <c r="N6" s="339"/>
      <c r="O6" s="339"/>
      <c r="P6" s="339"/>
      <c r="Q6" s="339"/>
      <c r="R6" s="339">
        <f>SUM(F6:Q6)</f>
        <v>80</v>
      </c>
      <c r="U6">
        <v>68</v>
      </c>
      <c r="V6">
        <v>42</v>
      </c>
      <c r="W6">
        <v>76</v>
      </c>
      <c r="X6">
        <v>44</v>
      </c>
      <c r="Y6">
        <v>24</v>
      </c>
      <c r="Z6">
        <v>31</v>
      </c>
      <c r="AG6">
        <f>SUM(U6:AF6)</f>
        <v>285</v>
      </c>
    </row>
    <row r="7" spans="3:33" ht="36" customHeight="1" x14ac:dyDescent="0.3">
      <c r="D7" s="823"/>
      <c r="E7" s="126" t="s">
        <v>244</v>
      </c>
      <c r="F7" s="340">
        <v>0</v>
      </c>
      <c r="G7" s="340">
        <v>0</v>
      </c>
      <c r="H7" s="340">
        <v>0</v>
      </c>
      <c r="I7" s="340">
        <v>0</v>
      </c>
      <c r="J7" s="340">
        <v>0</v>
      </c>
      <c r="K7" s="340">
        <v>0</v>
      </c>
      <c r="L7" s="340">
        <v>0</v>
      </c>
      <c r="M7" s="340"/>
      <c r="N7" s="340"/>
      <c r="O7" s="340"/>
      <c r="P7" s="340"/>
      <c r="Q7" s="340"/>
      <c r="R7" s="340">
        <f t="shared" ref="R7:R57" si="0">SUM(F7:Q7)</f>
        <v>0</v>
      </c>
    </row>
    <row r="8" spans="3:33" ht="16.5" x14ac:dyDescent="0.3">
      <c r="D8" s="823"/>
      <c r="E8" s="128" t="s">
        <v>229</v>
      </c>
      <c r="F8" s="340">
        <v>32</v>
      </c>
      <c r="G8" s="340">
        <v>42</v>
      </c>
      <c r="H8" s="340">
        <v>47</v>
      </c>
      <c r="I8" s="340">
        <v>44</v>
      </c>
      <c r="J8" s="340">
        <v>9</v>
      </c>
      <c r="K8" s="340">
        <v>30</v>
      </c>
      <c r="L8" s="340">
        <v>31</v>
      </c>
      <c r="M8" s="340"/>
      <c r="N8" s="340"/>
      <c r="O8" s="340"/>
      <c r="P8" s="340"/>
      <c r="Q8" s="340"/>
      <c r="R8" s="340">
        <f>SUM(F8:Q8)</f>
        <v>235</v>
      </c>
      <c r="S8" s="85">
        <f>R7/AG6</f>
        <v>0</v>
      </c>
      <c r="T8" s="85"/>
    </row>
    <row r="9" spans="3:33" ht="17.25" thickBot="1" x14ac:dyDescent="0.35">
      <c r="D9" s="824"/>
      <c r="E9" s="129" t="s">
        <v>245</v>
      </c>
      <c r="F9" s="341">
        <v>0</v>
      </c>
      <c r="G9" s="341">
        <v>0</v>
      </c>
      <c r="H9" s="341">
        <v>0</v>
      </c>
      <c r="I9" s="341">
        <v>0</v>
      </c>
      <c r="J9" s="341">
        <v>0</v>
      </c>
      <c r="K9" s="341">
        <v>0</v>
      </c>
      <c r="L9" s="341">
        <v>0</v>
      </c>
      <c r="M9" s="341"/>
      <c r="N9" s="341"/>
      <c r="O9" s="341"/>
      <c r="P9" s="341"/>
      <c r="Q9" s="341"/>
      <c r="R9" s="341">
        <f t="shared" si="0"/>
        <v>0</v>
      </c>
    </row>
    <row r="10" spans="3:33" ht="16.5" x14ac:dyDescent="0.3">
      <c r="D10" s="825" t="s">
        <v>246</v>
      </c>
      <c r="E10" s="131" t="s">
        <v>247</v>
      </c>
      <c r="F10" s="339">
        <v>12</v>
      </c>
      <c r="G10" s="339">
        <v>0</v>
      </c>
      <c r="H10" s="339">
        <v>7</v>
      </c>
      <c r="I10" s="339">
        <v>0</v>
      </c>
      <c r="J10" s="339">
        <v>2</v>
      </c>
      <c r="K10" s="339">
        <v>0</v>
      </c>
      <c r="L10" s="339">
        <v>0</v>
      </c>
      <c r="M10" s="339"/>
      <c r="N10" s="339"/>
      <c r="O10" s="339"/>
      <c r="P10" s="339"/>
      <c r="Q10" s="339"/>
      <c r="R10" s="339">
        <f t="shared" si="0"/>
        <v>21</v>
      </c>
    </row>
    <row r="11" spans="3:33" ht="16.5" x14ac:dyDescent="0.3">
      <c r="C11">
        <v>2</v>
      </c>
      <c r="D11" s="826"/>
      <c r="E11" s="128" t="s">
        <v>248</v>
      </c>
      <c r="F11" s="340">
        <v>56</v>
      </c>
      <c r="G11" s="340">
        <v>42</v>
      </c>
      <c r="H11" s="340">
        <v>69</v>
      </c>
      <c r="I11" s="340">
        <v>44</v>
      </c>
      <c r="J11" s="340">
        <v>22</v>
      </c>
      <c r="K11" s="340">
        <v>30</v>
      </c>
      <c r="L11" s="340">
        <v>31</v>
      </c>
      <c r="M11" s="340"/>
      <c r="N11" s="340"/>
      <c r="O11" s="340"/>
      <c r="P11" s="340"/>
      <c r="Q11" s="340"/>
      <c r="R11" s="340">
        <f t="shared" si="0"/>
        <v>294</v>
      </c>
      <c r="S11" s="85">
        <f>R10/AG6</f>
        <v>7.3684210526315783E-2</v>
      </c>
      <c r="T11" s="85"/>
    </row>
    <row r="12" spans="3:33" ht="20.25" customHeight="1" thickBot="1" x14ac:dyDescent="0.35">
      <c r="D12" s="827"/>
      <c r="E12" s="129" t="s">
        <v>249</v>
      </c>
      <c r="F12" s="341">
        <v>0</v>
      </c>
      <c r="G12" s="341">
        <v>0</v>
      </c>
      <c r="H12" s="341">
        <v>0</v>
      </c>
      <c r="I12" s="341">
        <v>0</v>
      </c>
      <c r="J12" s="341">
        <v>0</v>
      </c>
      <c r="K12" s="341">
        <v>0</v>
      </c>
      <c r="L12" s="341">
        <v>0</v>
      </c>
      <c r="M12" s="341"/>
      <c r="N12" s="341"/>
      <c r="O12" s="341"/>
      <c r="P12" s="341"/>
      <c r="Q12" s="341"/>
      <c r="R12" s="341">
        <f t="shared" si="0"/>
        <v>0</v>
      </c>
    </row>
    <row r="13" spans="3:33" ht="16.5" x14ac:dyDescent="0.3">
      <c r="D13" s="817" t="s">
        <v>250</v>
      </c>
      <c r="E13" s="132" t="s">
        <v>247</v>
      </c>
      <c r="F13" s="339">
        <v>19</v>
      </c>
      <c r="G13" s="339">
        <v>0</v>
      </c>
      <c r="H13" s="339">
        <v>12</v>
      </c>
      <c r="I13" s="339">
        <v>0</v>
      </c>
      <c r="J13" s="339">
        <v>4</v>
      </c>
      <c r="K13" s="339">
        <v>0</v>
      </c>
      <c r="L13" s="339">
        <v>0</v>
      </c>
      <c r="M13" s="339"/>
      <c r="N13" s="339"/>
      <c r="O13" s="339"/>
      <c r="P13" s="339"/>
      <c r="Q13" s="339"/>
      <c r="R13" s="339">
        <f t="shared" si="0"/>
        <v>35</v>
      </c>
    </row>
    <row r="14" spans="3:33" ht="16.5" x14ac:dyDescent="0.3">
      <c r="C14">
        <v>3</v>
      </c>
      <c r="D14" s="818"/>
      <c r="E14" s="128" t="s">
        <v>248</v>
      </c>
      <c r="F14" s="340">
        <v>48</v>
      </c>
      <c r="G14" s="340">
        <v>42</v>
      </c>
      <c r="H14" s="340">
        <v>62</v>
      </c>
      <c r="I14" s="340">
        <v>44</v>
      </c>
      <c r="J14" s="340">
        <v>20</v>
      </c>
      <c r="K14" s="340">
        <v>30</v>
      </c>
      <c r="L14" s="340">
        <v>31</v>
      </c>
      <c r="M14" s="340"/>
      <c r="N14" s="340"/>
      <c r="O14" s="340"/>
      <c r="P14" s="340"/>
      <c r="Q14" s="340"/>
      <c r="R14" s="340">
        <f t="shared" si="0"/>
        <v>277</v>
      </c>
      <c r="S14" s="85">
        <f>R15/AG6</f>
        <v>1.0526315789473684E-2</v>
      </c>
      <c r="T14" s="85"/>
    </row>
    <row r="15" spans="3:33" ht="17.25" thickBot="1" x14ac:dyDescent="0.35">
      <c r="D15" s="819"/>
      <c r="E15" s="129" t="s">
        <v>249</v>
      </c>
      <c r="F15" s="341">
        <v>1</v>
      </c>
      <c r="G15" s="341">
        <v>0</v>
      </c>
      <c r="H15" s="341">
        <v>2</v>
      </c>
      <c r="I15" s="341">
        <v>0</v>
      </c>
      <c r="J15" s="341">
        <v>0</v>
      </c>
      <c r="K15" s="341">
        <v>0</v>
      </c>
      <c r="L15" s="341">
        <v>0</v>
      </c>
      <c r="M15" s="341"/>
      <c r="N15" s="341"/>
      <c r="O15" s="341"/>
      <c r="P15" s="341"/>
      <c r="Q15" s="341"/>
      <c r="R15" s="341">
        <f t="shared" si="0"/>
        <v>3</v>
      </c>
    </row>
    <row r="16" spans="3:33" ht="16.5" x14ac:dyDescent="0.3">
      <c r="D16" s="817" t="s">
        <v>251</v>
      </c>
      <c r="E16" s="132" t="s">
        <v>252</v>
      </c>
      <c r="F16" s="339">
        <v>68</v>
      </c>
      <c r="G16" s="339">
        <v>42</v>
      </c>
      <c r="H16" s="339">
        <v>76</v>
      </c>
      <c r="I16" s="339">
        <v>44</v>
      </c>
      <c r="J16" s="339">
        <v>24</v>
      </c>
      <c r="K16" s="339">
        <v>30</v>
      </c>
      <c r="L16" s="339">
        <v>31</v>
      </c>
      <c r="M16" s="339"/>
      <c r="N16" s="339"/>
      <c r="O16" s="339"/>
      <c r="P16" s="339"/>
      <c r="Q16" s="339"/>
      <c r="R16" s="339">
        <f t="shared" si="0"/>
        <v>315</v>
      </c>
    </row>
    <row r="17" spans="3:20" ht="15.75" customHeight="1" thickBot="1" x14ac:dyDescent="0.35">
      <c r="C17">
        <v>4</v>
      </c>
      <c r="D17" s="819"/>
      <c r="E17" s="129" t="s">
        <v>253</v>
      </c>
      <c r="F17" s="341">
        <v>0</v>
      </c>
      <c r="G17" s="341">
        <v>0</v>
      </c>
      <c r="H17" s="341">
        <v>0</v>
      </c>
      <c r="I17" s="341">
        <v>0</v>
      </c>
      <c r="J17" s="341">
        <v>0</v>
      </c>
      <c r="K17" s="341">
        <v>0</v>
      </c>
      <c r="L17" s="341">
        <v>0</v>
      </c>
      <c r="M17" s="341"/>
      <c r="N17" s="341"/>
      <c r="O17" s="341"/>
      <c r="P17" s="341"/>
      <c r="Q17" s="341"/>
      <c r="R17" s="341">
        <f t="shared" si="0"/>
        <v>0</v>
      </c>
      <c r="S17" s="85">
        <f>R17/AG6</f>
        <v>0</v>
      </c>
      <c r="T17" s="85"/>
    </row>
    <row r="18" spans="3:20" ht="16.5" x14ac:dyDescent="0.3">
      <c r="D18" s="817" t="s">
        <v>254</v>
      </c>
      <c r="E18" s="132" t="s">
        <v>255</v>
      </c>
      <c r="F18" s="340">
        <v>0</v>
      </c>
      <c r="G18" s="340">
        <v>0</v>
      </c>
      <c r="H18" s="340">
        <v>0</v>
      </c>
      <c r="I18" s="340">
        <v>0</v>
      </c>
      <c r="J18" s="340">
        <v>0</v>
      </c>
      <c r="K18" s="340">
        <v>0</v>
      </c>
      <c r="L18" s="340">
        <v>0</v>
      </c>
      <c r="M18" s="340"/>
      <c r="N18" s="340"/>
      <c r="O18" s="339"/>
      <c r="P18" s="342"/>
      <c r="Q18" s="342"/>
      <c r="R18" s="340">
        <f t="shared" si="0"/>
        <v>0</v>
      </c>
    </row>
    <row r="19" spans="3:20" ht="16.5" x14ac:dyDescent="0.3">
      <c r="D19" s="818"/>
      <c r="E19" s="128" t="s">
        <v>256</v>
      </c>
      <c r="F19" s="343">
        <v>1</v>
      </c>
      <c r="G19" s="343">
        <v>0</v>
      </c>
      <c r="H19" s="343">
        <v>0</v>
      </c>
      <c r="I19" s="343">
        <v>0</v>
      </c>
      <c r="J19" s="343">
        <v>0</v>
      </c>
      <c r="K19" s="343">
        <v>0</v>
      </c>
      <c r="L19" s="343">
        <v>0</v>
      </c>
      <c r="M19" s="343"/>
      <c r="N19" s="343"/>
      <c r="O19" s="340"/>
      <c r="P19" s="343"/>
      <c r="Q19" s="343"/>
      <c r="R19" s="343">
        <f t="shared" si="0"/>
        <v>1</v>
      </c>
    </row>
    <row r="20" spans="3:20" ht="16.5" x14ac:dyDescent="0.3">
      <c r="C20">
        <v>5</v>
      </c>
      <c r="D20" s="818"/>
      <c r="E20" s="128" t="s">
        <v>257</v>
      </c>
      <c r="F20" s="340">
        <v>0</v>
      </c>
      <c r="G20" s="340">
        <v>0</v>
      </c>
      <c r="H20" s="340">
        <v>0</v>
      </c>
      <c r="I20" s="340">
        <v>0</v>
      </c>
      <c r="J20" s="340">
        <v>0</v>
      </c>
      <c r="K20" s="340">
        <v>0</v>
      </c>
      <c r="L20" s="340">
        <v>0</v>
      </c>
      <c r="M20" s="340"/>
      <c r="N20" s="340"/>
      <c r="O20" s="340"/>
      <c r="P20" s="340"/>
      <c r="Q20" s="340"/>
      <c r="R20" s="340">
        <f t="shared" si="0"/>
        <v>0</v>
      </c>
    </row>
    <row r="21" spans="3:20" ht="16.5" x14ac:dyDescent="0.3">
      <c r="D21" s="818"/>
      <c r="E21" s="128" t="s">
        <v>258</v>
      </c>
      <c r="F21" s="340">
        <v>0</v>
      </c>
      <c r="G21" s="340">
        <v>0</v>
      </c>
      <c r="H21" s="340">
        <v>0</v>
      </c>
      <c r="I21" s="340">
        <v>0</v>
      </c>
      <c r="J21" s="340">
        <v>0</v>
      </c>
      <c r="K21" s="340">
        <v>0</v>
      </c>
      <c r="L21" s="340">
        <v>0</v>
      </c>
      <c r="M21" s="340"/>
      <c r="N21" s="340"/>
      <c r="O21" s="340"/>
      <c r="P21" s="340"/>
      <c r="Q21" s="340"/>
      <c r="R21" s="340">
        <f t="shared" si="0"/>
        <v>0</v>
      </c>
    </row>
    <row r="22" spans="3:20" ht="16.5" x14ac:dyDescent="0.3">
      <c r="D22" s="818"/>
      <c r="E22" s="128" t="s">
        <v>259</v>
      </c>
      <c r="F22" s="340">
        <v>0</v>
      </c>
      <c r="G22" s="340">
        <v>0</v>
      </c>
      <c r="H22" s="340">
        <v>0</v>
      </c>
      <c r="I22" s="340">
        <v>0</v>
      </c>
      <c r="J22" s="340">
        <v>0</v>
      </c>
      <c r="K22" s="340">
        <v>0</v>
      </c>
      <c r="L22" s="340">
        <v>0</v>
      </c>
      <c r="M22" s="340"/>
      <c r="N22" s="340"/>
      <c r="O22" s="340"/>
      <c r="P22" s="340"/>
      <c r="Q22" s="340"/>
      <c r="R22" s="340">
        <f t="shared" si="0"/>
        <v>0</v>
      </c>
    </row>
    <row r="23" spans="3:20" ht="16.5" x14ac:dyDescent="0.3">
      <c r="D23" s="818"/>
      <c r="E23" s="128" t="s">
        <v>260</v>
      </c>
      <c r="F23" s="340">
        <v>67</v>
      </c>
      <c r="G23" s="340">
        <v>42</v>
      </c>
      <c r="H23" s="340">
        <v>76</v>
      </c>
      <c r="I23" s="340">
        <v>44</v>
      </c>
      <c r="J23" s="340">
        <v>24</v>
      </c>
      <c r="K23" s="340">
        <v>30</v>
      </c>
      <c r="L23" s="340">
        <v>31</v>
      </c>
      <c r="M23" s="340"/>
      <c r="N23" s="340"/>
      <c r="O23" s="340"/>
      <c r="P23" s="340"/>
      <c r="Q23" s="340"/>
      <c r="R23" s="340">
        <f t="shared" si="0"/>
        <v>314</v>
      </c>
      <c r="S23" s="85">
        <f>R19/AG6</f>
        <v>3.5087719298245615E-3</v>
      </c>
      <c r="T23" s="85"/>
    </row>
    <row r="24" spans="3:20" ht="17.25" thickBot="1" x14ac:dyDescent="0.35">
      <c r="D24" s="819"/>
      <c r="E24" s="129" t="s">
        <v>261</v>
      </c>
      <c r="F24" s="341">
        <v>0</v>
      </c>
      <c r="G24" s="341">
        <v>0</v>
      </c>
      <c r="H24" s="341">
        <v>0</v>
      </c>
      <c r="I24" s="341">
        <v>0</v>
      </c>
      <c r="J24" s="341">
        <v>0</v>
      </c>
      <c r="K24" s="341">
        <v>0</v>
      </c>
      <c r="L24" s="341">
        <v>0</v>
      </c>
      <c r="M24" s="341"/>
      <c r="N24" s="341"/>
      <c r="O24" s="341"/>
      <c r="P24" s="341"/>
      <c r="Q24" s="341"/>
      <c r="R24" s="341">
        <f t="shared" si="0"/>
        <v>0</v>
      </c>
    </row>
    <row r="25" spans="3:20" ht="16.5" x14ac:dyDescent="0.3">
      <c r="D25" s="817" t="s">
        <v>262</v>
      </c>
      <c r="E25" s="132" t="s">
        <v>263</v>
      </c>
      <c r="F25" s="339">
        <v>13</v>
      </c>
      <c r="G25" s="339">
        <v>12</v>
      </c>
      <c r="H25" s="339">
        <v>17</v>
      </c>
      <c r="I25" s="339">
        <v>17</v>
      </c>
      <c r="J25" s="339">
        <v>9</v>
      </c>
      <c r="K25" s="339">
        <v>17</v>
      </c>
      <c r="L25" s="339">
        <v>22</v>
      </c>
      <c r="M25" s="339"/>
      <c r="N25" s="339"/>
      <c r="O25" s="339"/>
      <c r="P25" s="339"/>
      <c r="Q25" s="339"/>
      <c r="R25" s="339">
        <f t="shared" si="0"/>
        <v>107</v>
      </c>
    </row>
    <row r="26" spans="3:20" ht="16.5" x14ac:dyDescent="0.3">
      <c r="C26">
        <v>6</v>
      </c>
      <c r="D26" s="818"/>
      <c r="E26" s="128" t="s">
        <v>264</v>
      </c>
      <c r="F26" s="340">
        <v>55</v>
      </c>
      <c r="G26" s="340">
        <v>27</v>
      </c>
      <c r="H26" s="340">
        <v>58</v>
      </c>
      <c r="I26" s="340">
        <v>23</v>
      </c>
      <c r="J26" s="340">
        <v>15</v>
      </c>
      <c r="K26" s="340">
        <v>13</v>
      </c>
      <c r="L26" s="340">
        <v>9</v>
      </c>
      <c r="M26" s="340"/>
      <c r="N26" s="340"/>
      <c r="O26" s="340"/>
      <c r="P26" s="340"/>
      <c r="Q26" s="340"/>
      <c r="R26" s="340">
        <f t="shared" si="0"/>
        <v>200</v>
      </c>
      <c r="S26" s="85">
        <f>R27/AG6</f>
        <v>2.8070175438596492E-2</v>
      </c>
      <c r="T26" s="85"/>
    </row>
    <row r="27" spans="3:20" ht="17.25" thickBot="1" x14ac:dyDescent="0.35">
      <c r="D27" s="819"/>
      <c r="E27" s="129" t="s">
        <v>265</v>
      </c>
      <c r="F27" s="341">
        <v>0</v>
      </c>
      <c r="G27" s="341">
        <v>3</v>
      </c>
      <c r="H27" s="341">
        <v>1</v>
      </c>
      <c r="I27" s="341">
        <v>4</v>
      </c>
      <c r="J27" s="341">
        <v>0</v>
      </c>
      <c r="K27" s="341">
        <v>0</v>
      </c>
      <c r="L27" s="341"/>
      <c r="M27" s="341"/>
      <c r="N27" s="341"/>
      <c r="O27" s="341"/>
      <c r="P27" s="341"/>
      <c r="Q27" s="341"/>
      <c r="R27" s="341">
        <f t="shared" si="0"/>
        <v>8</v>
      </c>
    </row>
    <row r="28" spans="3:20" ht="16.5" x14ac:dyDescent="0.3">
      <c r="D28" s="817" t="s">
        <v>266</v>
      </c>
      <c r="E28" s="132" t="s">
        <v>263</v>
      </c>
      <c r="F28" s="339">
        <v>14</v>
      </c>
      <c r="G28" s="339">
        <v>13</v>
      </c>
      <c r="H28" s="339">
        <v>15</v>
      </c>
      <c r="I28" s="339">
        <v>19</v>
      </c>
      <c r="J28" s="339">
        <v>8</v>
      </c>
      <c r="K28" s="339">
        <v>14</v>
      </c>
      <c r="L28" s="339">
        <v>12</v>
      </c>
      <c r="M28" s="339"/>
      <c r="N28" s="339"/>
      <c r="O28" s="339"/>
      <c r="P28" s="339"/>
      <c r="Q28" s="339"/>
      <c r="R28" s="339">
        <f t="shared" si="0"/>
        <v>95</v>
      </c>
    </row>
    <row r="29" spans="3:20" ht="16.5" x14ac:dyDescent="0.3">
      <c r="C29">
        <v>7</v>
      </c>
      <c r="D29" s="818"/>
      <c r="E29" s="128" t="s">
        <v>264</v>
      </c>
      <c r="F29" s="340">
        <v>51</v>
      </c>
      <c r="G29" s="340">
        <v>24</v>
      </c>
      <c r="H29" s="340">
        <v>55</v>
      </c>
      <c r="I29" s="340">
        <v>23</v>
      </c>
      <c r="J29" s="340">
        <v>15</v>
      </c>
      <c r="K29" s="340">
        <v>14</v>
      </c>
      <c r="L29" s="340">
        <v>19</v>
      </c>
      <c r="M29" s="340"/>
      <c r="N29" s="340"/>
      <c r="O29" s="340"/>
      <c r="P29" s="340"/>
      <c r="Q29" s="340"/>
      <c r="R29" s="340">
        <f t="shared" si="0"/>
        <v>201</v>
      </c>
    </row>
    <row r="30" spans="3:20" ht="16.5" x14ac:dyDescent="0.3">
      <c r="D30" s="818"/>
      <c r="E30" s="128" t="s">
        <v>265</v>
      </c>
      <c r="F30" s="340">
        <v>3</v>
      </c>
      <c r="G30" s="340">
        <v>5</v>
      </c>
      <c r="H30" s="340">
        <v>6</v>
      </c>
      <c r="I30" s="340">
        <v>2</v>
      </c>
      <c r="J30" s="340">
        <v>1</v>
      </c>
      <c r="K30" s="340">
        <v>2</v>
      </c>
      <c r="L30" s="340">
        <v>0</v>
      </c>
      <c r="M30" s="340"/>
      <c r="N30" s="340"/>
      <c r="O30" s="340"/>
      <c r="P30" s="340"/>
      <c r="Q30" s="340"/>
      <c r="R30" s="340">
        <f t="shared" si="0"/>
        <v>19</v>
      </c>
      <c r="S30" s="85">
        <f>R30/AG6</f>
        <v>6.6666666666666666E-2</v>
      </c>
      <c r="T30" s="85"/>
    </row>
    <row r="31" spans="3:20" ht="17.25" thickBot="1" x14ac:dyDescent="0.35">
      <c r="D31" s="819"/>
      <c r="E31" s="129" t="s">
        <v>267</v>
      </c>
      <c r="F31" s="341">
        <v>0</v>
      </c>
      <c r="G31" s="341">
        <v>0</v>
      </c>
      <c r="H31" s="341">
        <v>0</v>
      </c>
      <c r="I31" s="341">
        <v>0</v>
      </c>
      <c r="J31" s="341">
        <v>0</v>
      </c>
      <c r="K31" s="341">
        <v>0</v>
      </c>
      <c r="L31" s="341">
        <v>0</v>
      </c>
      <c r="M31" s="341"/>
      <c r="N31" s="341"/>
      <c r="O31" s="341"/>
      <c r="P31" s="341"/>
      <c r="Q31" s="341"/>
      <c r="R31" s="341">
        <f t="shared" si="0"/>
        <v>0</v>
      </c>
    </row>
    <row r="32" spans="3:20" ht="16.5" x14ac:dyDescent="0.3">
      <c r="C32">
        <v>8</v>
      </c>
      <c r="D32" s="817" t="s">
        <v>268</v>
      </c>
      <c r="E32" s="132" t="s">
        <v>252</v>
      </c>
      <c r="F32" s="339">
        <v>61</v>
      </c>
      <c r="G32" s="339">
        <v>42</v>
      </c>
      <c r="H32" s="339">
        <v>69</v>
      </c>
      <c r="I32" s="339">
        <v>44</v>
      </c>
      <c r="J32" s="339">
        <v>20</v>
      </c>
      <c r="K32" s="339">
        <v>30</v>
      </c>
      <c r="L32" s="339">
        <v>31</v>
      </c>
      <c r="M32" s="339"/>
      <c r="N32" s="339"/>
      <c r="O32" s="339"/>
      <c r="P32" s="339"/>
      <c r="Q32" s="339"/>
      <c r="R32" s="339">
        <f t="shared" si="0"/>
        <v>297</v>
      </c>
    </row>
    <row r="33" spans="3:20" ht="17.25" thickBot="1" x14ac:dyDescent="0.35">
      <c r="D33" s="824"/>
      <c r="E33" s="129" t="s">
        <v>253</v>
      </c>
      <c r="F33" s="341">
        <v>7</v>
      </c>
      <c r="G33" s="341">
        <v>0</v>
      </c>
      <c r="H33" s="341">
        <v>7</v>
      </c>
      <c r="I33" s="341">
        <v>0</v>
      </c>
      <c r="J33" s="341">
        <v>4</v>
      </c>
      <c r="K33" s="341">
        <v>0</v>
      </c>
      <c r="L33" s="341">
        <v>0</v>
      </c>
      <c r="M33" s="341"/>
      <c r="N33" s="341"/>
      <c r="O33" s="341"/>
      <c r="P33" s="341"/>
      <c r="Q33" s="341"/>
      <c r="R33" s="341">
        <f t="shared" si="0"/>
        <v>18</v>
      </c>
      <c r="S33" s="85">
        <f>R33/AG6</f>
        <v>6.3157894736842107E-2</v>
      </c>
      <c r="T33" s="85"/>
    </row>
    <row r="34" spans="3:20" ht="16.5" x14ac:dyDescent="0.3">
      <c r="D34" s="817" t="s">
        <v>269</v>
      </c>
      <c r="E34" s="132" t="s">
        <v>263</v>
      </c>
      <c r="F34" s="339">
        <v>4</v>
      </c>
      <c r="G34" s="339">
        <v>2</v>
      </c>
      <c r="H34" s="339">
        <v>8</v>
      </c>
      <c r="I34" s="339">
        <v>4</v>
      </c>
      <c r="J34" s="339">
        <v>5</v>
      </c>
      <c r="K34" s="339">
        <v>3</v>
      </c>
      <c r="L34" s="339">
        <v>0</v>
      </c>
      <c r="M34" s="339"/>
      <c r="N34" s="339"/>
      <c r="O34" s="339"/>
      <c r="P34" s="339"/>
      <c r="Q34" s="339"/>
      <c r="R34" s="339">
        <f t="shared" si="0"/>
        <v>26</v>
      </c>
    </row>
    <row r="35" spans="3:20" ht="16.5" x14ac:dyDescent="0.3">
      <c r="C35">
        <v>9</v>
      </c>
      <c r="D35" s="823"/>
      <c r="E35" s="128" t="s">
        <v>264</v>
      </c>
      <c r="F35" s="340">
        <v>55</v>
      </c>
      <c r="G35" s="340">
        <v>24</v>
      </c>
      <c r="H35" s="340">
        <v>50</v>
      </c>
      <c r="I35" s="340">
        <v>21</v>
      </c>
      <c r="J35" s="340">
        <v>16</v>
      </c>
      <c r="K35" s="340">
        <v>14</v>
      </c>
      <c r="L35" s="340">
        <v>14</v>
      </c>
      <c r="M35" s="340"/>
      <c r="N35" s="340"/>
      <c r="O35" s="340"/>
      <c r="P35" s="340"/>
      <c r="Q35" s="340"/>
      <c r="R35" s="340">
        <f t="shared" si="0"/>
        <v>194</v>
      </c>
    </row>
    <row r="36" spans="3:20" ht="17.25" thickBot="1" x14ac:dyDescent="0.35">
      <c r="D36" s="824"/>
      <c r="E36" s="129" t="s">
        <v>265</v>
      </c>
      <c r="F36" s="341">
        <v>9</v>
      </c>
      <c r="G36" s="341">
        <v>16</v>
      </c>
      <c r="H36" s="341">
        <v>18</v>
      </c>
      <c r="I36" s="341">
        <v>19</v>
      </c>
      <c r="J36" s="341">
        <v>3</v>
      </c>
      <c r="K36" s="341">
        <v>13</v>
      </c>
      <c r="L36" s="341">
        <v>17</v>
      </c>
      <c r="M36" s="341"/>
      <c r="N36" s="341"/>
      <c r="O36" s="341"/>
      <c r="P36" s="341"/>
      <c r="Q36" s="341"/>
      <c r="R36" s="341">
        <f t="shared" si="0"/>
        <v>95</v>
      </c>
      <c r="S36" s="85">
        <f>R36/AG6</f>
        <v>0.33333333333333331</v>
      </c>
      <c r="T36" s="85"/>
    </row>
    <row r="37" spans="3:20" ht="16.5" x14ac:dyDescent="0.3">
      <c r="D37" s="817" t="s">
        <v>270</v>
      </c>
      <c r="E37" s="132" t="s">
        <v>263</v>
      </c>
      <c r="F37" s="339">
        <v>5</v>
      </c>
      <c r="G37" s="339">
        <v>2</v>
      </c>
      <c r="H37" s="339">
        <v>6</v>
      </c>
      <c r="I37" s="339">
        <v>5</v>
      </c>
      <c r="J37" s="339">
        <v>8</v>
      </c>
      <c r="K37" s="339">
        <v>3</v>
      </c>
      <c r="L37" s="339">
        <v>6</v>
      </c>
      <c r="M37" s="339"/>
      <c r="N37" s="339"/>
      <c r="O37" s="339"/>
      <c r="P37" s="339"/>
      <c r="Q37" s="339"/>
      <c r="R37" s="339">
        <f t="shared" si="0"/>
        <v>35</v>
      </c>
    </row>
    <row r="38" spans="3:20" ht="16.5" x14ac:dyDescent="0.3">
      <c r="C38">
        <v>10</v>
      </c>
      <c r="D38" s="823"/>
      <c r="E38" s="128" t="s">
        <v>264</v>
      </c>
      <c r="F38" s="340">
        <v>55</v>
      </c>
      <c r="G38" s="340">
        <v>31</v>
      </c>
      <c r="H38" s="340">
        <v>61</v>
      </c>
      <c r="I38" s="340">
        <v>31</v>
      </c>
      <c r="J38" s="340">
        <v>15</v>
      </c>
      <c r="K38" s="340">
        <v>21</v>
      </c>
      <c r="L38" s="340">
        <v>21</v>
      </c>
      <c r="M38" s="340"/>
      <c r="N38" s="340"/>
      <c r="O38" s="340"/>
      <c r="P38" s="340"/>
      <c r="Q38" s="340"/>
      <c r="R38" s="340">
        <f t="shared" si="0"/>
        <v>235</v>
      </c>
    </row>
    <row r="39" spans="3:20" ht="16.5" x14ac:dyDescent="0.3">
      <c r="D39" s="823"/>
      <c r="E39" s="128" t="s">
        <v>265</v>
      </c>
      <c r="F39" s="340">
        <v>8</v>
      </c>
      <c r="G39" s="340">
        <v>9</v>
      </c>
      <c r="H39" s="340">
        <v>9</v>
      </c>
      <c r="I39" s="340">
        <v>8</v>
      </c>
      <c r="J39" s="340">
        <v>1</v>
      </c>
      <c r="K39" s="340">
        <v>6</v>
      </c>
      <c r="L39" s="340">
        <v>6</v>
      </c>
      <c r="M39" s="340"/>
      <c r="N39" s="340"/>
      <c r="O39" s="340"/>
      <c r="P39" s="340"/>
      <c r="Q39" s="340"/>
      <c r="R39" s="340">
        <f t="shared" si="0"/>
        <v>47</v>
      </c>
    </row>
    <row r="40" spans="3:20" ht="17.25" thickBot="1" x14ac:dyDescent="0.35">
      <c r="D40" s="824"/>
      <c r="E40" s="129" t="s">
        <v>271</v>
      </c>
      <c r="F40" s="341">
        <v>0</v>
      </c>
      <c r="G40" s="341">
        <v>0</v>
      </c>
      <c r="H40" s="341">
        <v>0</v>
      </c>
      <c r="I40" s="341">
        <v>0</v>
      </c>
      <c r="J40" s="341">
        <v>0</v>
      </c>
      <c r="K40" s="341">
        <v>0</v>
      </c>
      <c r="L40" s="341">
        <v>0</v>
      </c>
      <c r="M40" s="341"/>
      <c r="N40" s="341"/>
      <c r="O40" s="341"/>
      <c r="P40" s="341"/>
      <c r="Q40" s="341"/>
      <c r="R40" s="341">
        <f t="shared" si="0"/>
        <v>0</v>
      </c>
      <c r="S40" s="85">
        <f>R39/AG6</f>
        <v>0.1649122807017544</v>
      </c>
      <c r="T40" s="85"/>
    </row>
    <row r="41" spans="3:20" ht="16.5" x14ac:dyDescent="0.3">
      <c r="D41" s="817" t="s">
        <v>272</v>
      </c>
      <c r="E41" s="132" t="s">
        <v>263</v>
      </c>
      <c r="F41" s="339">
        <v>4</v>
      </c>
      <c r="G41" s="334">
        <v>5</v>
      </c>
      <c r="H41" s="339">
        <v>6</v>
      </c>
      <c r="I41" s="339">
        <v>3</v>
      </c>
      <c r="J41" s="339">
        <v>1</v>
      </c>
      <c r="K41" s="339">
        <v>1</v>
      </c>
      <c r="L41" s="339">
        <v>4</v>
      </c>
      <c r="M41" s="339"/>
      <c r="N41" s="339"/>
      <c r="O41" s="339"/>
      <c r="P41" s="339"/>
      <c r="Q41" s="339"/>
      <c r="R41" s="339">
        <f t="shared" si="0"/>
        <v>24</v>
      </c>
    </row>
    <row r="42" spans="3:20" ht="16.5" x14ac:dyDescent="0.3">
      <c r="C42">
        <v>11</v>
      </c>
      <c r="D42" s="823"/>
      <c r="E42" s="128" t="s">
        <v>264</v>
      </c>
      <c r="F42" s="340">
        <v>64</v>
      </c>
      <c r="G42" s="335">
        <v>17</v>
      </c>
      <c r="H42" s="340">
        <v>51</v>
      </c>
      <c r="I42" s="340">
        <v>31</v>
      </c>
      <c r="J42" s="340">
        <v>19</v>
      </c>
      <c r="K42" s="340">
        <v>15</v>
      </c>
      <c r="L42" s="340">
        <v>21</v>
      </c>
      <c r="M42" s="340"/>
      <c r="N42" s="340"/>
      <c r="O42" s="340"/>
      <c r="P42" s="340"/>
      <c r="Q42" s="340"/>
      <c r="R42" s="340">
        <f t="shared" si="0"/>
        <v>218</v>
      </c>
    </row>
    <row r="43" spans="3:20" ht="16.5" x14ac:dyDescent="0.3">
      <c r="D43" s="823"/>
      <c r="E43" s="128" t="s">
        <v>265</v>
      </c>
      <c r="F43" s="340">
        <v>0</v>
      </c>
      <c r="G43" s="335">
        <v>20</v>
      </c>
      <c r="H43" s="340">
        <v>19</v>
      </c>
      <c r="I43" s="340">
        <v>10</v>
      </c>
      <c r="J43" s="340">
        <v>4</v>
      </c>
      <c r="K43" s="340">
        <v>14</v>
      </c>
      <c r="L43" s="340">
        <v>6</v>
      </c>
      <c r="M43" s="340"/>
      <c r="N43" s="343"/>
      <c r="O43" s="343"/>
      <c r="P43" s="343"/>
      <c r="Q43" s="343"/>
      <c r="R43" s="340">
        <f t="shared" si="0"/>
        <v>73</v>
      </c>
    </row>
    <row r="44" spans="3:20" ht="17.25" thickBot="1" x14ac:dyDescent="0.35">
      <c r="D44" s="824"/>
      <c r="E44" s="129" t="s">
        <v>271</v>
      </c>
      <c r="F44" s="341">
        <v>0</v>
      </c>
      <c r="G44" s="336">
        <v>0</v>
      </c>
      <c r="H44" s="341">
        <v>0</v>
      </c>
      <c r="I44" s="341">
        <v>0</v>
      </c>
      <c r="J44" s="341">
        <v>0</v>
      </c>
      <c r="K44" s="341">
        <v>0</v>
      </c>
      <c r="L44" s="341">
        <v>0</v>
      </c>
      <c r="M44" s="341"/>
      <c r="N44" s="341"/>
      <c r="O44" s="341"/>
      <c r="P44" s="341"/>
      <c r="Q44" s="341"/>
      <c r="R44" s="341">
        <f t="shared" si="0"/>
        <v>0</v>
      </c>
      <c r="S44" s="85">
        <f>R44/AG6</f>
        <v>0</v>
      </c>
      <c r="T44" s="85"/>
    </row>
    <row r="45" spans="3:20" ht="16.5" x14ac:dyDescent="0.3">
      <c r="D45" s="817" t="s">
        <v>273</v>
      </c>
      <c r="E45" s="132" t="s">
        <v>263</v>
      </c>
      <c r="F45" s="339">
        <v>1</v>
      </c>
      <c r="G45" s="339">
        <v>1</v>
      </c>
      <c r="H45" s="339">
        <v>5</v>
      </c>
      <c r="I45" s="339">
        <v>7</v>
      </c>
      <c r="J45" s="339">
        <v>1</v>
      </c>
      <c r="K45" s="340">
        <v>2</v>
      </c>
      <c r="L45" s="342">
        <v>4</v>
      </c>
      <c r="M45" s="342"/>
      <c r="N45" s="342"/>
      <c r="O45" s="342"/>
      <c r="P45" s="342"/>
      <c r="Q45" s="342"/>
      <c r="R45" s="339">
        <f t="shared" si="0"/>
        <v>21</v>
      </c>
    </row>
    <row r="46" spans="3:20" ht="16.5" x14ac:dyDescent="0.3">
      <c r="C46">
        <v>12</v>
      </c>
      <c r="D46" s="823"/>
      <c r="E46" s="128" t="s">
        <v>264</v>
      </c>
      <c r="F46" s="340">
        <v>53</v>
      </c>
      <c r="G46" s="340">
        <v>26</v>
      </c>
      <c r="H46" s="340">
        <v>59</v>
      </c>
      <c r="I46" s="340">
        <v>23</v>
      </c>
      <c r="J46" s="340">
        <v>23</v>
      </c>
      <c r="K46" s="343">
        <v>19</v>
      </c>
      <c r="L46" s="343">
        <v>13</v>
      </c>
      <c r="M46" s="343"/>
      <c r="N46" s="343"/>
      <c r="O46" s="342"/>
      <c r="P46" s="343"/>
      <c r="Q46" s="343"/>
      <c r="R46" s="340">
        <f t="shared" si="0"/>
        <v>216</v>
      </c>
    </row>
    <row r="47" spans="3:20" ht="17.25" thickBot="1" x14ac:dyDescent="0.35">
      <c r="D47" s="824"/>
      <c r="E47" s="129" t="s">
        <v>265</v>
      </c>
      <c r="F47" s="341">
        <v>14</v>
      </c>
      <c r="G47" s="341">
        <v>15</v>
      </c>
      <c r="H47" s="341">
        <v>12</v>
      </c>
      <c r="I47" s="341">
        <v>14</v>
      </c>
      <c r="J47" s="341">
        <v>0</v>
      </c>
      <c r="K47" s="341">
        <v>9</v>
      </c>
      <c r="L47" s="341">
        <v>11</v>
      </c>
      <c r="M47" s="341"/>
      <c r="N47" s="341"/>
      <c r="O47" s="341"/>
      <c r="P47" s="341"/>
      <c r="Q47" s="341"/>
      <c r="R47" s="341">
        <f t="shared" si="0"/>
        <v>75</v>
      </c>
      <c r="S47" s="85">
        <f>R47/AG6</f>
        <v>0.26315789473684209</v>
      </c>
      <c r="T47" s="85"/>
    </row>
    <row r="48" spans="3:20" ht="18" customHeight="1" x14ac:dyDescent="0.3">
      <c r="D48" s="828" t="s">
        <v>274</v>
      </c>
      <c r="E48" s="138" t="s">
        <v>263</v>
      </c>
      <c r="F48" s="335">
        <v>0</v>
      </c>
      <c r="G48" s="344">
        <v>0</v>
      </c>
      <c r="H48" s="344">
        <v>0</v>
      </c>
      <c r="I48" s="344">
        <v>0</v>
      </c>
      <c r="J48" s="344">
        <v>11</v>
      </c>
      <c r="K48" s="344">
        <v>0</v>
      </c>
      <c r="L48" s="344">
        <v>0</v>
      </c>
      <c r="M48" s="344"/>
      <c r="N48" s="344"/>
      <c r="O48" s="344"/>
      <c r="P48" s="344"/>
      <c r="Q48" s="344"/>
      <c r="R48" s="344">
        <f t="shared" si="0"/>
        <v>11</v>
      </c>
    </row>
    <row r="49" spans="3:20" ht="16.5" customHeight="1" x14ac:dyDescent="0.3">
      <c r="C49">
        <v>13</v>
      </c>
      <c r="D49" s="829"/>
      <c r="E49" s="139" t="s">
        <v>264</v>
      </c>
      <c r="F49" s="345">
        <v>27</v>
      </c>
      <c r="G49" s="335">
        <v>0</v>
      </c>
      <c r="H49" s="335">
        <v>26</v>
      </c>
      <c r="I49" s="335">
        <v>0</v>
      </c>
      <c r="J49" s="335">
        <v>11</v>
      </c>
      <c r="K49" s="335">
        <v>0</v>
      </c>
      <c r="L49" s="335">
        <v>0</v>
      </c>
      <c r="M49" s="335"/>
      <c r="N49" s="335"/>
      <c r="O49" s="335"/>
      <c r="P49" s="335"/>
      <c r="Q49" s="335"/>
      <c r="R49" s="335">
        <f t="shared" si="0"/>
        <v>64</v>
      </c>
    </row>
    <row r="50" spans="3:20" ht="16.5" x14ac:dyDescent="0.3">
      <c r="D50" s="830"/>
      <c r="E50" s="141" t="s">
        <v>26</v>
      </c>
      <c r="F50" s="335">
        <v>41</v>
      </c>
      <c r="G50" s="335">
        <v>42</v>
      </c>
      <c r="H50" s="335">
        <v>50</v>
      </c>
      <c r="I50" s="335">
        <v>44</v>
      </c>
      <c r="J50" s="335">
        <v>12</v>
      </c>
      <c r="K50" s="335">
        <v>30</v>
      </c>
      <c r="L50" s="335">
        <v>31</v>
      </c>
      <c r="M50" s="335"/>
      <c r="N50" s="335"/>
      <c r="O50" s="335"/>
      <c r="P50" s="335"/>
      <c r="Q50" s="335"/>
      <c r="R50" s="335">
        <f t="shared" si="0"/>
        <v>250</v>
      </c>
      <c r="S50" s="142">
        <f>R48/AG6</f>
        <v>3.8596491228070177E-2</v>
      </c>
      <c r="T50" s="142"/>
    </row>
    <row r="51" spans="3:20" ht="17.25" thickBot="1" x14ac:dyDescent="0.35">
      <c r="D51" s="831"/>
      <c r="E51" s="143" t="s">
        <v>275</v>
      </c>
      <c r="F51" s="336">
        <v>0</v>
      </c>
      <c r="G51" s="336">
        <v>0</v>
      </c>
      <c r="H51" s="336">
        <v>0</v>
      </c>
      <c r="I51" s="336">
        <v>0</v>
      </c>
      <c r="J51" s="336">
        <v>0</v>
      </c>
      <c r="K51" s="336">
        <v>0</v>
      </c>
      <c r="L51" s="345">
        <v>0</v>
      </c>
      <c r="M51" s="336"/>
      <c r="N51" s="336"/>
      <c r="O51" s="336"/>
      <c r="P51" s="336"/>
      <c r="Q51" s="336"/>
      <c r="R51" s="336">
        <f t="shared" si="0"/>
        <v>0</v>
      </c>
    </row>
    <row r="52" spans="3:20" ht="16.5" x14ac:dyDescent="0.3">
      <c r="D52" s="817" t="s">
        <v>276</v>
      </c>
      <c r="E52" s="132" t="s">
        <v>277</v>
      </c>
      <c r="F52" s="339">
        <v>0</v>
      </c>
      <c r="G52" s="339">
        <v>0</v>
      </c>
      <c r="H52" s="339">
        <v>0</v>
      </c>
      <c r="I52" s="339">
        <v>0</v>
      </c>
      <c r="J52" s="339">
        <v>0</v>
      </c>
      <c r="K52" s="339">
        <v>0</v>
      </c>
      <c r="L52" s="339">
        <v>0</v>
      </c>
      <c r="M52" s="339"/>
      <c r="N52" s="339"/>
      <c r="O52" s="339"/>
      <c r="P52" s="339"/>
      <c r="Q52" s="339"/>
      <c r="R52" s="339">
        <f t="shared" si="0"/>
        <v>0</v>
      </c>
    </row>
    <row r="53" spans="3:20" ht="16.5" x14ac:dyDescent="0.3">
      <c r="D53" s="823"/>
      <c r="E53" s="128" t="s">
        <v>278</v>
      </c>
      <c r="F53" s="340">
        <v>0</v>
      </c>
      <c r="G53" s="340">
        <v>0</v>
      </c>
      <c r="H53" s="340">
        <v>0</v>
      </c>
      <c r="I53" s="340">
        <v>0</v>
      </c>
      <c r="J53" s="340">
        <v>0</v>
      </c>
      <c r="K53" s="340">
        <v>0</v>
      </c>
      <c r="L53" s="340">
        <v>0</v>
      </c>
      <c r="M53" s="340"/>
      <c r="N53" s="340"/>
      <c r="O53" s="340"/>
      <c r="P53" s="340"/>
      <c r="Q53" s="340"/>
      <c r="R53" s="340">
        <f t="shared" si="0"/>
        <v>0</v>
      </c>
    </row>
    <row r="54" spans="3:20" ht="16.5" x14ac:dyDescent="0.3">
      <c r="C54">
        <v>14</v>
      </c>
      <c r="D54" s="823"/>
      <c r="E54" s="128" t="s">
        <v>279</v>
      </c>
      <c r="F54" s="340">
        <v>3</v>
      </c>
      <c r="G54" s="340">
        <v>0</v>
      </c>
      <c r="H54" s="340">
        <v>9</v>
      </c>
      <c r="I54" s="340">
        <v>0</v>
      </c>
      <c r="J54" s="340">
        <v>0</v>
      </c>
      <c r="K54" s="340">
        <v>0</v>
      </c>
      <c r="L54" s="340">
        <v>0</v>
      </c>
      <c r="M54" s="340"/>
      <c r="N54" s="340"/>
      <c r="O54" s="340"/>
      <c r="P54" s="340"/>
      <c r="Q54" s="340"/>
      <c r="R54" s="340">
        <f t="shared" si="0"/>
        <v>12</v>
      </c>
    </row>
    <row r="55" spans="3:20" ht="16.5" x14ac:dyDescent="0.3">
      <c r="D55" s="823"/>
      <c r="E55" s="128" t="s">
        <v>237</v>
      </c>
      <c r="F55" s="340">
        <v>35</v>
      </c>
      <c r="G55" s="340">
        <v>4</v>
      </c>
      <c r="H55" s="340">
        <v>26</v>
      </c>
      <c r="I55" s="340">
        <v>20</v>
      </c>
      <c r="J55" s="340">
        <v>18</v>
      </c>
      <c r="K55" s="340">
        <v>20</v>
      </c>
      <c r="L55" s="340">
        <v>21</v>
      </c>
      <c r="M55" s="340"/>
      <c r="N55" s="340"/>
      <c r="O55" s="340"/>
      <c r="P55" s="340"/>
      <c r="Q55" s="340"/>
      <c r="R55" s="340">
        <f t="shared" si="0"/>
        <v>144</v>
      </c>
      <c r="S55" s="85">
        <f>R55/AG6</f>
        <v>0.50526315789473686</v>
      </c>
      <c r="T55" s="85"/>
    </row>
    <row r="56" spans="3:20" ht="16.5" x14ac:dyDescent="0.3">
      <c r="D56" s="823"/>
      <c r="E56" s="128" t="s">
        <v>239</v>
      </c>
      <c r="F56" s="340">
        <v>0</v>
      </c>
      <c r="G56" s="340">
        <v>0</v>
      </c>
      <c r="H56" s="340">
        <v>0</v>
      </c>
      <c r="I56" s="340">
        <v>0</v>
      </c>
      <c r="J56" s="340">
        <v>0</v>
      </c>
      <c r="K56" s="340">
        <v>0</v>
      </c>
      <c r="L56" s="340">
        <v>1</v>
      </c>
      <c r="M56" s="340"/>
      <c r="N56" s="340"/>
      <c r="O56" s="340"/>
      <c r="P56" s="340"/>
      <c r="Q56" s="340"/>
      <c r="R56" s="340">
        <f t="shared" si="0"/>
        <v>1</v>
      </c>
    </row>
    <row r="57" spans="3:20" ht="17.25" thickBot="1" x14ac:dyDescent="0.35">
      <c r="D57" s="824"/>
      <c r="E57" s="129" t="s">
        <v>238</v>
      </c>
      <c r="F57" s="341">
        <v>30</v>
      </c>
      <c r="G57" s="341">
        <v>38</v>
      </c>
      <c r="H57" s="341">
        <v>41</v>
      </c>
      <c r="I57" s="341">
        <v>24</v>
      </c>
      <c r="J57" s="341">
        <v>6</v>
      </c>
      <c r="K57" s="341">
        <v>10</v>
      </c>
      <c r="L57" s="341">
        <v>9</v>
      </c>
      <c r="M57" s="341"/>
      <c r="N57" s="341"/>
      <c r="O57" s="341"/>
      <c r="P57" s="341"/>
      <c r="Q57" s="341"/>
      <c r="R57" s="341">
        <f t="shared" si="0"/>
        <v>158</v>
      </c>
    </row>
  </sheetData>
  <mergeCells count="15">
    <mergeCell ref="D45:D47"/>
    <mergeCell ref="D48:D51"/>
    <mergeCell ref="D52:D57"/>
    <mergeCell ref="D25:D27"/>
    <mergeCell ref="D28:D31"/>
    <mergeCell ref="D32:D33"/>
    <mergeCell ref="D34:D36"/>
    <mergeCell ref="D37:D40"/>
    <mergeCell ref="D41:D44"/>
    <mergeCell ref="D18:D24"/>
    <mergeCell ref="D4:R4"/>
    <mergeCell ref="D6:D9"/>
    <mergeCell ref="D10:D12"/>
    <mergeCell ref="D13:D15"/>
    <mergeCell ref="D16:D17"/>
  </mergeCells>
  <printOptions verticalCentered="1"/>
  <pageMargins left="0.70866141732283472" right="0.70866141732283472" top="0.74803149606299213" bottom="0.74803149606299213" header="0.31496062992125984" footer="0.31496062992125984"/>
  <pageSetup paperSize="5" scale="30"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AF23-B562-4753-887B-9B51EFC89442}">
  <dimension ref="D2:U56"/>
  <sheetViews>
    <sheetView topLeftCell="A30" workbookViewId="0">
      <selection activeCell="T42" sqref="T42"/>
    </sheetView>
  </sheetViews>
  <sheetFormatPr baseColWidth="10" defaultRowHeight="15" x14ac:dyDescent="0.25"/>
  <cols>
    <col min="4" max="4" width="38.28515625" customWidth="1"/>
    <col min="5" max="5" width="48.5703125" customWidth="1"/>
    <col min="6" max="13" width="8.28515625" hidden="1" customWidth="1"/>
    <col min="14" max="17" width="8.7109375" hidden="1" customWidth="1"/>
    <col min="18" max="18" width="9.28515625" hidden="1" customWidth="1"/>
    <col min="19" max="19" width="9" hidden="1" customWidth="1"/>
  </cols>
  <sheetData>
    <row r="2" spans="4:21" ht="15.75" thickBot="1" x14ac:dyDescent="0.3"/>
    <row r="3" spans="4:21" ht="15" customHeight="1" thickBot="1" x14ac:dyDescent="0.3">
      <c r="D3" s="832" t="s">
        <v>323</v>
      </c>
      <c r="E3" s="833"/>
      <c r="F3" s="833"/>
      <c r="G3" s="833"/>
      <c r="H3" s="833"/>
      <c r="I3" s="833"/>
      <c r="J3" s="833"/>
      <c r="K3" s="833"/>
      <c r="L3" s="833"/>
      <c r="M3" s="833"/>
      <c r="N3" s="833"/>
      <c r="O3" s="833"/>
      <c r="P3" s="833"/>
      <c r="Q3" s="833"/>
      <c r="R3" s="833"/>
      <c r="S3" s="834"/>
    </row>
    <row r="4" spans="4:21" ht="15" customHeight="1" thickBot="1" x14ac:dyDescent="0.3">
      <c r="D4" s="166" t="s">
        <v>240</v>
      </c>
      <c r="E4" s="167" t="s">
        <v>241</v>
      </c>
      <c r="F4" s="200">
        <v>45658</v>
      </c>
      <c r="G4" s="200">
        <v>46023</v>
      </c>
      <c r="H4" s="200">
        <v>45689</v>
      </c>
      <c r="I4" s="200">
        <v>46054</v>
      </c>
      <c r="J4" s="200">
        <v>45717</v>
      </c>
      <c r="K4" s="200">
        <v>46082</v>
      </c>
      <c r="L4" s="200">
        <v>45748</v>
      </c>
      <c r="M4" s="200">
        <v>46113</v>
      </c>
      <c r="N4" s="200">
        <v>45778</v>
      </c>
      <c r="O4" s="200">
        <v>46143</v>
      </c>
      <c r="P4" s="200">
        <v>45809</v>
      </c>
      <c r="Q4" s="200">
        <v>46174</v>
      </c>
      <c r="R4" s="200">
        <v>45839</v>
      </c>
      <c r="S4" s="200">
        <v>46204</v>
      </c>
    </row>
    <row r="5" spans="4:21" ht="15" customHeight="1" x14ac:dyDescent="0.3">
      <c r="D5" s="817" t="s">
        <v>242</v>
      </c>
      <c r="E5" s="124" t="s">
        <v>243</v>
      </c>
      <c r="F5" s="125">
        <v>74</v>
      </c>
      <c r="G5" s="125">
        <v>36</v>
      </c>
      <c r="H5" s="125">
        <v>0</v>
      </c>
      <c r="I5" s="125">
        <v>0</v>
      </c>
      <c r="J5" s="125">
        <v>81</v>
      </c>
      <c r="K5" s="125">
        <v>29</v>
      </c>
      <c r="L5" s="125">
        <v>77</v>
      </c>
      <c r="M5" s="125">
        <v>0</v>
      </c>
      <c r="N5" s="125">
        <v>4</v>
      </c>
      <c r="O5" s="125">
        <v>15</v>
      </c>
      <c r="P5" s="125">
        <v>62</v>
      </c>
      <c r="Q5" s="125">
        <v>0</v>
      </c>
      <c r="R5" s="339">
        <v>44</v>
      </c>
      <c r="S5" s="125">
        <v>0</v>
      </c>
      <c r="T5">
        <f>F5+H5+J5+L5+N5+P5+R5</f>
        <v>342</v>
      </c>
      <c r="U5">
        <f>G5+I5+K5+M5+O5+Q5+S5</f>
        <v>80</v>
      </c>
    </row>
    <row r="6" spans="4:21" ht="15" customHeight="1" x14ac:dyDescent="0.3">
      <c r="D6" s="823"/>
      <c r="E6" s="126" t="s">
        <v>244</v>
      </c>
      <c r="F6" s="127">
        <v>7</v>
      </c>
      <c r="G6" s="127">
        <v>0</v>
      </c>
      <c r="H6" s="127">
        <v>0</v>
      </c>
      <c r="I6" s="127">
        <v>0</v>
      </c>
      <c r="J6" s="127">
        <v>29</v>
      </c>
      <c r="K6" s="127">
        <v>0</v>
      </c>
      <c r="L6" s="127">
        <v>15</v>
      </c>
      <c r="M6" s="127">
        <v>0</v>
      </c>
      <c r="N6" s="127">
        <v>0</v>
      </c>
      <c r="O6" s="127">
        <v>0</v>
      </c>
      <c r="P6" s="127">
        <v>0</v>
      </c>
      <c r="Q6" s="127">
        <v>0</v>
      </c>
      <c r="R6" s="340">
        <v>0</v>
      </c>
      <c r="S6" s="127">
        <v>0</v>
      </c>
      <c r="T6">
        <f t="shared" ref="T6:T56" si="0">F6+H6+J6+L6+N6+P6+R6</f>
        <v>51</v>
      </c>
      <c r="U6">
        <f t="shared" ref="U6:U56" si="1">G6+I6+K6+M6+O6+Q6+S6</f>
        <v>0</v>
      </c>
    </row>
    <row r="7" spans="4:21" ht="15" customHeight="1" x14ac:dyDescent="0.3">
      <c r="D7" s="823"/>
      <c r="E7" s="128" t="s">
        <v>229</v>
      </c>
      <c r="F7" s="127">
        <v>60</v>
      </c>
      <c r="G7" s="127">
        <v>32</v>
      </c>
      <c r="H7" s="127">
        <v>10</v>
      </c>
      <c r="I7" s="127">
        <v>42</v>
      </c>
      <c r="J7" s="127">
        <v>138</v>
      </c>
      <c r="K7" s="127">
        <v>47</v>
      </c>
      <c r="L7" s="127">
        <v>124</v>
      </c>
      <c r="M7" s="127">
        <v>44</v>
      </c>
      <c r="N7" s="127">
        <v>93</v>
      </c>
      <c r="O7" s="127">
        <v>9</v>
      </c>
      <c r="P7" s="127">
        <v>105</v>
      </c>
      <c r="Q7" s="127">
        <v>30</v>
      </c>
      <c r="R7" s="340">
        <v>28</v>
      </c>
      <c r="S7" s="127">
        <v>31</v>
      </c>
      <c r="T7">
        <f t="shared" si="0"/>
        <v>558</v>
      </c>
      <c r="U7">
        <f t="shared" si="1"/>
        <v>235</v>
      </c>
    </row>
    <row r="8" spans="4:21" ht="15" customHeight="1" thickBot="1" x14ac:dyDescent="0.35">
      <c r="D8" s="824"/>
      <c r="E8" s="129" t="s">
        <v>245</v>
      </c>
      <c r="F8" s="130">
        <v>0</v>
      </c>
      <c r="G8" s="130">
        <v>0</v>
      </c>
      <c r="H8" s="130">
        <v>0</v>
      </c>
      <c r="I8" s="130">
        <v>0</v>
      </c>
      <c r="J8" s="130">
        <v>0</v>
      </c>
      <c r="K8" s="130">
        <v>0</v>
      </c>
      <c r="L8" s="130">
        <v>0</v>
      </c>
      <c r="M8" s="130">
        <v>0</v>
      </c>
      <c r="N8" s="130">
        <v>0</v>
      </c>
      <c r="O8" s="130">
        <v>0</v>
      </c>
      <c r="P8" s="130">
        <v>7</v>
      </c>
      <c r="Q8" s="130">
        <v>0</v>
      </c>
      <c r="R8" s="341">
        <v>2</v>
      </c>
      <c r="S8" s="130">
        <v>0</v>
      </c>
      <c r="T8">
        <f t="shared" si="0"/>
        <v>9</v>
      </c>
      <c r="U8">
        <f t="shared" si="1"/>
        <v>0</v>
      </c>
    </row>
    <row r="9" spans="4:21" ht="15" customHeight="1" x14ac:dyDescent="0.3">
      <c r="D9" s="825" t="s">
        <v>246</v>
      </c>
      <c r="E9" s="131" t="s">
        <v>247</v>
      </c>
      <c r="F9" s="125">
        <v>26</v>
      </c>
      <c r="G9" s="125">
        <v>12</v>
      </c>
      <c r="H9" s="125">
        <v>0</v>
      </c>
      <c r="I9" s="125">
        <v>0</v>
      </c>
      <c r="J9" s="125">
        <v>29</v>
      </c>
      <c r="K9" s="125">
        <v>7</v>
      </c>
      <c r="L9" s="125">
        <v>41</v>
      </c>
      <c r="M9" s="125">
        <v>0</v>
      </c>
      <c r="N9" s="125">
        <v>15</v>
      </c>
      <c r="O9" s="125">
        <v>2</v>
      </c>
      <c r="P9" s="125">
        <v>19</v>
      </c>
      <c r="Q9" s="125">
        <v>0</v>
      </c>
      <c r="R9" s="339">
        <v>18</v>
      </c>
      <c r="S9" s="125">
        <v>0</v>
      </c>
      <c r="T9">
        <f t="shared" si="0"/>
        <v>148</v>
      </c>
      <c r="U9">
        <f t="shared" si="1"/>
        <v>21</v>
      </c>
    </row>
    <row r="10" spans="4:21" ht="15" customHeight="1" x14ac:dyDescent="0.3">
      <c r="D10" s="826"/>
      <c r="E10" s="128" t="s">
        <v>248</v>
      </c>
      <c r="F10" s="127">
        <v>114</v>
      </c>
      <c r="G10" s="127">
        <v>56</v>
      </c>
      <c r="H10" s="127">
        <v>10</v>
      </c>
      <c r="I10" s="127">
        <v>42</v>
      </c>
      <c r="J10" s="127">
        <v>219</v>
      </c>
      <c r="K10" s="127">
        <v>69</v>
      </c>
      <c r="L10" s="127">
        <v>175</v>
      </c>
      <c r="M10" s="127">
        <v>44</v>
      </c>
      <c r="N10" s="127">
        <v>82</v>
      </c>
      <c r="O10" s="127">
        <v>22</v>
      </c>
      <c r="P10" s="127">
        <v>155</v>
      </c>
      <c r="Q10" s="127">
        <v>30</v>
      </c>
      <c r="R10" s="340">
        <v>56</v>
      </c>
      <c r="S10" s="127">
        <v>31</v>
      </c>
      <c r="T10">
        <f t="shared" si="0"/>
        <v>811</v>
      </c>
      <c r="U10">
        <f t="shared" si="1"/>
        <v>294</v>
      </c>
    </row>
    <row r="11" spans="4:21" ht="15" customHeight="1" thickBot="1" x14ac:dyDescent="0.35">
      <c r="D11" s="827"/>
      <c r="E11" s="129" t="s">
        <v>249</v>
      </c>
      <c r="F11" s="130">
        <v>0</v>
      </c>
      <c r="G11" s="130">
        <v>0</v>
      </c>
      <c r="H11" s="130">
        <v>0</v>
      </c>
      <c r="I11" s="130">
        <v>0</v>
      </c>
      <c r="J11" s="130">
        <v>0</v>
      </c>
      <c r="K11" s="130">
        <v>0</v>
      </c>
      <c r="L11" s="130">
        <v>0</v>
      </c>
      <c r="M11" s="130">
        <v>0</v>
      </c>
      <c r="N11" s="130">
        <v>0</v>
      </c>
      <c r="O11" s="130">
        <v>0</v>
      </c>
      <c r="P11" s="130">
        <v>0</v>
      </c>
      <c r="Q11" s="130">
        <v>0</v>
      </c>
      <c r="R11" s="341">
        <v>0</v>
      </c>
      <c r="S11" s="130">
        <v>0</v>
      </c>
      <c r="T11">
        <f t="shared" si="0"/>
        <v>0</v>
      </c>
      <c r="U11">
        <f t="shared" si="1"/>
        <v>0</v>
      </c>
    </row>
    <row r="12" spans="4:21" ht="15" customHeight="1" x14ac:dyDescent="0.3">
      <c r="D12" s="817" t="s">
        <v>250</v>
      </c>
      <c r="E12" s="132" t="s">
        <v>247</v>
      </c>
      <c r="F12" s="568">
        <v>36</v>
      </c>
      <c r="G12" s="568">
        <v>19</v>
      </c>
      <c r="H12" s="568">
        <v>0</v>
      </c>
      <c r="I12" s="568">
        <v>0</v>
      </c>
      <c r="J12" s="568">
        <v>47</v>
      </c>
      <c r="K12" s="568">
        <v>12</v>
      </c>
      <c r="L12" s="568">
        <v>58</v>
      </c>
      <c r="M12" s="568">
        <v>0</v>
      </c>
      <c r="N12" s="568">
        <v>21</v>
      </c>
      <c r="O12" s="568">
        <v>4</v>
      </c>
      <c r="P12" s="568">
        <v>35</v>
      </c>
      <c r="Q12" s="568">
        <v>0</v>
      </c>
      <c r="R12" s="339">
        <v>20</v>
      </c>
      <c r="S12" s="568">
        <v>0</v>
      </c>
      <c r="T12">
        <f t="shared" si="0"/>
        <v>217</v>
      </c>
      <c r="U12">
        <f t="shared" si="1"/>
        <v>35</v>
      </c>
    </row>
    <row r="13" spans="4:21" ht="15" customHeight="1" x14ac:dyDescent="0.3">
      <c r="D13" s="818"/>
      <c r="E13" s="128" t="s">
        <v>248</v>
      </c>
      <c r="F13" s="569">
        <v>104</v>
      </c>
      <c r="G13" s="569">
        <v>48</v>
      </c>
      <c r="H13" s="569">
        <v>10</v>
      </c>
      <c r="I13" s="569">
        <v>42</v>
      </c>
      <c r="J13" s="569">
        <v>201</v>
      </c>
      <c r="K13" s="569">
        <v>62</v>
      </c>
      <c r="L13" s="569">
        <v>154</v>
      </c>
      <c r="M13" s="569">
        <v>44</v>
      </c>
      <c r="N13" s="569">
        <v>76</v>
      </c>
      <c r="O13" s="569">
        <v>20</v>
      </c>
      <c r="P13" s="569">
        <v>136</v>
      </c>
      <c r="Q13" s="569">
        <v>30</v>
      </c>
      <c r="R13" s="340">
        <v>53</v>
      </c>
      <c r="S13" s="569">
        <v>31</v>
      </c>
      <c r="T13">
        <f t="shared" si="0"/>
        <v>734</v>
      </c>
      <c r="U13">
        <f t="shared" si="1"/>
        <v>277</v>
      </c>
    </row>
    <row r="14" spans="4:21" ht="15" customHeight="1" thickBot="1" x14ac:dyDescent="0.35">
      <c r="D14" s="819"/>
      <c r="E14" s="129" t="s">
        <v>249</v>
      </c>
      <c r="F14" s="570">
        <v>0</v>
      </c>
      <c r="G14" s="570">
        <v>1</v>
      </c>
      <c r="H14" s="570">
        <v>0</v>
      </c>
      <c r="I14" s="570">
        <v>0</v>
      </c>
      <c r="J14" s="570">
        <v>0</v>
      </c>
      <c r="K14" s="570">
        <v>2</v>
      </c>
      <c r="L14" s="570">
        <v>4</v>
      </c>
      <c r="M14" s="570">
        <v>0</v>
      </c>
      <c r="N14" s="570">
        <v>0</v>
      </c>
      <c r="O14" s="570">
        <v>0</v>
      </c>
      <c r="P14" s="570">
        <v>3</v>
      </c>
      <c r="Q14" s="570">
        <v>0</v>
      </c>
      <c r="R14" s="341">
        <v>1</v>
      </c>
      <c r="S14" s="570">
        <v>0</v>
      </c>
      <c r="T14">
        <f t="shared" si="0"/>
        <v>8</v>
      </c>
      <c r="U14">
        <f t="shared" si="1"/>
        <v>3</v>
      </c>
    </row>
    <row r="15" spans="4:21" ht="15" customHeight="1" x14ac:dyDescent="0.3">
      <c r="D15" s="817" t="s">
        <v>251</v>
      </c>
      <c r="E15" s="132" t="s">
        <v>252</v>
      </c>
      <c r="F15" s="568">
        <v>138</v>
      </c>
      <c r="G15" s="568">
        <v>68</v>
      </c>
      <c r="H15" s="568">
        <v>10</v>
      </c>
      <c r="I15" s="568">
        <v>42</v>
      </c>
      <c r="J15" s="568">
        <v>245</v>
      </c>
      <c r="K15" s="568">
        <v>76</v>
      </c>
      <c r="L15" s="568">
        <v>213</v>
      </c>
      <c r="M15" s="568">
        <v>44</v>
      </c>
      <c r="N15" s="568">
        <v>95</v>
      </c>
      <c r="O15" s="568">
        <v>24</v>
      </c>
      <c r="P15" s="568">
        <v>172</v>
      </c>
      <c r="Q15" s="568">
        <v>30</v>
      </c>
      <c r="R15" s="339">
        <v>72</v>
      </c>
      <c r="S15" s="568">
        <v>31</v>
      </c>
      <c r="T15">
        <f t="shared" si="0"/>
        <v>945</v>
      </c>
      <c r="U15">
        <f t="shared" si="1"/>
        <v>315</v>
      </c>
    </row>
    <row r="16" spans="4:21" ht="15" customHeight="1" thickBot="1" x14ac:dyDescent="0.35">
      <c r="D16" s="819"/>
      <c r="E16" s="129" t="s">
        <v>253</v>
      </c>
      <c r="F16" s="570">
        <v>2</v>
      </c>
      <c r="G16" s="570">
        <v>0</v>
      </c>
      <c r="H16" s="570">
        <v>0</v>
      </c>
      <c r="I16" s="570">
        <v>0</v>
      </c>
      <c r="J16" s="570">
        <v>3</v>
      </c>
      <c r="K16" s="570">
        <v>0</v>
      </c>
      <c r="L16" s="570">
        <v>3</v>
      </c>
      <c r="M16" s="570">
        <v>0</v>
      </c>
      <c r="N16" s="570">
        <v>2</v>
      </c>
      <c r="O16" s="570">
        <v>0</v>
      </c>
      <c r="P16" s="570">
        <v>2</v>
      </c>
      <c r="Q16" s="570">
        <v>0</v>
      </c>
      <c r="R16" s="341">
        <v>2</v>
      </c>
      <c r="S16" s="570">
        <v>0</v>
      </c>
      <c r="T16">
        <f t="shared" si="0"/>
        <v>14</v>
      </c>
      <c r="U16">
        <f t="shared" si="1"/>
        <v>0</v>
      </c>
    </row>
    <row r="17" spans="4:21" ht="15" customHeight="1" x14ac:dyDescent="0.3">
      <c r="D17" s="817" t="s">
        <v>254</v>
      </c>
      <c r="E17" s="132" t="s">
        <v>255</v>
      </c>
      <c r="F17" s="569">
        <v>0</v>
      </c>
      <c r="G17" s="569">
        <v>0</v>
      </c>
      <c r="H17" s="569">
        <v>0</v>
      </c>
      <c r="I17" s="569">
        <v>0</v>
      </c>
      <c r="J17" s="569">
        <v>0</v>
      </c>
      <c r="K17" s="569">
        <v>0</v>
      </c>
      <c r="L17" s="569">
        <v>0</v>
      </c>
      <c r="M17" s="569">
        <v>0</v>
      </c>
      <c r="N17" s="569">
        <v>0</v>
      </c>
      <c r="O17" s="569">
        <v>0</v>
      </c>
      <c r="P17" s="569">
        <v>0</v>
      </c>
      <c r="Q17" s="569">
        <v>0</v>
      </c>
      <c r="R17" s="340">
        <v>0</v>
      </c>
      <c r="S17" s="569">
        <v>0</v>
      </c>
      <c r="T17">
        <f t="shared" si="0"/>
        <v>0</v>
      </c>
      <c r="U17">
        <f t="shared" si="1"/>
        <v>0</v>
      </c>
    </row>
    <row r="18" spans="4:21" ht="15" customHeight="1" x14ac:dyDescent="0.3">
      <c r="D18" s="818"/>
      <c r="E18" s="128" t="s">
        <v>256</v>
      </c>
      <c r="F18" s="571">
        <v>2</v>
      </c>
      <c r="G18" s="571">
        <v>1</v>
      </c>
      <c r="H18" s="571">
        <v>0</v>
      </c>
      <c r="I18" s="571">
        <v>0</v>
      </c>
      <c r="J18" s="571">
        <v>0</v>
      </c>
      <c r="K18" s="571">
        <v>0</v>
      </c>
      <c r="L18" s="571">
        <v>6</v>
      </c>
      <c r="M18" s="571">
        <v>0</v>
      </c>
      <c r="N18" s="571">
        <v>0</v>
      </c>
      <c r="O18" s="571">
        <v>0</v>
      </c>
      <c r="P18" s="571">
        <v>3</v>
      </c>
      <c r="Q18" s="571">
        <v>0</v>
      </c>
      <c r="R18" s="343">
        <v>1</v>
      </c>
      <c r="S18" s="571">
        <v>0</v>
      </c>
      <c r="T18">
        <f t="shared" si="0"/>
        <v>12</v>
      </c>
      <c r="U18">
        <f t="shared" si="1"/>
        <v>1</v>
      </c>
    </row>
    <row r="19" spans="4:21" ht="15" customHeight="1" x14ac:dyDescent="0.3">
      <c r="D19" s="818"/>
      <c r="E19" s="128" t="s">
        <v>257</v>
      </c>
      <c r="F19" s="569">
        <v>0</v>
      </c>
      <c r="G19" s="569">
        <v>0</v>
      </c>
      <c r="H19" s="569">
        <v>0</v>
      </c>
      <c r="I19" s="569">
        <v>0</v>
      </c>
      <c r="J19" s="569">
        <v>0</v>
      </c>
      <c r="K19" s="569">
        <v>0</v>
      </c>
      <c r="L19" s="569">
        <v>0</v>
      </c>
      <c r="M19" s="569">
        <v>0</v>
      </c>
      <c r="N19" s="569">
        <v>0</v>
      </c>
      <c r="O19" s="569">
        <v>0</v>
      </c>
      <c r="P19" s="569">
        <v>0</v>
      </c>
      <c r="Q19" s="569">
        <v>0</v>
      </c>
      <c r="R19" s="340">
        <v>0</v>
      </c>
      <c r="S19" s="569">
        <v>0</v>
      </c>
      <c r="T19">
        <f t="shared" si="0"/>
        <v>0</v>
      </c>
      <c r="U19">
        <f t="shared" si="1"/>
        <v>0</v>
      </c>
    </row>
    <row r="20" spans="4:21" ht="15" customHeight="1" x14ac:dyDescent="0.3">
      <c r="D20" s="818"/>
      <c r="E20" s="128" t="s">
        <v>258</v>
      </c>
      <c r="F20" s="569">
        <v>0</v>
      </c>
      <c r="G20" s="569">
        <v>0</v>
      </c>
      <c r="H20" s="569">
        <v>0</v>
      </c>
      <c r="I20" s="569">
        <v>0</v>
      </c>
      <c r="J20" s="569">
        <v>0</v>
      </c>
      <c r="K20" s="569">
        <v>0</v>
      </c>
      <c r="L20" s="569">
        <v>0</v>
      </c>
      <c r="M20" s="569">
        <v>0</v>
      </c>
      <c r="N20" s="569">
        <v>0</v>
      </c>
      <c r="O20" s="569">
        <v>0</v>
      </c>
      <c r="P20" s="569">
        <v>0</v>
      </c>
      <c r="Q20" s="569">
        <v>0</v>
      </c>
      <c r="R20" s="340">
        <v>0</v>
      </c>
      <c r="S20" s="569">
        <v>0</v>
      </c>
      <c r="T20">
        <f t="shared" si="0"/>
        <v>0</v>
      </c>
      <c r="U20">
        <f t="shared" si="1"/>
        <v>0</v>
      </c>
    </row>
    <row r="21" spans="4:21" ht="15" customHeight="1" x14ac:dyDescent="0.3">
      <c r="D21" s="818"/>
      <c r="E21" s="128" t="s">
        <v>259</v>
      </c>
      <c r="F21" s="569">
        <v>4</v>
      </c>
      <c r="G21" s="569">
        <v>0</v>
      </c>
      <c r="H21" s="569">
        <v>0</v>
      </c>
      <c r="I21" s="569">
        <v>0</v>
      </c>
      <c r="J21" s="569">
        <v>0</v>
      </c>
      <c r="K21" s="569">
        <v>0</v>
      </c>
      <c r="L21" s="569">
        <v>0</v>
      </c>
      <c r="M21" s="569">
        <v>0</v>
      </c>
      <c r="N21" s="569">
        <v>0</v>
      </c>
      <c r="O21" s="569">
        <v>0</v>
      </c>
      <c r="P21" s="569">
        <v>0</v>
      </c>
      <c r="Q21" s="569">
        <v>0</v>
      </c>
      <c r="R21" s="340">
        <v>0</v>
      </c>
      <c r="S21" s="569">
        <v>0</v>
      </c>
      <c r="T21">
        <f t="shared" si="0"/>
        <v>4</v>
      </c>
      <c r="U21">
        <f t="shared" si="1"/>
        <v>0</v>
      </c>
    </row>
    <row r="22" spans="4:21" ht="15" customHeight="1" x14ac:dyDescent="0.3">
      <c r="D22" s="818"/>
      <c r="E22" s="128" t="s">
        <v>260</v>
      </c>
      <c r="F22" s="569">
        <v>134</v>
      </c>
      <c r="G22" s="569">
        <v>67</v>
      </c>
      <c r="H22" s="569">
        <v>10</v>
      </c>
      <c r="I22" s="569">
        <v>42</v>
      </c>
      <c r="J22" s="569">
        <v>248</v>
      </c>
      <c r="K22" s="569">
        <v>76</v>
      </c>
      <c r="L22" s="569">
        <v>210</v>
      </c>
      <c r="M22" s="569">
        <v>44</v>
      </c>
      <c r="N22" s="569">
        <v>97</v>
      </c>
      <c r="O22" s="569">
        <v>24</v>
      </c>
      <c r="P22" s="569">
        <v>171</v>
      </c>
      <c r="Q22" s="569">
        <v>30</v>
      </c>
      <c r="R22" s="340">
        <v>73</v>
      </c>
      <c r="S22" s="569">
        <v>31</v>
      </c>
      <c r="T22">
        <f t="shared" si="0"/>
        <v>943</v>
      </c>
      <c r="U22">
        <f t="shared" si="1"/>
        <v>314</v>
      </c>
    </row>
    <row r="23" spans="4:21" ht="15" customHeight="1" thickBot="1" x14ac:dyDescent="0.35">
      <c r="D23" s="819"/>
      <c r="E23" s="129" t="s">
        <v>261</v>
      </c>
      <c r="F23" s="570">
        <v>0</v>
      </c>
      <c r="G23" s="570">
        <v>0</v>
      </c>
      <c r="H23" s="570">
        <v>0</v>
      </c>
      <c r="I23" s="570">
        <v>0</v>
      </c>
      <c r="J23" s="570">
        <v>0</v>
      </c>
      <c r="K23" s="570">
        <v>0</v>
      </c>
      <c r="L23" s="570">
        <v>0</v>
      </c>
      <c r="M23" s="570">
        <v>0</v>
      </c>
      <c r="N23" s="570">
        <v>0</v>
      </c>
      <c r="O23" s="570">
        <v>0</v>
      </c>
      <c r="P23" s="570">
        <v>0</v>
      </c>
      <c r="Q23" s="570">
        <v>0</v>
      </c>
      <c r="R23" s="341">
        <v>0</v>
      </c>
      <c r="S23" s="570">
        <v>0</v>
      </c>
      <c r="T23">
        <f t="shared" si="0"/>
        <v>0</v>
      </c>
      <c r="U23">
        <f t="shared" si="1"/>
        <v>0</v>
      </c>
    </row>
    <row r="24" spans="4:21" ht="15" customHeight="1" x14ac:dyDescent="0.3">
      <c r="D24" s="817" t="s">
        <v>262</v>
      </c>
      <c r="E24" s="132" t="s">
        <v>263</v>
      </c>
      <c r="F24" s="568">
        <v>68</v>
      </c>
      <c r="G24" s="568">
        <v>13</v>
      </c>
      <c r="H24" s="568">
        <v>0</v>
      </c>
      <c r="I24" s="568">
        <v>12</v>
      </c>
      <c r="J24" s="568">
        <v>110</v>
      </c>
      <c r="K24" s="568">
        <v>17</v>
      </c>
      <c r="L24" s="568">
        <v>100</v>
      </c>
      <c r="M24" s="568">
        <v>17</v>
      </c>
      <c r="N24" s="568">
        <v>38</v>
      </c>
      <c r="O24" s="568">
        <v>9</v>
      </c>
      <c r="P24" s="568">
        <v>68</v>
      </c>
      <c r="Q24" s="568">
        <v>17</v>
      </c>
      <c r="R24" s="339">
        <v>24</v>
      </c>
      <c r="S24" s="568">
        <v>22</v>
      </c>
      <c r="T24">
        <f t="shared" si="0"/>
        <v>408</v>
      </c>
      <c r="U24">
        <f t="shared" si="1"/>
        <v>107</v>
      </c>
    </row>
    <row r="25" spans="4:21" ht="15" customHeight="1" x14ac:dyDescent="0.3">
      <c r="D25" s="818"/>
      <c r="E25" s="128" t="s">
        <v>264</v>
      </c>
      <c r="F25" s="569">
        <v>72</v>
      </c>
      <c r="G25" s="569">
        <v>55</v>
      </c>
      <c r="H25" s="569">
        <v>7</v>
      </c>
      <c r="I25" s="569">
        <v>27</v>
      </c>
      <c r="J25" s="569">
        <v>131</v>
      </c>
      <c r="K25" s="569">
        <v>58</v>
      </c>
      <c r="L25" s="569">
        <v>114</v>
      </c>
      <c r="M25" s="569">
        <v>23</v>
      </c>
      <c r="N25" s="569">
        <v>56</v>
      </c>
      <c r="O25" s="569">
        <v>15</v>
      </c>
      <c r="P25" s="569">
        <v>100</v>
      </c>
      <c r="Q25" s="569">
        <v>13</v>
      </c>
      <c r="R25" s="340">
        <v>50</v>
      </c>
      <c r="S25" s="569">
        <v>9</v>
      </c>
      <c r="T25">
        <f t="shared" si="0"/>
        <v>530</v>
      </c>
      <c r="U25">
        <f t="shared" si="1"/>
        <v>200</v>
      </c>
    </row>
    <row r="26" spans="4:21" ht="15" customHeight="1" thickBot="1" x14ac:dyDescent="0.35">
      <c r="D26" s="819"/>
      <c r="E26" s="129" t="s">
        <v>265</v>
      </c>
      <c r="F26" s="570">
        <v>0</v>
      </c>
      <c r="G26" s="570">
        <v>0</v>
      </c>
      <c r="H26" s="570">
        <v>0</v>
      </c>
      <c r="I26" s="570">
        <v>3</v>
      </c>
      <c r="J26" s="570">
        <v>7</v>
      </c>
      <c r="K26" s="570">
        <v>1</v>
      </c>
      <c r="L26" s="570">
        <v>2</v>
      </c>
      <c r="M26" s="570">
        <v>4</v>
      </c>
      <c r="N26" s="570">
        <v>3</v>
      </c>
      <c r="O26" s="570">
        <v>0</v>
      </c>
      <c r="P26" s="570">
        <v>6</v>
      </c>
      <c r="Q26" s="570">
        <v>0</v>
      </c>
      <c r="R26" s="341">
        <v>0</v>
      </c>
      <c r="S26" s="570"/>
      <c r="T26">
        <f t="shared" si="0"/>
        <v>18</v>
      </c>
      <c r="U26">
        <f t="shared" si="1"/>
        <v>8</v>
      </c>
    </row>
    <row r="27" spans="4:21" ht="15" customHeight="1" x14ac:dyDescent="0.3">
      <c r="D27" s="817" t="s">
        <v>266</v>
      </c>
      <c r="E27" s="132" t="s">
        <v>263</v>
      </c>
      <c r="F27" s="568">
        <v>68</v>
      </c>
      <c r="G27" s="568">
        <v>14</v>
      </c>
      <c r="H27" s="568">
        <v>7</v>
      </c>
      <c r="I27" s="568">
        <v>13</v>
      </c>
      <c r="J27" s="568">
        <v>149</v>
      </c>
      <c r="K27" s="568">
        <v>15</v>
      </c>
      <c r="L27" s="568">
        <v>76</v>
      </c>
      <c r="M27" s="568">
        <v>19</v>
      </c>
      <c r="N27" s="568">
        <v>16</v>
      </c>
      <c r="O27" s="568">
        <v>8</v>
      </c>
      <c r="P27" s="568">
        <v>40</v>
      </c>
      <c r="Q27" s="568">
        <v>14</v>
      </c>
      <c r="R27" s="339">
        <v>15</v>
      </c>
      <c r="S27" s="568">
        <v>12</v>
      </c>
      <c r="T27">
        <f t="shared" si="0"/>
        <v>371</v>
      </c>
      <c r="U27">
        <f t="shared" si="1"/>
        <v>95</v>
      </c>
    </row>
    <row r="28" spans="4:21" ht="15" customHeight="1" x14ac:dyDescent="0.3">
      <c r="D28" s="818"/>
      <c r="E28" s="128" t="s">
        <v>264</v>
      </c>
      <c r="F28" s="569">
        <v>71</v>
      </c>
      <c r="G28" s="569">
        <v>51</v>
      </c>
      <c r="H28" s="569">
        <v>2</v>
      </c>
      <c r="I28" s="569">
        <v>24</v>
      </c>
      <c r="J28" s="569">
        <v>94</v>
      </c>
      <c r="K28" s="569">
        <v>55</v>
      </c>
      <c r="L28" s="569">
        <v>134</v>
      </c>
      <c r="M28" s="569">
        <v>23</v>
      </c>
      <c r="N28" s="569">
        <v>74</v>
      </c>
      <c r="O28" s="569">
        <v>15</v>
      </c>
      <c r="P28" s="569">
        <v>121</v>
      </c>
      <c r="Q28" s="569">
        <v>14</v>
      </c>
      <c r="R28" s="340">
        <v>59</v>
      </c>
      <c r="S28" s="569">
        <v>19</v>
      </c>
      <c r="T28">
        <f t="shared" si="0"/>
        <v>555</v>
      </c>
      <c r="U28">
        <f t="shared" si="1"/>
        <v>201</v>
      </c>
    </row>
    <row r="29" spans="4:21" ht="15" customHeight="1" x14ac:dyDescent="0.3">
      <c r="D29" s="818"/>
      <c r="E29" s="128" t="s">
        <v>265</v>
      </c>
      <c r="F29" s="569">
        <v>1</v>
      </c>
      <c r="G29" s="569">
        <v>3</v>
      </c>
      <c r="H29" s="569">
        <v>1</v>
      </c>
      <c r="I29" s="569">
        <v>5</v>
      </c>
      <c r="J29" s="569">
        <v>5</v>
      </c>
      <c r="K29" s="569">
        <v>6</v>
      </c>
      <c r="L29" s="569">
        <v>6</v>
      </c>
      <c r="M29" s="569">
        <v>2</v>
      </c>
      <c r="N29" s="569">
        <v>7</v>
      </c>
      <c r="O29" s="569">
        <v>1</v>
      </c>
      <c r="P29" s="569">
        <v>13</v>
      </c>
      <c r="Q29" s="569">
        <v>2</v>
      </c>
      <c r="R29" s="340">
        <v>0</v>
      </c>
      <c r="S29" s="569">
        <v>0</v>
      </c>
      <c r="T29">
        <f t="shared" si="0"/>
        <v>33</v>
      </c>
      <c r="U29">
        <f t="shared" si="1"/>
        <v>19</v>
      </c>
    </row>
    <row r="30" spans="4:21" ht="15" customHeight="1" thickBot="1" x14ac:dyDescent="0.35">
      <c r="D30" s="819"/>
      <c r="E30" s="129" t="s">
        <v>267</v>
      </c>
      <c r="F30" s="570">
        <v>0</v>
      </c>
      <c r="G30" s="570">
        <v>0</v>
      </c>
      <c r="H30" s="570">
        <v>0</v>
      </c>
      <c r="I30" s="570">
        <v>0</v>
      </c>
      <c r="J30" s="570">
        <v>0</v>
      </c>
      <c r="K30" s="570">
        <v>0</v>
      </c>
      <c r="L30" s="570">
        <v>0</v>
      </c>
      <c r="M30" s="570">
        <v>0</v>
      </c>
      <c r="N30" s="570">
        <v>0</v>
      </c>
      <c r="O30" s="570">
        <v>0</v>
      </c>
      <c r="P30" s="570">
        <v>0</v>
      </c>
      <c r="Q30" s="570">
        <v>0</v>
      </c>
      <c r="R30" s="341">
        <v>0</v>
      </c>
      <c r="S30" s="570">
        <v>0</v>
      </c>
      <c r="T30">
        <f t="shared" si="0"/>
        <v>0</v>
      </c>
      <c r="U30">
        <f t="shared" si="1"/>
        <v>0</v>
      </c>
    </row>
    <row r="31" spans="4:21" ht="15" customHeight="1" x14ac:dyDescent="0.3">
      <c r="D31" s="817" t="s">
        <v>268</v>
      </c>
      <c r="E31" s="132" t="s">
        <v>252</v>
      </c>
      <c r="F31" s="568">
        <v>117</v>
      </c>
      <c r="G31" s="568">
        <v>61</v>
      </c>
      <c r="H31" s="568">
        <v>10</v>
      </c>
      <c r="I31" s="568">
        <v>42</v>
      </c>
      <c r="J31" s="568">
        <v>214</v>
      </c>
      <c r="K31" s="568">
        <v>69</v>
      </c>
      <c r="L31" s="568">
        <v>187</v>
      </c>
      <c r="M31" s="568">
        <v>44</v>
      </c>
      <c r="N31" s="568">
        <v>87</v>
      </c>
      <c r="O31" s="568">
        <v>20</v>
      </c>
      <c r="P31" s="568">
        <v>149</v>
      </c>
      <c r="Q31" s="568">
        <v>30</v>
      </c>
      <c r="R31" s="339">
        <v>61</v>
      </c>
      <c r="S31" s="568">
        <v>31</v>
      </c>
      <c r="T31">
        <f t="shared" si="0"/>
        <v>825</v>
      </c>
      <c r="U31">
        <f t="shared" si="1"/>
        <v>297</v>
      </c>
    </row>
    <row r="32" spans="4:21" ht="15" customHeight="1" thickBot="1" x14ac:dyDescent="0.35">
      <c r="D32" s="824"/>
      <c r="E32" s="129" t="s">
        <v>253</v>
      </c>
      <c r="F32" s="570">
        <v>23</v>
      </c>
      <c r="G32" s="570">
        <v>7</v>
      </c>
      <c r="H32" s="570">
        <v>0</v>
      </c>
      <c r="I32" s="570">
        <v>0</v>
      </c>
      <c r="J32" s="570">
        <v>34</v>
      </c>
      <c r="K32" s="570">
        <v>7</v>
      </c>
      <c r="L32" s="570">
        <v>29</v>
      </c>
      <c r="M32" s="570">
        <v>0</v>
      </c>
      <c r="N32" s="570">
        <v>10</v>
      </c>
      <c r="O32" s="570">
        <v>4</v>
      </c>
      <c r="P32" s="570">
        <v>25</v>
      </c>
      <c r="Q32" s="570">
        <v>0</v>
      </c>
      <c r="R32" s="341">
        <v>13</v>
      </c>
      <c r="S32" s="570">
        <v>0</v>
      </c>
      <c r="T32">
        <f t="shared" si="0"/>
        <v>134</v>
      </c>
      <c r="U32">
        <f t="shared" si="1"/>
        <v>18</v>
      </c>
    </row>
    <row r="33" spans="4:21" ht="15" customHeight="1" x14ac:dyDescent="0.3">
      <c r="D33" s="817" t="s">
        <v>269</v>
      </c>
      <c r="E33" s="132" t="s">
        <v>263</v>
      </c>
      <c r="F33" s="568">
        <v>38</v>
      </c>
      <c r="G33" s="568">
        <v>4</v>
      </c>
      <c r="H33" s="568">
        <v>2</v>
      </c>
      <c r="I33" s="568">
        <v>2</v>
      </c>
      <c r="J33" s="568">
        <v>53</v>
      </c>
      <c r="K33" s="568">
        <v>8</v>
      </c>
      <c r="L33" s="568">
        <v>40</v>
      </c>
      <c r="M33" s="568">
        <v>4</v>
      </c>
      <c r="N33" s="568">
        <v>8</v>
      </c>
      <c r="O33" s="568">
        <v>5</v>
      </c>
      <c r="P33" s="568">
        <v>24</v>
      </c>
      <c r="Q33" s="568">
        <v>3</v>
      </c>
      <c r="R33" s="339">
        <v>14</v>
      </c>
      <c r="S33" s="568">
        <v>0</v>
      </c>
      <c r="T33">
        <f t="shared" si="0"/>
        <v>179</v>
      </c>
      <c r="U33">
        <f t="shared" si="1"/>
        <v>26</v>
      </c>
    </row>
    <row r="34" spans="4:21" ht="15" customHeight="1" x14ac:dyDescent="0.3">
      <c r="D34" s="823"/>
      <c r="E34" s="128" t="s">
        <v>264</v>
      </c>
      <c r="F34" s="569">
        <v>97</v>
      </c>
      <c r="G34" s="569">
        <v>55</v>
      </c>
      <c r="H34" s="569">
        <v>8</v>
      </c>
      <c r="I34" s="569">
        <v>24</v>
      </c>
      <c r="J34" s="569">
        <v>181</v>
      </c>
      <c r="K34" s="569">
        <v>50</v>
      </c>
      <c r="L34" s="569">
        <v>142</v>
      </c>
      <c r="M34" s="569">
        <v>21</v>
      </c>
      <c r="N34" s="569">
        <v>60</v>
      </c>
      <c r="O34" s="569">
        <v>16</v>
      </c>
      <c r="P34" s="569">
        <v>113</v>
      </c>
      <c r="Q34" s="569">
        <v>14</v>
      </c>
      <c r="R34" s="340">
        <v>58</v>
      </c>
      <c r="S34" s="569">
        <v>14</v>
      </c>
      <c r="T34">
        <f t="shared" si="0"/>
        <v>659</v>
      </c>
      <c r="U34">
        <f t="shared" si="1"/>
        <v>194</v>
      </c>
    </row>
    <row r="35" spans="4:21" ht="15" customHeight="1" thickBot="1" x14ac:dyDescent="0.35">
      <c r="D35" s="824"/>
      <c r="E35" s="129" t="s">
        <v>265</v>
      </c>
      <c r="F35" s="570">
        <v>5</v>
      </c>
      <c r="G35" s="570">
        <v>9</v>
      </c>
      <c r="H35" s="570">
        <v>0</v>
      </c>
      <c r="I35" s="570">
        <v>16</v>
      </c>
      <c r="J35" s="570">
        <v>14</v>
      </c>
      <c r="K35" s="570">
        <v>18</v>
      </c>
      <c r="L35" s="570">
        <v>34</v>
      </c>
      <c r="M35" s="570">
        <v>19</v>
      </c>
      <c r="N35" s="570">
        <v>29</v>
      </c>
      <c r="O35" s="570">
        <v>3</v>
      </c>
      <c r="P35" s="570">
        <v>37</v>
      </c>
      <c r="Q35" s="570">
        <v>13</v>
      </c>
      <c r="R35" s="341">
        <v>2</v>
      </c>
      <c r="S35" s="570">
        <v>17</v>
      </c>
      <c r="T35">
        <f t="shared" si="0"/>
        <v>121</v>
      </c>
      <c r="U35">
        <f t="shared" si="1"/>
        <v>95</v>
      </c>
    </row>
    <row r="36" spans="4:21" ht="15" customHeight="1" x14ac:dyDescent="0.3">
      <c r="D36" s="817" t="s">
        <v>270</v>
      </c>
      <c r="E36" s="132" t="s">
        <v>263</v>
      </c>
      <c r="F36" s="568">
        <v>32</v>
      </c>
      <c r="G36" s="568">
        <v>5</v>
      </c>
      <c r="H36" s="568">
        <v>3</v>
      </c>
      <c r="I36" s="568">
        <v>2</v>
      </c>
      <c r="J36" s="568">
        <v>47</v>
      </c>
      <c r="K36" s="568">
        <v>6</v>
      </c>
      <c r="L36" s="568">
        <v>35</v>
      </c>
      <c r="M36" s="568">
        <v>5</v>
      </c>
      <c r="N36" s="568">
        <v>6</v>
      </c>
      <c r="O36" s="568">
        <v>8</v>
      </c>
      <c r="P36" s="568">
        <v>27</v>
      </c>
      <c r="Q36" s="568">
        <v>3</v>
      </c>
      <c r="R36" s="339">
        <v>13</v>
      </c>
      <c r="S36" s="568">
        <v>6</v>
      </c>
      <c r="T36">
        <f t="shared" si="0"/>
        <v>163</v>
      </c>
      <c r="U36">
        <f t="shared" si="1"/>
        <v>35</v>
      </c>
    </row>
    <row r="37" spans="4:21" ht="15" customHeight="1" x14ac:dyDescent="0.3">
      <c r="D37" s="823"/>
      <c r="E37" s="128" t="s">
        <v>264</v>
      </c>
      <c r="F37" s="569">
        <v>89</v>
      </c>
      <c r="G37" s="569">
        <v>55</v>
      </c>
      <c r="H37" s="569">
        <v>5</v>
      </c>
      <c r="I37" s="569">
        <v>31</v>
      </c>
      <c r="J37" s="569">
        <v>173</v>
      </c>
      <c r="K37" s="569">
        <v>61</v>
      </c>
      <c r="L37" s="569">
        <v>163</v>
      </c>
      <c r="M37" s="569">
        <v>31</v>
      </c>
      <c r="N37" s="569">
        <v>72</v>
      </c>
      <c r="O37" s="569">
        <v>15</v>
      </c>
      <c r="P37" s="569">
        <v>127</v>
      </c>
      <c r="Q37" s="569">
        <v>21</v>
      </c>
      <c r="R37" s="340">
        <v>60</v>
      </c>
      <c r="S37" s="569">
        <v>21</v>
      </c>
      <c r="T37">
        <f t="shared" si="0"/>
        <v>689</v>
      </c>
      <c r="U37">
        <f t="shared" si="1"/>
        <v>235</v>
      </c>
    </row>
    <row r="38" spans="4:21" ht="15" customHeight="1" x14ac:dyDescent="0.3">
      <c r="D38" s="823"/>
      <c r="E38" s="128" t="s">
        <v>265</v>
      </c>
      <c r="F38" s="569">
        <v>19</v>
      </c>
      <c r="G38" s="569">
        <v>8</v>
      </c>
      <c r="H38" s="569">
        <v>2</v>
      </c>
      <c r="I38" s="569">
        <v>9</v>
      </c>
      <c r="J38" s="569">
        <v>2</v>
      </c>
      <c r="K38" s="569">
        <v>9</v>
      </c>
      <c r="L38" s="569">
        <v>18</v>
      </c>
      <c r="M38" s="569">
        <v>8</v>
      </c>
      <c r="N38" s="569">
        <v>19</v>
      </c>
      <c r="O38" s="569">
        <v>1</v>
      </c>
      <c r="P38" s="569">
        <v>20</v>
      </c>
      <c r="Q38" s="569">
        <v>6</v>
      </c>
      <c r="R38" s="340">
        <v>1</v>
      </c>
      <c r="S38" s="569">
        <v>6</v>
      </c>
      <c r="T38">
        <f t="shared" si="0"/>
        <v>81</v>
      </c>
      <c r="U38">
        <f t="shared" si="1"/>
        <v>47</v>
      </c>
    </row>
    <row r="39" spans="4:21" ht="15" customHeight="1" thickBot="1" x14ac:dyDescent="0.35">
      <c r="D39" s="824"/>
      <c r="E39" s="129" t="s">
        <v>271</v>
      </c>
      <c r="F39" s="570">
        <v>0</v>
      </c>
      <c r="G39" s="570">
        <v>0</v>
      </c>
      <c r="H39" s="570">
        <v>0</v>
      </c>
      <c r="I39" s="570">
        <v>0</v>
      </c>
      <c r="J39" s="570">
        <v>0</v>
      </c>
      <c r="K39" s="570">
        <v>0</v>
      </c>
      <c r="L39" s="570">
        <v>0</v>
      </c>
      <c r="M39" s="570">
        <v>0</v>
      </c>
      <c r="N39" s="570">
        <v>0</v>
      </c>
      <c r="O39" s="570">
        <v>0</v>
      </c>
      <c r="P39" s="570">
        <v>0</v>
      </c>
      <c r="Q39" s="570">
        <v>0</v>
      </c>
      <c r="R39" s="341">
        <v>0</v>
      </c>
      <c r="S39" s="570">
        <v>0</v>
      </c>
      <c r="T39">
        <f t="shared" si="0"/>
        <v>0</v>
      </c>
      <c r="U39">
        <f t="shared" si="1"/>
        <v>0</v>
      </c>
    </row>
    <row r="40" spans="4:21" ht="15" customHeight="1" x14ac:dyDescent="0.3">
      <c r="D40" s="817" t="s">
        <v>272</v>
      </c>
      <c r="E40" s="132" t="s">
        <v>263</v>
      </c>
      <c r="F40" s="568">
        <v>20</v>
      </c>
      <c r="G40" s="568">
        <v>4</v>
      </c>
      <c r="H40" s="568">
        <v>3</v>
      </c>
      <c r="I40" s="568">
        <v>5</v>
      </c>
      <c r="J40" s="568">
        <v>26</v>
      </c>
      <c r="K40" s="568">
        <v>6</v>
      </c>
      <c r="L40" s="568">
        <v>15</v>
      </c>
      <c r="M40" s="568">
        <v>3</v>
      </c>
      <c r="N40" s="568">
        <v>1</v>
      </c>
      <c r="O40" s="568">
        <v>1</v>
      </c>
      <c r="P40" s="568">
        <v>16</v>
      </c>
      <c r="Q40" s="568">
        <v>1</v>
      </c>
      <c r="R40" s="339">
        <v>12</v>
      </c>
      <c r="S40" s="568">
        <v>4</v>
      </c>
      <c r="T40">
        <f t="shared" si="0"/>
        <v>93</v>
      </c>
      <c r="U40">
        <f t="shared" si="1"/>
        <v>24</v>
      </c>
    </row>
    <row r="41" spans="4:21" ht="15" customHeight="1" x14ac:dyDescent="0.3">
      <c r="D41" s="823"/>
      <c r="E41" s="128" t="s">
        <v>264</v>
      </c>
      <c r="F41" s="569">
        <v>88</v>
      </c>
      <c r="G41" s="569">
        <v>64</v>
      </c>
      <c r="H41" s="569">
        <v>6</v>
      </c>
      <c r="I41" s="569">
        <v>17</v>
      </c>
      <c r="J41" s="569">
        <v>170</v>
      </c>
      <c r="K41" s="569">
        <v>51</v>
      </c>
      <c r="L41" s="569">
        <v>159</v>
      </c>
      <c r="M41" s="569">
        <v>31</v>
      </c>
      <c r="N41" s="569">
        <v>65</v>
      </c>
      <c r="O41" s="569">
        <v>19</v>
      </c>
      <c r="P41" s="569">
        <v>127</v>
      </c>
      <c r="Q41" s="569">
        <v>15</v>
      </c>
      <c r="R41" s="340">
        <v>56</v>
      </c>
      <c r="S41" s="569">
        <v>21</v>
      </c>
      <c r="T41">
        <f t="shared" si="0"/>
        <v>671</v>
      </c>
      <c r="U41">
        <f t="shared" si="1"/>
        <v>218</v>
      </c>
    </row>
    <row r="42" spans="4:21" ht="15" customHeight="1" x14ac:dyDescent="0.3">
      <c r="D42" s="823"/>
      <c r="E42" s="128" t="s">
        <v>265</v>
      </c>
      <c r="F42" s="569">
        <v>29</v>
      </c>
      <c r="G42" s="569">
        <v>0</v>
      </c>
      <c r="H42" s="569">
        <v>1</v>
      </c>
      <c r="I42" s="569">
        <v>20</v>
      </c>
      <c r="J42" s="569">
        <v>52</v>
      </c>
      <c r="K42" s="569">
        <v>19</v>
      </c>
      <c r="L42" s="569">
        <v>42</v>
      </c>
      <c r="M42" s="569">
        <v>10</v>
      </c>
      <c r="N42" s="569">
        <v>31</v>
      </c>
      <c r="O42" s="569">
        <v>4</v>
      </c>
      <c r="P42" s="569">
        <v>31</v>
      </c>
      <c r="Q42" s="569">
        <v>14</v>
      </c>
      <c r="R42" s="340">
        <v>6</v>
      </c>
      <c r="S42" s="569">
        <v>6</v>
      </c>
      <c r="T42">
        <f t="shared" si="0"/>
        <v>192</v>
      </c>
      <c r="U42">
        <f t="shared" si="1"/>
        <v>73</v>
      </c>
    </row>
    <row r="43" spans="4:21" ht="15" customHeight="1" thickBot="1" x14ac:dyDescent="0.35">
      <c r="D43" s="824"/>
      <c r="E43" s="129" t="s">
        <v>271</v>
      </c>
      <c r="F43" s="570">
        <v>3</v>
      </c>
      <c r="G43" s="570">
        <v>0</v>
      </c>
      <c r="H43" s="570">
        <v>0</v>
      </c>
      <c r="I43" s="570">
        <v>0</v>
      </c>
      <c r="J43" s="570">
        <v>0</v>
      </c>
      <c r="K43" s="570">
        <v>0</v>
      </c>
      <c r="L43" s="570">
        <v>0</v>
      </c>
      <c r="M43" s="570">
        <v>0</v>
      </c>
      <c r="N43" s="570">
        <v>0</v>
      </c>
      <c r="O43" s="570">
        <v>0</v>
      </c>
      <c r="P43" s="570">
        <v>0</v>
      </c>
      <c r="Q43" s="570">
        <v>0</v>
      </c>
      <c r="R43" s="341">
        <v>0</v>
      </c>
      <c r="S43" s="570">
        <v>0</v>
      </c>
      <c r="T43">
        <f t="shared" si="0"/>
        <v>3</v>
      </c>
      <c r="U43">
        <f t="shared" si="1"/>
        <v>0</v>
      </c>
    </row>
    <row r="44" spans="4:21" ht="15" customHeight="1" x14ac:dyDescent="0.3">
      <c r="D44" s="817" t="s">
        <v>273</v>
      </c>
      <c r="E44" s="132" t="s">
        <v>263</v>
      </c>
      <c r="F44" s="568">
        <v>93</v>
      </c>
      <c r="G44" s="568">
        <v>1</v>
      </c>
      <c r="H44" s="568">
        <v>1</v>
      </c>
      <c r="I44" s="568">
        <v>1</v>
      </c>
      <c r="J44" s="568">
        <v>28</v>
      </c>
      <c r="K44" s="568">
        <v>5</v>
      </c>
      <c r="L44" s="568">
        <v>26</v>
      </c>
      <c r="M44" s="568">
        <v>7</v>
      </c>
      <c r="N44" s="568">
        <v>2</v>
      </c>
      <c r="O44" s="568">
        <v>1</v>
      </c>
      <c r="P44" s="568">
        <v>17</v>
      </c>
      <c r="Q44" s="568">
        <v>2</v>
      </c>
      <c r="R44" s="342">
        <v>8</v>
      </c>
      <c r="S44" s="568">
        <v>4</v>
      </c>
      <c r="T44">
        <f t="shared" si="0"/>
        <v>175</v>
      </c>
      <c r="U44">
        <f t="shared" si="1"/>
        <v>21</v>
      </c>
    </row>
    <row r="45" spans="4:21" ht="15" customHeight="1" x14ac:dyDescent="0.3">
      <c r="D45" s="823"/>
      <c r="E45" s="128" t="s">
        <v>264</v>
      </c>
      <c r="F45" s="569">
        <v>22</v>
      </c>
      <c r="G45" s="569">
        <v>53</v>
      </c>
      <c r="H45" s="569">
        <v>8</v>
      </c>
      <c r="I45" s="569">
        <v>26</v>
      </c>
      <c r="J45" s="569">
        <v>164</v>
      </c>
      <c r="K45" s="569">
        <v>59</v>
      </c>
      <c r="L45" s="569">
        <v>148</v>
      </c>
      <c r="M45" s="569">
        <v>23</v>
      </c>
      <c r="N45" s="569">
        <v>66</v>
      </c>
      <c r="O45" s="569">
        <v>23</v>
      </c>
      <c r="P45" s="569">
        <v>127</v>
      </c>
      <c r="Q45" s="569">
        <v>19</v>
      </c>
      <c r="R45" s="343">
        <v>63</v>
      </c>
      <c r="S45" s="569">
        <v>13</v>
      </c>
      <c r="T45">
        <f t="shared" si="0"/>
        <v>598</v>
      </c>
      <c r="U45">
        <f t="shared" si="1"/>
        <v>216</v>
      </c>
    </row>
    <row r="46" spans="4:21" ht="15" customHeight="1" thickBot="1" x14ac:dyDescent="0.35">
      <c r="D46" s="824"/>
      <c r="E46" s="129" t="s">
        <v>265</v>
      </c>
      <c r="F46" s="570">
        <v>25</v>
      </c>
      <c r="G46" s="570">
        <v>14</v>
      </c>
      <c r="H46" s="570">
        <v>1</v>
      </c>
      <c r="I46" s="570">
        <v>15</v>
      </c>
      <c r="J46" s="570">
        <v>54</v>
      </c>
      <c r="K46" s="570">
        <v>12</v>
      </c>
      <c r="L46" s="570">
        <v>42</v>
      </c>
      <c r="M46" s="570">
        <v>14</v>
      </c>
      <c r="N46" s="570">
        <v>29</v>
      </c>
      <c r="O46" s="570">
        <v>0</v>
      </c>
      <c r="P46" s="570">
        <v>30</v>
      </c>
      <c r="Q46" s="570">
        <v>9</v>
      </c>
      <c r="R46" s="341">
        <v>3</v>
      </c>
      <c r="S46" s="570">
        <v>11</v>
      </c>
      <c r="T46">
        <f t="shared" si="0"/>
        <v>184</v>
      </c>
      <c r="U46">
        <f t="shared" si="1"/>
        <v>75</v>
      </c>
    </row>
    <row r="47" spans="4:21" ht="15" customHeight="1" x14ac:dyDescent="0.3">
      <c r="D47" s="828" t="s">
        <v>274</v>
      </c>
      <c r="E47" s="508" t="s">
        <v>263</v>
      </c>
      <c r="F47" s="603">
        <v>1</v>
      </c>
      <c r="G47" s="568">
        <v>0</v>
      </c>
      <c r="H47" s="568">
        <v>0</v>
      </c>
      <c r="I47" s="568">
        <v>0</v>
      </c>
      <c r="J47" s="568">
        <v>2</v>
      </c>
      <c r="K47" s="568">
        <v>0</v>
      </c>
      <c r="L47" s="568">
        <v>0</v>
      </c>
      <c r="M47" s="568">
        <v>0</v>
      </c>
      <c r="N47" s="568">
        <v>0</v>
      </c>
      <c r="O47" s="568">
        <v>11</v>
      </c>
      <c r="P47" s="568">
        <v>17</v>
      </c>
      <c r="Q47" s="568">
        <v>0</v>
      </c>
      <c r="R47" s="344">
        <v>11</v>
      </c>
      <c r="S47" s="568">
        <v>0</v>
      </c>
      <c r="T47">
        <f t="shared" si="0"/>
        <v>31</v>
      </c>
      <c r="U47">
        <f t="shared" si="1"/>
        <v>11</v>
      </c>
    </row>
    <row r="48" spans="4:21" ht="15" customHeight="1" x14ac:dyDescent="0.3">
      <c r="D48" s="830"/>
      <c r="E48" s="509" t="s">
        <v>264</v>
      </c>
      <c r="F48" s="572">
        <v>20</v>
      </c>
      <c r="G48" s="569">
        <v>27</v>
      </c>
      <c r="H48" s="569">
        <v>0</v>
      </c>
      <c r="I48" s="569">
        <v>0</v>
      </c>
      <c r="J48" s="569">
        <v>56</v>
      </c>
      <c r="K48" s="569">
        <v>26</v>
      </c>
      <c r="L48" s="569">
        <v>34</v>
      </c>
      <c r="M48" s="569">
        <v>0</v>
      </c>
      <c r="N48" s="569">
        <v>15</v>
      </c>
      <c r="O48" s="569">
        <v>11</v>
      </c>
      <c r="P48" s="569">
        <v>50</v>
      </c>
      <c r="Q48" s="569">
        <v>0</v>
      </c>
      <c r="R48" s="335">
        <v>35</v>
      </c>
      <c r="S48" s="569">
        <v>0</v>
      </c>
      <c r="T48">
        <f t="shared" si="0"/>
        <v>210</v>
      </c>
      <c r="U48">
        <f t="shared" si="1"/>
        <v>64</v>
      </c>
    </row>
    <row r="49" spans="4:21" ht="15" customHeight="1" x14ac:dyDescent="0.3">
      <c r="D49" s="830"/>
      <c r="E49" s="509" t="s">
        <v>26</v>
      </c>
      <c r="F49" s="572">
        <v>119</v>
      </c>
      <c r="G49" s="572">
        <v>41</v>
      </c>
      <c r="H49" s="572">
        <v>10</v>
      </c>
      <c r="I49" s="572">
        <v>42</v>
      </c>
      <c r="J49" s="572">
        <v>190</v>
      </c>
      <c r="K49" s="572">
        <v>50</v>
      </c>
      <c r="L49" s="572">
        <v>182</v>
      </c>
      <c r="M49" s="572">
        <v>44</v>
      </c>
      <c r="N49" s="572">
        <v>82</v>
      </c>
      <c r="O49" s="572">
        <v>12</v>
      </c>
      <c r="P49" s="572">
        <v>107</v>
      </c>
      <c r="Q49" s="572">
        <v>30</v>
      </c>
      <c r="R49" s="335">
        <v>29</v>
      </c>
      <c r="S49" s="572">
        <v>31</v>
      </c>
      <c r="T49">
        <f t="shared" si="0"/>
        <v>719</v>
      </c>
      <c r="U49">
        <f t="shared" si="1"/>
        <v>250</v>
      </c>
    </row>
    <row r="50" spans="4:21" ht="15" customHeight="1" thickBot="1" x14ac:dyDescent="0.35">
      <c r="D50" s="831"/>
      <c r="E50" s="510" t="s">
        <v>275</v>
      </c>
      <c r="F50" s="573">
        <v>0</v>
      </c>
      <c r="G50" s="573">
        <v>0</v>
      </c>
      <c r="H50" s="573">
        <v>0</v>
      </c>
      <c r="I50" s="573">
        <v>0</v>
      </c>
      <c r="J50" s="573">
        <v>0</v>
      </c>
      <c r="K50" s="573">
        <v>0</v>
      </c>
      <c r="L50" s="573">
        <v>0</v>
      </c>
      <c r="M50" s="573">
        <v>0</v>
      </c>
      <c r="N50" s="573">
        <v>0</v>
      </c>
      <c r="O50" s="573">
        <v>0</v>
      </c>
      <c r="P50" s="573">
        <v>0</v>
      </c>
      <c r="Q50" s="573">
        <v>0</v>
      </c>
      <c r="R50" s="345">
        <v>0</v>
      </c>
      <c r="S50" s="573">
        <v>0</v>
      </c>
      <c r="T50">
        <f t="shared" si="0"/>
        <v>0</v>
      </c>
      <c r="U50">
        <f t="shared" si="1"/>
        <v>0</v>
      </c>
    </row>
    <row r="51" spans="4:21" ht="15" customHeight="1" x14ac:dyDescent="0.3">
      <c r="D51" s="817" t="s">
        <v>276</v>
      </c>
      <c r="E51" s="132" t="s">
        <v>277</v>
      </c>
      <c r="F51" s="125">
        <v>1</v>
      </c>
      <c r="G51" s="125">
        <v>0</v>
      </c>
      <c r="H51" s="125">
        <v>0</v>
      </c>
      <c r="I51" s="125">
        <v>0</v>
      </c>
      <c r="J51" s="125">
        <v>1</v>
      </c>
      <c r="K51" s="125">
        <v>0</v>
      </c>
      <c r="L51" s="125">
        <v>0</v>
      </c>
      <c r="M51" s="125">
        <v>0</v>
      </c>
      <c r="N51" s="125">
        <v>0</v>
      </c>
      <c r="O51" s="125">
        <v>0</v>
      </c>
      <c r="P51" s="125">
        <v>4</v>
      </c>
      <c r="Q51" s="125">
        <v>0</v>
      </c>
      <c r="R51" s="339">
        <v>2</v>
      </c>
      <c r="S51" s="125">
        <v>0</v>
      </c>
      <c r="T51">
        <f t="shared" si="0"/>
        <v>8</v>
      </c>
      <c r="U51">
        <f t="shared" si="1"/>
        <v>0</v>
      </c>
    </row>
    <row r="52" spans="4:21" ht="15" customHeight="1" x14ac:dyDescent="0.3">
      <c r="D52" s="823"/>
      <c r="E52" s="128" t="s">
        <v>278</v>
      </c>
      <c r="F52" s="127">
        <v>7</v>
      </c>
      <c r="G52" s="127">
        <v>0</v>
      </c>
      <c r="H52" s="127">
        <v>0</v>
      </c>
      <c r="I52" s="127">
        <v>0</v>
      </c>
      <c r="J52" s="127">
        <v>6</v>
      </c>
      <c r="K52" s="127">
        <v>0</v>
      </c>
      <c r="L52" s="127">
        <v>17</v>
      </c>
      <c r="M52" s="127">
        <v>0</v>
      </c>
      <c r="N52" s="127">
        <v>0</v>
      </c>
      <c r="O52" s="127">
        <v>0</v>
      </c>
      <c r="P52" s="127">
        <v>1</v>
      </c>
      <c r="Q52" s="127">
        <v>0</v>
      </c>
      <c r="R52" s="340">
        <v>1</v>
      </c>
      <c r="S52" s="127">
        <v>0</v>
      </c>
      <c r="T52">
        <f t="shared" si="0"/>
        <v>32</v>
      </c>
      <c r="U52">
        <f t="shared" si="1"/>
        <v>0</v>
      </c>
    </row>
    <row r="53" spans="4:21" ht="15" customHeight="1" x14ac:dyDescent="0.3">
      <c r="D53" s="823"/>
      <c r="E53" s="128" t="s">
        <v>279</v>
      </c>
      <c r="F53" s="127">
        <v>23</v>
      </c>
      <c r="G53" s="127">
        <v>3</v>
      </c>
      <c r="H53" s="127">
        <v>0</v>
      </c>
      <c r="I53" s="127">
        <v>0</v>
      </c>
      <c r="J53" s="127">
        <v>20</v>
      </c>
      <c r="K53" s="127">
        <v>9</v>
      </c>
      <c r="L53" s="127">
        <v>20</v>
      </c>
      <c r="M53" s="127">
        <v>0</v>
      </c>
      <c r="N53" s="127">
        <v>0</v>
      </c>
      <c r="O53" s="127">
        <v>0</v>
      </c>
      <c r="P53" s="127">
        <v>2</v>
      </c>
      <c r="Q53" s="127">
        <v>0</v>
      </c>
      <c r="R53" s="340">
        <v>8</v>
      </c>
      <c r="S53" s="127">
        <v>0</v>
      </c>
      <c r="T53">
        <f t="shared" si="0"/>
        <v>73</v>
      </c>
      <c r="U53">
        <f t="shared" si="1"/>
        <v>12</v>
      </c>
    </row>
    <row r="54" spans="4:21" ht="15" customHeight="1" x14ac:dyDescent="0.3">
      <c r="D54" s="823"/>
      <c r="E54" s="128" t="s">
        <v>237</v>
      </c>
      <c r="F54" s="127">
        <v>98</v>
      </c>
      <c r="G54" s="127">
        <v>35</v>
      </c>
      <c r="H54" s="127">
        <v>10</v>
      </c>
      <c r="I54" s="127">
        <v>4</v>
      </c>
      <c r="J54" s="127">
        <v>211</v>
      </c>
      <c r="K54" s="127">
        <v>26</v>
      </c>
      <c r="L54" s="127">
        <v>168</v>
      </c>
      <c r="M54" s="127">
        <v>20</v>
      </c>
      <c r="N54" s="127">
        <v>97</v>
      </c>
      <c r="O54" s="127">
        <v>18</v>
      </c>
      <c r="P54" s="127">
        <v>167</v>
      </c>
      <c r="Q54" s="127">
        <v>20</v>
      </c>
      <c r="R54" s="340">
        <v>63</v>
      </c>
      <c r="S54" s="127">
        <v>21</v>
      </c>
      <c r="T54">
        <f t="shared" si="0"/>
        <v>814</v>
      </c>
      <c r="U54">
        <f t="shared" si="1"/>
        <v>144</v>
      </c>
    </row>
    <row r="55" spans="4:21" ht="15" customHeight="1" x14ac:dyDescent="0.3">
      <c r="D55" s="823"/>
      <c r="E55" s="128" t="s">
        <v>239</v>
      </c>
      <c r="F55" s="127">
        <v>1</v>
      </c>
      <c r="G55" s="127">
        <v>0</v>
      </c>
      <c r="H55" s="127">
        <v>0</v>
      </c>
      <c r="I55" s="127">
        <v>0</v>
      </c>
      <c r="J55" s="127">
        <v>2</v>
      </c>
      <c r="K55" s="127">
        <v>0</v>
      </c>
      <c r="L55" s="127">
        <v>0</v>
      </c>
      <c r="M55" s="127">
        <v>0</v>
      </c>
      <c r="N55" s="127">
        <v>0</v>
      </c>
      <c r="O55" s="127">
        <v>0</v>
      </c>
      <c r="P55" s="127">
        <v>0</v>
      </c>
      <c r="Q55" s="127">
        <v>0</v>
      </c>
      <c r="R55" s="340">
        <v>0</v>
      </c>
      <c r="S55" s="127">
        <v>1</v>
      </c>
      <c r="T55">
        <f t="shared" si="0"/>
        <v>3</v>
      </c>
      <c r="U55">
        <f t="shared" si="1"/>
        <v>1</v>
      </c>
    </row>
    <row r="56" spans="4:21" ht="15" customHeight="1" thickBot="1" x14ac:dyDescent="0.35">
      <c r="D56" s="824"/>
      <c r="E56" s="129" t="s">
        <v>238</v>
      </c>
      <c r="F56" s="130">
        <v>10</v>
      </c>
      <c r="G56" s="130">
        <v>30</v>
      </c>
      <c r="H56" s="130">
        <v>0</v>
      </c>
      <c r="I56" s="130">
        <v>38</v>
      </c>
      <c r="J56" s="130">
        <v>8</v>
      </c>
      <c r="K56" s="130">
        <v>41</v>
      </c>
      <c r="L56" s="130">
        <v>11</v>
      </c>
      <c r="M56" s="130">
        <v>24</v>
      </c>
      <c r="N56" s="130">
        <v>0</v>
      </c>
      <c r="O56" s="130">
        <v>6</v>
      </c>
      <c r="P56" s="130">
        <v>0</v>
      </c>
      <c r="Q56" s="130">
        <v>10</v>
      </c>
      <c r="R56" s="341">
        <v>0</v>
      </c>
      <c r="S56" s="130">
        <v>9</v>
      </c>
      <c r="T56">
        <f t="shared" si="0"/>
        <v>29</v>
      </c>
      <c r="U56">
        <f t="shared" si="1"/>
        <v>158</v>
      </c>
    </row>
  </sheetData>
  <mergeCells count="15">
    <mergeCell ref="D3:S3"/>
    <mergeCell ref="D17:D23"/>
    <mergeCell ref="D5:D8"/>
    <mergeCell ref="D9:D11"/>
    <mergeCell ref="D12:D14"/>
    <mergeCell ref="D15:D16"/>
    <mergeCell ref="D44:D46"/>
    <mergeCell ref="D47:D50"/>
    <mergeCell ref="D51:D56"/>
    <mergeCell ref="D24:D26"/>
    <mergeCell ref="D27:D30"/>
    <mergeCell ref="D31:D32"/>
    <mergeCell ref="D33:D35"/>
    <mergeCell ref="D36:D39"/>
    <mergeCell ref="D40:D4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F3FD-0D2E-4139-B900-FE8F1ED6E6AC}">
  <dimension ref="D5:M24"/>
  <sheetViews>
    <sheetView workbookViewId="0">
      <selection activeCell="I27" sqref="I27"/>
    </sheetView>
  </sheetViews>
  <sheetFormatPr baseColWidth="10" defaultRowHeight="15" x14ac:dyDescent="0.25"/>
  <cols>
    <col min="4" max="4" width="66.28515625" bestFit="1" customWidth="1"/>
    <col min="5" max="5" width="16.5703125" bestFit="1" customWidth="1"/>
    <col min="6" max="13" width="13.5703125" customWidth="1"/>
  </cols>
  <sheetData>
    <row r="5" spans="4:13" ht="15.75" x14ac:dyDescent="0.25">
      <c r="D5" s="836" t="s">
        <v>486</v>
      </c>
      <c r="E5" s="836"/>
      <c r="F5" s="836"/>
      <c r="G5" s="836"/>
      <c r="H5" s="836"/>
      <c r="I5" s="836"/>
      <c r="J5" s="836"/>
      <c r="K5" s="836"/>
      <c r="L5" s="836"/>
      <c r="M5" s="836"/>
    </row>
    <row r="6" spans="4:13" x14ac:dyDescent="0.25">
      <c r="D6" s="277" t="s">
        <v>240</v>
      </c>
      <c r="E6" s="278" t="s">
        <v>338</v>
      </c>
      <c r="F6" s="279" t="s">
        <v>152</v>
      </c>
      <c r="G6" s="279" t="s">
        <v>153</v>
      </c>
      <c r="H6" s="279" t="s">
        <v>363</v>
      </c>
      <c r="I6" s="279" t="s">
        <v>328</v>
      </c>
      <c r="J6" s="279" t="s">
        <v>354</v>
      </c>
      <c r="K6" s="279" t="s">
        <v>157</v>
      </c>
      <c r="L6" s="279" t="s">
        <v>158</v>
      </c>
      <c r="M6" s="279" t="s">
        <v>164</v>
      </c>
    </row>
    <row r="7" spans="4:13" ht="16.5" x14ac:dyDescent="0.25">
      <c r="D7" s="835" t="s">
        <v>335</v>
      </c>
      <c r="E7" s="245" t="s">
        <v>336</v>
      </c>
      <c r="F7" s="245"/>
      <c r="G7" s="245"/>
      <c r="H7" s="245"/>
      <c r="I7" s="245"/>
      <c r="J7" s="245"/>
      <c r="K7" s="245"/>
      <c r="L7" s="676"/>
      <c r="M7" s="245">
        <f>SUM(F7:L7)</f>
        <v>0</v>
      </c>
    </row>
    <row r="8" spans="4:13" ht="16.5" x14ac:dyDescent="0.25">
      <c r="D8" s="835"/>
      <c r="E8" s="245" t="s">
        <v>265</v>
      </c>
      <c r="F8" s="245"/>
      <c r="G8" s="245"/>
      <c r="H8" s="245"/>
      <c r="I8" s="245"/>
      <c r="J8" s="245"/>
      <c r="K8" s="245"/>
      <c r="L8" s="676"/>
      <c r="M8" s="245">
        <v>0</v>
      </c>
    </row>
    <row r="9" spans="4:13" ht="16.5" x14ac:dyDescent="0.25">
      <c r="D9" s="835"/>
      <c r="E9" s="245" t="s">
        <v>271</v>
      </c>
      <c r="F9" s="245"/>
      <c r="G9" s="245"/>
      <c r="H9" s="245"/>
      <c r="I9" s="245"/>
      <c r="J9" s="245"/>
      <c r="K9" s="245"/>
      <c r="L9" s="676" t="s">
        <v>604</v>
      </c>
      <c r="M9" s="245">
        <v>1</v>
      </c>
    </row>
    <row r="10" spans="4:13" ht="16.5" x14ac:dyDescent="0.25">
      <c r="D10" s="835" t="s">
        <v>337</v>
      </c>
      <c r="E10" s="245" t="s">
        <v>336</v>
      </c>
      <c r="F10" s="245"/>
      <c r="G10" s="245"/>
      <c r="H10" s="245"/>
      <c r="I10" s="245"/>
      <c r="J10" s="245"/>
      <c r="K10" s="245"/>
      <c r="L10" s="676"/>
      <c r="M10" s="245">
        <f t="shared" ref="M10:M22" si="0">SUM(F10:L10)</f>
        <v>0</v>
      </c>
    </row>
    <row r="11" spans="4:13" ht="16.5" x14ac:dyDescent="0.25">
      <c r="D11" s="835"/>
      <c r="E11" s="245" t="s">
        <v>265</v>
      </c>
      <c r="F11" s="245"/>
      <c r="G11" s="245"/>
      <c r="H11" s="245"/>
      <c r="I11" s="245"/>
      <c r="J11" s="245"/>
      <c r="K11" s="245"/>
      <c r="L11" s="676"/>
      <c r="M11" s="245">
        <f t="shared" si="0"/>
        <v>0</v>
      </c>
    </row>
    <row r="12" spans="4:13" ht="16.5" x14ac:dyDescent="0.25">
      <c r="D12" s="835"/>
      <c r="E12" s="245" t="s">
        <v>271</v>
      </c>
      <c r="F12" s="245"/>
      <c r="G12" s="245"/>
      <c r="H12" s="245"/>
      <c r="I12" s="245"/>
      <c r="J12" s="245"/>
      <c r="K12" s="245"/>
      <c r="L12" s="676" t="s">
        <v>604</v>
      </c>
      <c r="M12" s="245">
        <v>1</v>
      </c>
    </row>
    <row r="13" spans="4:13" ht="16.5" x14ac:dyDescent="0.25">
      <c r="D13" s="835" t="s">
        <v>331</v>
      </c>
      <c r="E13" s="245" t="s">
        <v>336</v>
      </c>
      <c r="F13" s="245"/>
      <c r="G13" s="245"/>
      <c r="H13" s="245"/>
      <c r="I13" s="245"/>
      <c r="J13" s="245"/>
      <c r="K13" s="245"/>
      <c r="L13" s="676"/>
      <c r="M13" s="245">
        <f t="shared" si="0"/>
        <v>0</v>
      </c>
    </row>
    <row r="14" spans="4:13" ht="16.5" x14ac:dyDescent="0.25">
      <c r="D14" s="835"/>
      <c r="E14" s="245" t="s">
        <v>265</v>
      </c>
      <c r="F14" s="245"/>
      <c r="G14" s="245"/>
      <c r="H14" s="245"/>
      <c r="I14" s="245"/>
      <c r="J14" s="245"/>
      <c r="K14" s="245"/>
      <c r="L14" s="676"/>
      <c r="M14" s="245">
        <v>0</v>
      </c>
    </row>
    <row r="15" spans="4:13" ht="16.5" x14ac:dyDescent="0.25">
      <c r="D15" s="835"/>
      <c r="E15" s="245" t="s">
        <v>271</v>
      </c>
      <c r="F15" s="245"/>
      <c r="G15" s="245"/>
      <c r="H15" s="245"/>
      <c r="I15" s="245"/>
      <c r="J15" s="245"/>
      <c r="K15" s="245"/>
      <c r="L15" s="676" t="s">
        <v>604</v>
      </c>
      <c r="M15" s="245">
        <v>1</v>
      </c>
    </row>
    <row r="16" spans="4:13" ht="16.5" x14ac:dyDescent="0.25">
      <c r="D16" s="835" t="s">
        <v>332</v>
      </c>
      <c r="E16" s="245" t="s">
        <v>336</v>
      </c>
      <c r="F16" s="245"/>
      <c r="G16" s="245"/>
      <c r="H16" s="245"/>
      <c r="I16" s="245"/>
      <c r="J16" s="245"/>
      <c r="K16" s="245"/>
      <c r="L16" s="676"/>
      <c r="M16" s="245">
        <f t="shared" si="0"/>
        <v>0</v>
      </c>
    </row>
    <row r="17" spans="4:13" ht="16.5" x14ac:dyDescent="0.25">
      <c r="D17" s="835"/>
      <c r="E17" s="245" t="s">
        <v>265</v>
      </c>
      <c r="F17" s="245"/>
      <c r="G17" s="245"/>
      <c r="H17" s="245"/>
      <c r="I17" s="245"/>
      <c r="J17" s="245"/>
      <c r="K17" s="245"/>
      <c r="L17" s="676"/>
      <c r="M17" s="245">
        <v>0</v>
      </c>
    </row>
    <row r="18" spans="4:13" ht="16.5" x14ac:dyDescent="0.25">
      <c r="D18" s="835"/>
      <c r="E18" s="245" t="s">
        <v>271</v>
      </c>
      <c r="F18" s="245"/>
      <c r="G18" s="245"/>
      <c r="H18" s="245"/>
      <c r="I18" s="245"/>
      <c r="J18" s="245"/>
      <c r="K18" s="245"/>
      <c r="L18" s="676" t="s">
        <v>604</v>
      </c>
      <c r="M18" s="245">
        <v>1</v>
      </c>
    </row>
    <row r="19" spans="4:13" ht="16.5" x14ac:dyDescent="0.25">
      <c r="D19" s="835" t="s">
        <v>333</v>
      </c>
      <c r="E19" s="245" t="s">
        <v>336</v>
      </c>
      <c r="F19" s="245"/>
      <c r="G19" s="245"/>
      <c r="H19" s="245"/>
      <c r="I19" s="245"/>
      <c r="J19" s="245"/>
      <c r="K19" s="245"/>
      <c r="L19" s="676"/>
      <c r="M19" s="245">
        <f t="shared" si="0"/>
        <v>0</v>
      </c>
    </row>
    <row r="20" spans="4:13" ht="16.5" x14ac:dyDescent="0.25">
      <c r="D20" s="835"/>
      <c r="E20" s="245" t="s">
        <v>265</v>
      </c>
      <c r="F20" s="245"/>
      <c r="G20" s="245"/>
      <c r="H20" s="245"/>
      <c r="I20" s="245"/>
      <c r="J20" s="245"/>
      <c r="K20" s="245"/>
      <c r="L20" s="676"/>
      <c r="M20" s="245">
        <v>0</v>
      </c>
    </row>
    <row r="21" spans="4:13" ht="16.5" x14ac:dyDescent="0.25">
      <c r="D21" s="835"/>
      <c r="E21" s="245" t="s">
        <v>271</v>
      </c>
      <c r="F21" s="245"/>
      <c r="G21" s="245"/>
      <c r="H21" s="245"/>
      <c r="I21" s="245"/>
      <c r="J21" s="245"/>
      <c r="K21" s="245"/>
      <c r="L21" s="676" t="s">
        <v>604</v>
      </c>
      <c r="M21" s="245">
        <v>1</v>
      </c>
    </row>
    <row r="22" spans="4:13" ht="16.5" x14ac:dyDescent="0.25">
      <c r="D22" s="835" t="s">
        <v>334</v>
      </c>
      <c r="E22" s="245" t="s">
        <v>336</v>
      </c>
      <c r="F22" s="245"/>
      <c r="G22" s="245"/>
      <c r="H22" s="245"/>
      <c r="I22" s="245"/>
      <c r="J22" s="245"/>
      <c r="K22" s="245"/>
      <c r="L22" s="676"/>
      <c r="M22" s="245">
        <f t="shared" si="0"/>
        <v>0</v>
      </c>
    </row>
    <row r="23" spans="4:13" ht="16.5" x14ac:dyDescent="0.25">
      <c r="D23" s="835"/>
      <c r="E23" s="245" t="s">
        <v>265</v>
      </c>
      <c r="F23" s="245"/>
      <c r="G23" s="245"/>
      <c r="H23" s="245"/>
      <c r="I23" s="245"/>
      <c r="J23" s="245"/>
      <c r="K23" s="245"/>
      <c r="L23" s="676"/>
      <c r="M23" s="245">
        <v>0</v>
      </c>
    </row>
    <row r="24" spans="4:13" ht="16.5" x14ac:dyDescent="0.25">
      <c r="D24" s="835"/>
      <c r="E24" s="245" t="s">
        <v>271</v>
      </c>
      <c r="F24" s="245"/>
      <c r="G24" s="245"/>
      <c r="H24" s="245"/>
      <c r="I24" s="245"/>
      <c r="J24" s="245"/>
      <c r="K24" s="245"/>
      <c r="L24" s="676" t="s">
        <v>604</v>
      </c>
      <c r="M24" s="245">
        <v>1</v>
      </c>
    </row>
  </sheetData>
  <mergeCells count="7">
    <mergeCell ref="D22:D24"/>
    <mergeCell ref="D5:M5"/>
    <mergeCell ref="D7:D9"/>
    <mergeCell ref="D10:D12"/>
    <mergeCell ref="D13:D15"/>
    <mergeCell ref="D16:D18"/>
    <mergeCell ref="D19:D21"/>
  </mergeCells>
  <phoneticPr fontId="1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A627-6819-4E33-BE26-D6D5114100D6}">
  <dimension ref="D1:L61"/>
  <sheetViews>
    <sheetView workbookViewId="0">
      <selection activeCell="F17" sqref="F17"/>
    </sheetView>
  </sheetViews>
  <sheetFormatPr baseColWidth="10" defaultRowHeight="15" x14ac:dyDescent="0.25"/>
  <cols>
    <col min="4" max="4" width="12.42578125" customWidth="1"/>
    <col min="5" max="7" width="19.85546875" style="19" customWidth="1"/>
    <col min="8" max="10" width="17.5703125" customWidth="1"/>
  </cols>
  <sheetData>
    <row r="1" spans="4:12" ht="15.75" thickBot="1" x14ac:dyDescent="0.3"/>
    <row r="2" spans="4:12" ht="15.75" thickBot="1" x14ac:dyDescent="0.3">
      <c r="D2" s="843" t="s">
        <v>312</v>
      </c>
      <c r="E2" s="844"/>
      <c r="F2" s="844"/>
      <c r="G2" s="844"/>
      <c r="H2" s="844"/>
      <c r="I2" s="844"/>
      <c r="J2" s="844"/>
      <c r="K2" s="844"/>
      <c r="L2" s="845"/>
    </row>
    <row r="3" spans="4:12" ht="26.25" thickBot="1" x14ac:dyDescent="0.3">
      <c r="D3" s="293" t="s">
        <v>203</v>
      </c>
      <c r="E3" s="312" t="s">
        <v>152</v>
      </c>
      <c r="F3" s="313" t="s">
        <v>301</v>
      </c>
      <c r="G3" s="314" t="s">
        <v>154</v>
      </c>
      <c r="H3" s="294" t="s">
        <v>328</v>
      </c>
      <c r="I3" s="295" t="s">
        <v>354</v>
      </c>
      <c r="J3" s="296" t="s">
        <v>157</v>
      </c>
      <c r="K3" s="297" t="s">
        <v>164</v>
      </c>
      <c r="L3" s="298" t="s">
        <v>204</v>
      </c>
    </row>
    <row r="4" spans="4:12" ht="15.75" thickBot="1" x14ac:dyDescent="0.3">
      <c r="D4" s="299" t="s">
        <v>141</v>
      </c>
      <c r="E4" s="300">
        <v>163</v>
      </c>
      <c r="F4" s="301">
        <v>184</v>
      </c>
      <c r="G4" s="302">
        <v>187</v>
      </c>
      <c r="H4" s="303">
        <v>442</v>
      </c>
      <c r="I4" s="300">
        <v>145</v>
      </c>
      <c r="J4" s="301">
        <v>149</v>
      </c>
      <c r="K4" s="302">
        <v>1270</v>
      </c>
      <c r="L4" s="304">
        <v>0.3145</v>
      </c>
    </row>
    <row r="5" spans="4:12" ht="27.75" thickBot="1" x14ac:dyDescent="0.3">
      <c r="D5" s="299" t="s">
        <v>142</v>
      </c>
      <c r="E5" s="300">
        <v>124</v>
      </c>
      <c r="F5" s="301">
        <v>171</v>
      </c>
      <c r="G5" s="302">
        <v>179</v>
      </c>
      <c r="H5" s="302">
        <v>432</v>
      </c>
      <c r="I5" s="300">
        <v>131</v>
      </c>
      <c r="J5" s="301">
        <v>127</v>
      </c>
      <c r="K5" s="302">
        <v>1164</v>
      </c>
      <c r="L5" s="304">
        <v>0.2883</v>
      </c>
    </row>
    <row r="6" spans="4:12" ht="15.75" thickBot="1" x14ac:dyDescent="0.3">
      <c r="D6" s="299" t="s">
        <v>110</v>
      </c>
      <c r="E6" s="300">
        <v>187</v>
      </c>
      <c r="F6" s="301">
        <v>186</v>
      </c>
      <c r="G6" s="302">
        <v>180</v>
      </c>
      <c r="H6" s="302">
        <v>471</v>
      </c>
      <c r="I6" s="300">
        <v>173</v>
      </c>
      <c r="J6" s="301">
        <v>163</v>
      </c>
      <c r="K6" s="302">
        <v>1360</v>
      </c>
      <c r="L6" s="304">
        <v>0.33679999999999999</v>
      </c>
    </row>
    <row r="7" spans="4:12" ht="27.75" thickBot="1" x14ac:dyDescent="0.3">
      <c r="D7" s="299" t="s">
        <v>143</v>
      </c>
      <c r="E7" s="300">
        <v>19</v>
      </c>
      <c r="F7" s="301">
        <v>28</v>
      </c>
      <c r="G7" s="302">
        <v>32</v>
      </c>
      <c r="H7" s="302">
        <v>27</v>
      </c>
      <c r="I7" s="300">
        <v>25</v>
      </c>
      <c r="J7" s="301">
        <v>19</v>
      </c>
      <c r="K7" s="302">
        <v>150</v>
      </c>
      <c r="L7" s="304">
        <v>3.7100000000000001E-2</v>
      </c>
    </row>
    <row r="8" spans="4:12" ht="41.25" thickBot="1" x14ac:dyDescent="0.3">
      <c r="D8" s="299" t="s">
        <v>144</v>
      </c>
      <c r="E8" s="300">
        <v>9</v>
      </c>
      <c r="F8" s="301">
        <v>11</v>
      </c>
      <c r="G8" s="302">
        <v>5</v>
      </c>
      <c r="H8" s="302">
        <v>12</v>
      </c>
      <c r="I8" s="300">
        <v>6</v>
      </c>
      <c r="J8" s="301">
        <v>8</v>
      </c>
      <c r="K8" s="302">
        <v>51</v>
      </c>
      <c r="L8" s="304">
        <v>1.26E-2</v>
      </c>
    </row>
    <row r="9" spans="4:12" ht="41.25" thickBot="1" x14ac:dyDescent="0.3">
      <c r="D9" s="299" t="s">
        <v>145</v>
      </c>
      <c r="E9" s="300">
        <v>2</v>
      </c>
      <c r="F9" s="301">
        <v>2</v>
      </c>
      <c r="G9" s="302">
        <v>8</v>
      </c>
      <c r="H9" s="302">
        <v>8</v>
      </c>
      <c r="I9" s="300">
        <v>14</v>
      </c>
      <c r="J9" s="301">
        <v>8</v>
      </c>
      <c r="K9" s="302">
        <v>41</v>
      </c>
      <c r="L9" s="304">
        <v>1.0200000000000001E-2</v>
      </c>
    </row>
    <row r="10" spans="4:12" ht="54.75" thickBot="1" x14ac:dyDescent="0.3">
      <c r="D10" s="299" t="s">
        <v>205</v>
      </c>
      <c r="E10" s="300">
        <v>1</v>
      </c>
      <c r="F10" s="301">
        <v>0</v>
      </c>
      <c r="G10" s="302">
        <v>0</v>
      </c>
      <c r="H10" s="305">
        <v>0</v>
      </c>
      <c r="I10" s="300">
        <v>0</v>
      </c>
      <c r="J10" s="301">
        <v>0</v>
      </c>
      <c r="K10" s="302">
        <v>1</v>
      </c>
      <c r="L10" s="304">
        <v>2.0000000000000001E-4</v>
      </c>
    </row>
    <row r="11" spans="4:12" ht="15.75" thickBot="1" x14ac:dyDescent="0.3">
      <c r="D11" s="306" t="s">
        <v>296</v>
      </c>
      <c r="E11" s="307">
        <v>505</v>
      </c>
      <c r="F11" s="308">
        <v>582</v>
      </c>
      <c r="G11" s="309">
        <v>591</v>
      </c>
      <c r="H11" s="309">
        <v>1392</v>
      </c>
      <c r="I11" s="307">
        <v>494</v>
      </c>
      <c r="J11" s="310">
        <v>474</v>
      </c>
      <c r="K11" s="308">
        <v>4038</v>
      </c>
      <c r="L11" s="311">
        <v>1</v>
      </c>
    </row>
    <row r="15" spans="4:12" ht="15.75" thickBot="1" x14ac:dyDescent="0.3"/>
    <row r="16" spans="4:12" ht="15.75" thickBot="1" x14ac:dyDescent="0.3">
      <c r="D16" s="837" t="s">
        <v>319</v>
      </c>
      <c r="E16" s="839" t="s">
        <v>141</v>
      </c>
      <c r="F16" s="840"/>
      <c r="G16" s="841" t="s">
        <v>142</v>
      </c>
      <c r="H16" s="842"/>
      <c r="I16" s="839" t="s">
        <v>110</v>
      </c>
      <c r="J16" s="840"/>
    </row>
    <row r="17" spans="4:10" ht="15.75" thickBot="1" x14ac:dyDescent="0.3">
      <c r="D17" s="838"/>
      <c r="E17" s="282">
        <v>2024</v>
      </c>
      <c r="F17" s="282">
        <v>2025</v>
      </c>
      <c r="G17" s="282">
        <v>2024</v>
      </c>
      <c r="H17" s="282">
        <v>2025</v>
      </c>
      <c r="I17" s="282">
        <v>2024</v>
      </c>
      <c r="J17" s="282">
        <v>2025</v>
      </c>
    </row>
    <row r="18" spans="4:10" ht="17.25" thickBot="1" x14ac:dyDescent="0.3">
      <c r="D18" s="283" t="s">
        <v>299</v>
      </c>
      <c r="E18" s="284">
        <v>152</v>
      </c>
      <c r="F18" s="285">
        <v>163</v>
      </c>
      <c r="G18" s="284">
        <v>96</v>
      </c>
      <c r="H18" s="285">
        <v>124</v>
      </c>
      <c r="I18" s="285">
        <v>174</v>
      </c>
      <c r="J18" s="285">
        <v>187</v>
      </c>
    </row>
    <row r="19" spans="4:10" ht="17.25" thickBot="1" x14ac:dyDescent="0.3">
      <c r="D19" s="283" t="s">
        <v>301</v>
      </c>
      <c r="E19" s="284">
        <v>160</v>
      </c>
      <c r="F19" s="285">
        <v>184</v>
      </c>
      <c r="G19" s="284">
        <v>126</v>
      </c>
      <c r="H19" s="285">
        <v>171</v>
      </c>
      <c r="I19" s="285">
        <v>162</v>
      </c>
      <c r="J19" s="285">
        <v>186</v>
      </c>
    </row>
    <row r="20" spans="4:10" ht="17.25" thickBot="1" x14ac:dyDescent="0.3">
      <c r="D20" s="283" t="s">
        <v>363</v>
      </c>
      <c r="E20" s="284">
        <v>152</v>
      </c>
      <c r="F20" s="285">
        <v>187</v>
      </c>
      <c r="G20" s="284">
        <v>138</v>
      </c>
      <c r="H20" s="285">
        <v>179</v>
      </c>
      <c r="I20" s="285">
        <v>160</v>
      </c>
      <c r="J20" s="285">
        <v>180</v>
      </c>
    </row>
    <row r="21" spans="4:10" ht="17.25" thickBot="1" x14ac:dyDescent="0.3">
      <c r="D21" s="283" t="s">
        <v>328</v>
      </c>
      <c r="E21" s="284">
        <v>155</v>
      </c>
      <c r="F21" s="285">
        <v>442</v>
      </c>
      <c r="G21" s="284">
        <v>134</v>
      </c>
      <c r="H21" s="285">
        <v>432</v>
      </c>
      <c r="I21" s="285">
        <v>196</v>
      </c>
      <c r="J21" s="285">
        <v>471</v>
      </c>
    </row>
    <row r="22" spans="4:10" ht="17.25" thickBot="1" x14ac:dyDescent="0.3">
      <c r="D22" s="286" t="s">
        <v>354</v>
      </c>
      <c r="E22" s="287">
        <v>177</v>
      </c>
      <c r="F22" s="288">
        <v>145</v>
      </c>
      <c r="G22" s="287">
        <v>152</v>
      </c>
      <c r="H22" s="288">
        <v>131</v>
      </c>
      <c r="I22" s="288">
        <v>192</v>
      </c>
      <c r="J22" s="288">
        <v>173</v>
      </c>
    </row>
    <row r="23" spans="4:10" ht="17.25" thickBot="1" x14ac:dyDescent="0.3">
      <c r="D23" s="281" t="s">
        <v>157</v>
      </c>
      <c r="E23" s="289">
        <v>130</v>
      </c>
      <c r="F23" s="290">
        <v>149</v>
      </c>
      <c r="G23" s="289">
        <v>124</v>
      </c>
      <c r="H23" s="290">
        <v>127</v>
      </c>
      <c r="I23" s="290">
        <v>150</v>
      </c>
      <c r="J23" s="290">
        <v>163</v>
      </c>
    </row>
    <row r="24" spans="4:10" ht="15.75" thickBot="1" x14ac:dyDescent="0.3">
      <c r="D24" s="291" t="s">
        <v>296</v>
      </c>
      <c r="E24" s="292">
        <v>926</v>
      </c>
      <c r="F24" s="292">
        <v>1270</v>
      </c>
      <c r="G24" s="292">
        <v>770</v>
      </c>
      <c r="H24" s="292">
        <v>1164</v>
      </c>
      <c r="I24" s="292">
        <v>1034</v>
      </c>
      <c r="J24" s="292">
        <v>1360</v>
      </c>
    </row>
    <row r="26" spans="4:10" ht="15.75" thickBot="1" x14ac:dyDescent="0.3"/>
    <row r="27" spans="4:10" ht="28.5" customHeight="1" thickBot="1" x14ac:dyDescent="0.3">
      <c r="D27" s="837" t="s">
        <v>319</v>
      </c>
      <c r="E27" s="839" t="s">
        <v>143</v>
      </c>
      <c r="F27" s="840"/>
      <c r="G27" s="841" t="s">
        <v>144</v>
      </c>
      <c r="H27" s="842"/>
      <c r="I27" s="839" t="s">
        <v>145</v>
      </c>
      <c r="J27" s="840"/>
    </row>
    <row r="28" spans="4:10" ht="15.75" thickBot="1" x14ac:dyDescent="0.3">
      <c r="D28" s="838"/>
      <c r="E28" s="282">
        <v>2024</v>
      </c>
      <c r="F28" s="282">
        <v>2025</v>
      </c>
      <c r="G28" s="282">
        <v>2024</v>
      </c>
      <c r="H28" s="282">
        <v>2025</v>
      </c>
      <c r="I28" s="282">
        <v>2024</v>
      </c>
      <c r="J28" s="282">
        <v>2025</v>
      </c>
    </row>
    <row r="29" spans="4:10" ht="17.25" thickBot="1" x14ac:dyDescent="0.3">
      <c r="D29" s="283" t="s">
        <v>299</v>
      </c>
      <c r="E29" s="284">
        <v>28</v>
      </c>
      <c r="F29" s="285">
        <v>19</v>
      </c>
      <c r="G29" s="284">
        <v>10</v>
      </c>
      <c r="H29" s="285">
        <v>9</v>
      </c>
      <c r="I29" s="285">
        <v>7</v>
      </c>
      <c r="J29" s="285">
        <v>2</v>
      </c>
    </row>
    <row r="30" spans="4:10" ht="17.25" thickBot="1" x14ac:dyDescent="0.3">
      <c r="D30" s="283" t="s">
        <v>301</v>
      </c>
      <c r="E30" s="284">
        <v>44</v>
      </c>
      <c r="F30" s="285">
        <v>28</v>
      </c>
      <c r="G30" s="284">
        <v>15</v>
      </c>
      <c r="H30" s="285">
        <v>11</v>
      </c>
      <c r="I30" s="285">
        <v>4</v>
      </c>
      <c r="J30" s="285">
        <v>2</v>
      </c>
    </row>
    <row r="31" spans="4:10" ht="17.25" thickBot="1" x14ac:dyDescent="0.3">
      <c r="D31" s="283" t="s">
        <v>363</v>
      </c>
      <c r="E31" s="284">
        <v>26</v>
      </c>
      <c r="F31" s="285">
        <v>32</v>
      </c>
      <c r="G31" s="284">
        <v>5</v>
      </c>
      <c r="H31" s="285">
        <v>5</v>
      </c>
      <c r="I31" s="285">
        <v>4</v>
      </c>
      <c r="J31" s="285">
        <v>7</v>
      </c>
    </row>
    <row r="32" spans="4:10" ht="17.25" thickBot="1" x14ac:dyDescent="0.3">
      <c r="D32" s="283" t="s">
        <v>328</v>
      </c>
      <c r="E32" s="284">
        <v>33</v>
      </c>
      <c r="F32" s="285">
        <v>27</v>
      </c>
      <c r="G32" s="284">
        <v>8</v>
      </c>
      <c r="H32" s="285">
        <v>12</v>
      </c>
      <c r="I32" s="285">
        <v>4</v>
      </c>
      <c r="J32" s="285">
        <v>8</v>
      </c>
    </row>
    <row r="33" spans="4:10" ht="17.25" thickBot="1" x14ac:dyDescent="0.3">
      <c r="D33" s="286" t="s">
        <v>354</v>
      </c>
      <c r="E33" s="287">
        <v>28</v>
      </c>
      <c r="F33" s="288">
        <v>25</v>
      </c>
      <c r="G33" s="287">
        <v>7</v>
      </c>
      <c r="H33" s="288">
        <v>8</v>
      </c>
      <c r="I33" s="288">
        <v>0</v>
      </c>
      <c r="J33" s="288">
        <v>14</v>
      </c>
    </row>
    <row r="34" spans="4:10" ht="17.25" thickBot="1" x14ac:dyDescent="0.3">
      <c r="D34" s="281" t="s">
        <v>157</v>
      </c>
      <c r="E34" s="289">
        <v>28</v>
      </c>
      <c r="F34" s="290">
        <v>19</v>
      </c>
      <c r="G34" s="289">
        <v>10</v>
      </c>
      <c r="H34" s="290">
        <v>6</v>
      </c>
      <c r="I34" s="290">
        <v>0</v>
      </c>
      <c r="J34" s="290">
        <v>8</v>
      </c>
    </row>
    <row r="35" spans="4:10" ht="15.75" thickBot="1" x14ac:dyDescent="0.3">
      <c r="D35" s="291" t="s">
        <v>296</v>
      </c>
      <c r="E35" s="292">
        <v>187</v>
      </c>
      <c r="F35" s="292">
        <v>150</v>
      </c>
      <c r="G35" s="292">
        <v>55</v>
      </c>
      <c r="H35" s="292">
        <v>51</v>
      </c>
      <c r="I35" s="292">
        <v>19</v>
      </c>
      <c r="J35" s="292">
        <v>41</v>
      </c>
    </row>
    <row r="38" spans="4:10" x14ac:dyDescent="0.25">
      <c r="D38" s="315" t="s">
        <v>364</v>
      </c>
      <c r="E38" s="316" t="s">
        <v>141</v>
      </c>
      <c r="F38" s="316" t="s">
        <v>142</v>
      </c>
      <c r="G38" s="316" t="s">
        <v>110</v>
      </c>
    </row>
    <row r="39" spans="4:10" x14ac:dyDescent="0.25">
      <c r="D39" s="109">
        <v>2024</v>
      </c>
      <c r="E39" s="47">
        <f>+E24</f>
        <v>926</v>
      </c>
      <c r="F39" s="47">
        <f>+G24</f>
        <v>770</v>
      </c>
      <c r="G39" s="47">
        <f>+I24</f>
        <v>1034</v>
      </c>
    </row>
    <row r="40" spans="4:10" x14ac:dyDescent="0.25">
      <c r="D40" s="109">
        <v>2025</v>
      </c>
      <c r="E40" s="47">
        <f>+F24</f>
        <v>1270</v>
      </c>
      <c r="F40" s="47">
        <f>+H24</f>
        <v>1164</v>
      </c>
      <c r="G40" s="47">
        <f>+J24</f>
        <v>1360</v>
      </c>
    </row>
    <row r="42" spans="4:10" ht="30" customHeight="1" x14ac:dyDescent="0.25"/>
    <row r="59" spans="4:7" ht="30" x14ac:dyDescent="0.25">
      <c r="D59" s="315" t="s">
        <v>364</v>
      </c>
      <c r="E59" s="317" t="s">
        <v>143</v>
      </c>
      <c r="F59" s="317" t="s">
        <v>144</v>
      </c>
      <c r="G59" s="317" t="s">
        <v>145</v>
      </c>
    </row>
    <row r="60" spans="4:7" x14ac:dyDescent="0.25">
      <c r="D60" s="109">
        <v>2024</v>
      </c>
      <c r="E60" s="47">
        <f>+E35</f>
        <v>187</v>
      </c>
      <c r="F60" s="47">
        <f>+G35</f>
        <v>55</v>
      </c>
      <c r="G60" s="47">
        <f>+I35</f>
        <v>19</v>
      </c>
    </row>
    <row r="61" spans="4:7" x14ac:dyDescent="0.25">
      <c r="D61" s="109">
        <v>2025</v>
      </c>
      <c r="E61" s="47">
        <f>+F35</f>
        <v>150</v>
      </c>
      <c r="F61" s="47">
        <f>+H35</f>
        <v>51</v>
      </c>
      <c r="G61" s="47">
        <f>+J35</f>
        <v>41</v>
      </c>
    </row>
  </sheetData>
  <mergeCells count="9">
    <mergeCell ref="D27:D28"/>
    <mergeCell ref="E27:F27"/>
    <mergeCell ref="G27:H27"/>
    <mergeCell ref="I27:J27"/>
    <mergeCell ref="D2:L2"/>
    <mergeCell ref="D16:D17"/>
    <mergeCell ref="E16:F16"/>
    <mergeCell ref="G16:H16"/>
    <mergeCell ref="I16:J1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B622-90B6-4FA9-BAAC-3373EE573340}">
  <dimension ref="A1"/>
  <sheetViews>
    <sheetView workbookViewId="0"/>
  </sheetViews>
  <sheetFormatPr baseColWidth="10"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F6C4-1768-4E72-B66C-C099985148CF}">
  <dimension ref="A1:CL906"/>
  <sheetViews>
    <sheetView topLeftCell="A44" workbookViewId="0">
      <selection activeCell="A42" sqref="A42:B42"/>
    </sheetView>
  </sheetViews>
  <sheetFormatPr baseColWidth="10" defaultColWidth="12.5703125" defaultRowHeight="15" customHeight="1" x14ac:dyDescent="0.3"/>
  <cols>
    <col min="1" max="1" width="14.85546875" style="513" customWidth="1"/>
    <col min="2" max="2" width="22.7109375" style="513" customWidth="1"/>
    <col min="3" max="3" width="14.85546875" style="513" customWidth="1"/>
    <col min="4" max="4" width="16.85546875" style="513" customWidth="1"/>
    <col min="5" max="5" width="17" style="513" customWidth="1"/>
    <col min="6" max="6" width="15.5703125" style="513" customWidth="1"/>
    <col min="7" max="7" width="16.5703125" style="513" customWidth="1"/>
    <col min="8" max="10" width="15.5703125" style="513" customWidth="1"/>
    <col min="11" max="15" width="15.5703125" style="513" hidden="1" customWidth="1"/>
    <col min="16" max="16" width="17" style="513" hidden="1" customWidth="1"/>
    <col min="17" max="17" width="16" style="513" hidden="1" customWidth="1"/>
    <col min="18" max="18" width="17.28515625" style="513" hidden="1" customWidth="1"/>
    <col min="19" max="19" width="16" style="513" hidden="1" customWidth="1"/>
    <col min="20" max="20" width="17.28515625" style="513" hidden="1" customWidth="1"/>
    <col min="21" max="25" width="17" style="513" customWidth="1"/>
    <col min="26" max="26" width="11.42578125" style="513" customWidth="1"/>
    <col min="27" max="30" width="17" style="513" customWidth="1"/>
    <col min="31" max="31" width="11.42578125" style="513" customWidth="1"/>
    <col min="32" max="32" width="16" style="513" customWidth="1"/>
    <col min="33" max="33" width="17.7109375" style="513" customWidth="1"/>
    <col min="34" max="34" width="16" style="513" customWidth="1"/>
    <col min="35" max="35" width="18" style="513" customWidth="1"/>
    <col min="36" max="36" width="11.42578125" style="513" customWidth="1"/>
    <col min="37" max="37" width="14.140625" style="513" customWidth="1"/>
    <col min="38" max="38" width="17.140625" style="513" customWidth="1"/>
    <col min="39" max="39" width="14.140625" style="513" customWidth="1"/>
    <col min="40" max="40" width="21.140625" style="513" customWidth="1"/>
    <col min="41" max="42" width="14.140625" style="513" customWidth="1"/>
    <col min="43" max="43" width="17" style="513" customWidth="1"/>
    <col min="44" max="44" width="14.140625" style="513" customWidth="1"/>
    <col min="45" max="45" width="21.85546875" style="513" customWidth="1"/>
    <col min="46" max="47" width="14.140625" style="513" customWidth="1"/>
    <col min="48" max="48" width="17.42578125" style="513" customWidth="1"/>
    <col min="49" max="49" width="16.140625" style="513" customWidth="1"/>
    <col min="50" max="50" width="19.140625" style="513" customWidth="1"/>
    <col min="51" max="52" width="14.140625" style="513" customWidth="1"/>
    <col min="53" max="53" width="17" style="513" customWidth="1"/>
    <col min="54" max="54" width="14.140625" style="513" customWidth="1"/>
    <col min="55" max="55" width="17.85546875" style="513" customWidth="1"/>
    <col min="56" max="56" width="12.5703125" style="512"/>
    <col min="57" max="59" width="16" style="512" customWidth="1"/>
    <col min="60" max="60" width="20.140625" style="512" customWidth="1"/>
    <col min="61" max="64" width="16" style="512" customWidth="1"/>
    <col min="65" max="65" width="20.85546875" style="512" customWidth="1"/>
    <col min="66" max="90" width="12.5703125" style="512"/>
    <col min="91" max="16384" width="12.5703125" style="513"/>
  </cols>
  <sheetData>
    <row r="1" spans="1:55" ht="26.25" customHeight="1" x14ac:dyDescent="0.3">
      <c r="A1" s="684"/>
      <c r="B1" s="685"/>
      <c r="C1" s="685"/>
      <c r="D1" s="685"/>
      <c r="E1" s="686"/>
      <c r="F1" s="693" t="s">
        <v>438</v>
      </c>
      <c r="G1" s="685"/>
      <c r="H1" s="685"/>
      <c r="I1" s="685"/>
      <c r="J1" s="685"/>
      <c r="K1" s="685"/>
      <c r="L1" s="685"/>
      <c r="M1" s="685"/>
      <c r="N1" s="685"/>
      <c r="O1" s="685"/>
      <c r="P1" s="685"/>
      <c r="Q1" s="685"/>
      <c r="R1" s="685"/>
      <c r="S1" s="685"/>
      <c r="T1" s="685"/>
      <c r="U1" s="685"/>
      <c r="V1" s="685"/>
      <c r="W1" s="685"/>
      <c r="X1" s="685"/>
      <c r="Y1" s="685"/>
      <c r="Z1" s="685"/>
      <c r="AA1" s="685"/>
      <c r="AB1" s="686"/>
      <c r="AC1" s="511"/>
      <c r="AD1" s="511"/>
      <c r="AE1" s="511"/>
      <c r="AF1" s="511"/>
      <c r="AG1" s="511"/>
      <c r="AH1" s="511"/>
      <c r="AI1" s="511"/>
      <c r="AJ1" s="511"/>
      <c r="AK1" s="511"/>
      <c r="AL1" s="511"/>
      <c r="AM1" s="511"/>
      <c r="AN1" s="511"/>
      <c r="AO1" s="511"/>
      <c r="AP1" s="511"/>
      <c r="AQ1" s="511"/>
      <c r="AR1" s="511"/>
      <c r="AS1" s="511"/>
      <c r="AT1" s="511"/>
      <c r="AU1" s="511"/>
      <c r="AV1" s="511"/>
      <c r="AW1" s="511"/>
      <c r="AX1" s="511"/>
      <c r="AY1" s="511"/>
      <c r="AZ1" s="511"/>
      <c r="BA1" s="511"/>
      <c r="BB1" s="511"/>
      <c r="BC1" s="511"/>
    </row>
    <row r="2" spans="1:55" ht="26.25" customHeight="1" x14ac:dyDescent="0.3">
      <c r="A2" s="687"/>
      <c r="B2" s="688"/>
      <c r="C2" s="688"/>
      <c r="D2" s="688"/>
      <c r="E2" s="689"/>
      <c r="F2" s="690"/>
      <c r="G2" s="691"/>
      <c r="H2" s="691"/>
      <c r="I2" s="691"/>
      <c r="J2" s="691"/>
      <c r="K2" s="691"/>
      <c r="L2" s="691"/>
      <c r="M2" s="691"/>
      <c r="N2" s="691"/>
      <c r="O2" s="691"/>
      <c r="P2" s="691"/>
      <c r="Q2" s="691"/>
      <c r="R2" s="691"/>
      <c r="S2" s="691"/>
      <c r="T2" s="691"/>
      <c r="U2" s="691"/>
      <c r="V2" s="691"/>
      <c r="W2" s="691"/>
      <c r="X2" s="691"/>
      <c r="Y2" s="691"/>
      <c r="Z2" s="691"/>
      <c r="AA2" s="691"/>
      <c r="AB2" s="692"/>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row>
    <row r="3" spans="1:55" ht="26.25" customHeight="1" x14ac:dyDescent="0.3">
      <c r="A3" s="687"/>
      <c r="B3" s="688"/>
      <c r="C3" s="688"/>
      <c r="D3" s="688"/>
      <c r="E3" s="689"/>
      <c r="F3" s="693" t="s">
        <v>439</v>
      </c>
      <c r="G3" s="685"/>
      <c r="H3" s="685"/>
      <c r="I3" s="685"/>
      <c r="J3" s="685"/>
      <c r="K3" s="685"/>
      <c r="L3" s="685"/>
      <c r="M3" s="685"/>
      <c r="N3" s="685"/>
      <c r="O3" s="685"/>
      <c r="P3" s="685"/>
      <c r="Q3" s="685"/>
      <c r="R3" s="685"/>
      <c r="S3" s="685"/>
      <c r="T3" s="685"/>
      <c r="U3" s="685"/>
      <c r="V3" s="685"/>
      <c r="W3" s="685"/>
      <c r="X3" s="685"/>
      <c r="Y3" s="685"/>
      <c r="Z3" s="685"/>
      <c r="AA3" s="685"/>
      <c r="AB3" s="686"/>
      <c r="AC3" s="511"/>
      <c r="AD3" s="511"/>
      <c r="AE3" s="511"/>
      <c r="AF3" s="511"/>
      <c r="AG3" s="511"/>
      <c r="AH3" s="511"/>
      <c r="AI3" s="511"/>
      <c r="AJ3" s="511"/>
      <c r="AK3" s="511"/>
      <c r="AL3" s="511"/>
      <c r="AM3" s="511"/>
      <c r="AN3" s="511"/>
      <c r="AO3" s="511"/>
      <c r="AP3" s="511"/>
      <c r="AQ3" s="511"/>
      <c r="AR3" s="511"/>
      <c r="AS3" s="511"/>
      <c r="AT3" s="511"/>
      <c r="AU3" s="511"/>
      <c r="AV3" s="511"/>
      <c r="AW3" s="511"/>
      <c r="AX3" s="511"/>
      <c r="AY3" s="511"/>
      <c r="AZ3" s="511"/>
      <c r="BA3" s="511"/>
      <c r="BB3" s="511"/>
      <c r="BC3" s="511"/>
    </row>
    <row r="4" spans="1:55" ht="26.25" customHeight="1" x14ac:dyDescent="0.3">
      <c r="A4" s="690"/>
      <c r="B4" s="691"/>
      <c r="C4" s="691"/>
      <c r="D4" s="691"/>
      <c r="E4" s="692"/>
      <c r="F4" s="690"/>
      <c r="G4" s="691"/>
      <c r="H4" s="691"/>
      <c r="I4" s="691"/>
      <c r="J4" s="691"/>
      <c r="K4" s="691"/>
      <c r="L4" s="691"/>
      <c r="M4" s="691"/>
      <c r="N4" s="691"/>
      <c r="O4" s="691"/>
      <c r="P4" s="691"/>
      <c r="Q4" s="691"/>
      <c r="R4" s="691"/>
      <c r="S4" s="691"/>
      <c r="T4" s="691"/>
      <c r="U4" s="691"/>
      <c r="V4" s="691"/>
      <c r="W4" s="691"/>
      <c r="X4" s="691"/>
      <c r="Y4" s="691"/>
      <c r="Z4" s="691"/>
      <c r="AA4" s="691"/>
      <c r="AB4" s="692"/>
      <c r="AC4" s="511"/>
      <c r="AD4" s="511"/>
      <c r="AE4" s="511"/>
      <c r="AF4" s="511"/>
      <c r="AG4" s="511"/>
      <c r="AH4" s="511"/>
      <c r="AI4" s="511"/>
      <c r="AJ4" s="511"/>
      <c r="AK4" s="511"/>
      <c r="AL4" s="511"/>
      <c r="AM4" s="511"/>
      <c r="AN4" s="511"/>
      <c r="AO4" s="511"/>
      <c r="AP4" s="511"/>
      <c r="AQ4" s="511"/>
      <c r="AR4" s="511"/>
      <c r="AS4" s="511"/>
      <c r="AT4" s="511"/>
      <c r="AU4" s="511"/>
      <c r="AV4" s="511"/>
      <c r="AW4" s="511"/>
      <c r="AX4" s="511"/>
      <c r="AY4" s="511"/>
      <c r="AZ4" s="511"/>
      <c r="BA4" s="511"/>
      <c r="BB4" s="511"/>
      <c r="BC4" s="511"/>
    </row>
    <row r="5" spans="1:55" ht="16.5" customHeight="1" x14ac:dyDescent="0.3">
      <c r="A5" s="511"/>
      <c r="B5" s="511"/>
      <c r="C5" s="511"/>
      <c r="D5" s="511"/>
      <c r="E5" s="511"/>
      <c r="F5" s="511"/>
      <c r="G5" s="511"/>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c r="AY5" s="511"/>
      <c r="AZ5" s="511"/>
      <c r="BA5" s="511"/>
      <c r="BB5" s="511"/>
      <c r="BC5" s="511"/>
    </row>
    <row r="6" spans="1:55" ht="16.5" customHeight="1" x14ac:dyDescent="0.3">
      <c r="A6" s="514" t="s">
        <v>440</v>
      </c>
      <c r="B6" s="511"/>
      <c r="C6" s="511"/>
      <c r="D6" s="511"/>
      <c r="E6" s="511"/>
      <c r="F6" s="515"/>
      <c r="G6" s="511"/>
      <c r="H6" s="516"/>
      <c r="I6" s="516"/>
      <c r="J6" s="516"/>
      <c r="K6" s="516"/>
      <c r="L6" s="516"/>
      <c r="M6" s="516"/>
      <c r="N6" s="516"/>
      <c r="O6" s="516"/>
      <c r="P6" s="516"/>
      <c r="Q6" s="516"/>
      <c r="R6" s="516"/>
      <c r="S6" s="516"/>
      <c r="T6" s="516"/>
      <c r="U6" s="516"/>
      <c r="V6" s="516"/>
      <c r="W6" s="516"/>
      <c r="X6" s="516"/>
      <c r="Y6" s="516"/>
      <c r="Z6" s="516"/>
      <c r="AA6" s="516"/>
      <c r="AB6" s="516"/>
      <c r="AC6" s="516"/>
      <c r="AD6" s="516"/>
      <c r="AE6" s="516"/>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row>
    <row r="7" spans="1:55" ht="16.5" customHeight="1" x14ac:dyDescent="0.3">
      <c r="A7" s="514"/>
      <c r="B7" s="511"/>
      <c r="C7" s="511"/>
      <c r="D7" s="511"/>
      <c r="E7" s="511"/>
      <c r="F7" s="515"/>
      <c r="G7" s="511"/>
      <c r="H7" s="516"/>
      <c r="I7" s="516"/>
      <c r="J7" s="516"/>
      <c r="K7" s="516"/>
      <c r="L7" s="516"/>
      <c r="M7" s="516"/>
      <c r="N7" s="516"/>
      <c r="O7" s="516"/>
      <c r="P7" s="516"/>
      <c r="Q7" s="516"/>
      <c r="R7" s="516"/>
      <c r="S7" s="516"/>
      <c r="T7" s="516"/>
      <c r="U7" s="516"/>
      <c r="V7" s="516"/>
      <c r="W7" s="516"/>
      <c r="X7" s="516"/>
      <c r="Y7" s="516"/>
      <c r="Z7" s="516"/>
      <c r="AA7" s="516"/>
      <c r="AB7" s="516"/>
      <c r="AC7" s="516"/>
      <c r="AD7" s="516"/>
      <c r="AE7" s="516"/>
      <c r="AF7" s="511"/>
      <c r="AG7" s="511"/>
      <c r="AH7" s="511"/>
      <c r="AI7" s="511"/>
      <c r="AJ7" s="511"/>
      <c r="AK7" s="511"/>
      <c r="AL7" s="511"/>
      <c r="AM7" s="511"/>
      <c r="AN7" s="511"/>
      <c r="AO7" s="511"/>
      <c r="AP7" s="511"/>
      <c r="AQ7" s="511"/>
      <c r="AR7" s="511"/>
      <c r="AS7" s="511"/>
      <c r="AT7" s="511"/>
      <c r="AU7" s="511"/>
      <c r="AV7" s="511"/>
      <c r="AW7" s="511"/>
      <c r="AX7" s="511"/>
      <c r="AY7" s="511"/>
      <c r="AZ7" s="511"/>
      <c r="BA7" s="511"/>
      <c r="BB7" s="511"/>
      <c r="BC7" s="511"/>
    </row>
    <row r="8" spans="1:55" ht="16.5" customHeight="1" x14ac:dyDescent="0.3">
      <c r="A8" s="514" t="s">
        <v>441</v>
      </c>
      <c r="B8" s="511"/>
      <c r="C8" s="511"/>
      <c r="D8" s="694" t="s">
        <v>442</v>
      </c>
      <c r="E8" s="691"/>
      <c r="F8" s="517" t="s">
        <v>443</v>
      </c>
      <c r="G8" s="511"/>
      <c r="H8" s="516"/>
      <c r="I8" s="516"/>
      <c r="J8" s="516"/>
      <c r="K8" s="516"/>
      <c r="L8" s="516"/>
      <c r="M8" s="516"/>
      <c r="N8" s="516"/>
      <c r="O8" s="516"/>
      <c r="P8" s="516"/>
      <c r="Q8" s="516"/>
      <c r="R8" s="516"/>
      <c r="S8" s="516"/>
      <c r="T8" s="516"/>
      <c r="U8" s="516"/>
      <c r="V8" s="516"/>
      <c r="W8" s="516"/>
      <c r="X8" s="516"/>
      <c r="Y8" s="516"/>
      <c r="Z8" s="516"/>
      <c r="AA8" s="516"/>
      <c r="AB8" s="516"/>
      <c r="AC8" s="516"/>
      <c r="AD8" s="516"/>
      <c r="AE8" s="516"/>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row>
    <row r="9" spans="1:55" ht="16.5" customHeight="1" x14ac:dyDescent="0.3">
      <c r="A9" s="514"/>
      <c r="B9" s="511"/>
      <c r="C9" s="511"/>
      <c r="D9" s="695" t="s">
        <v>444</v>
      </c>
      <c r="E9" s="685"/>
      <c r="F9" s="515"/>
      <c r="G9" s="511"/>
      <c r="H9" s="516"/>
      <c r="I9" s="516"/>
      <c r="J9" s="516"/>
      <c r="K9" s="516"/>
      <c r="L9" s="516"/>
      <c r="M9" s="516"/>
      <c r="N9" s="516"/>
      <c r="O9" s="516"/>
      <c r="P9" s="516"/>
      <c r="Q9" s="516"/>
      <c r="R9" s="516"/>
      <c r="S9" s="516"/>
      <c r="T9" s="516"/>
      <c r="U9" s="516"/>
      <c r="V9" s="516"/>
      <c r="W9" s="516"/>
      <c r="X9" s="516"/>
      <c r="Y9" s="516"/>
      <c r="Z9" s="516"/>
      <c r="AA9" s="516"/>
      <c r="AB9" s="516"/>
      <c r="AC9" s="516"/>
      <c r="AD9" s="516"/>
      <c r="AE9" s="516"/>
      <c r="AF9" s="511"/>
      <c r="AG9" s="511"/>
      <c r="AH9" s="511"/>
      <c r="AI9" s="511"/>
      <c r="AJ9" s="511"/>
      <c r="AK9" s="511"/>
      <c r="AL9" s="511"/>
      <c r="AM9" s="511"/>
      <c r="AN9" s="511"/>
      <c r="AO9" s="511"/>
      <c r="AP9" s="511"/>
      <c r="AQ9" s="511"/>
      <c r="AR9" s="511"/>
      <c r="AS9" s="511"/>
      <c r="AT9" s="511"/>
      <c r="AU9" s="511"/>
      <c r="AV9" s="511"/>
      <c r="AW9" s="511"/>
      <c r="AX9" s="511"/>
      <c r="AY9" s="511"/>
      <c r="AZ9" s="511"/>
      <c r="BA9" s="511"/>
      <c r="BB9" s="511"/>
      <c r="BC9" s="511"/>
    </row>
    <row r="10" spans="1:55" ht="16.5" customHeight="1" x14ac:dyDescent="0.3">
      <c r="A10" s="514"/>
      <c r="B10" s="511"/>
      <c r="C10" s="511"/>
      <c r="D10" s="511"/>
      <c r="E10" s="511"/>
      <c r="F10" s="515"/>
      <c r="G10" s="511"/>
      <c r="H10" s="516"/>
      <c r="I10" s="516"/>
      <c r="J10" s="516"/>
      <c r="K10" s="516"/>
      <c r="L10" s="516"/>
      <c r="M10" s="516"/>
      <c r="N10" s="516"/>
      <c r="O10" s="516"/>
      <c r="P10" s="516"/>
      <c r="Q10" s="516"/>
      <c r="R10" s="516"/>
      <c r="S10" s="516"/>
      <c r="T10" s="516"/>
      <c r="U10" s="516"/>
      <c r="V10" s="516"/>
      <c r="W10" s="516"/>
      <c r="X10" s="516"/>
      <c r="Y10" s="516"/>
      <c r="Z10" s="516"/>
      <c r="AA10" s="516"/>
      <c r="AB10" s="516"/>
      <c r="AC10" s="516"/>
      <c r="AD10" s="516"/>
      <c r="AE10" s="516"/>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1"/>
    </row>
    <row r="11" spans="1:55" ht="16.5" customHeight="1" x14ac:dyDescent="0.3">
      <c r="A11" s="518" t="s">
        <v>445</v>
      </c>
      <c r="B11" s="519"/>
      <c r="C11" s="520"/>
      <c r="D11" s="519"/>
      <c r="E11" s="511"/>
      <c r="F11" s="515"/>
      <c r="G11" s="511"/>
      <c r="H11" s="516"/>
      <c r="I11" s="516"/>
      <c r="J11" s="516"/>
      <c r="K11" s="516"/>
      <c r="L11" s="516"/>
      <c r="M11" s="516"/>
      <c r="N11" s="516"/>
      <c r="O11" s="516"/>
      <c r="P11" s="516"/>
      <c r="Q11" s="516"/>
      <c r="R11" s="516"/>
      <c r="S11" s="516"/>
      <c r="T11" s="516"/>
      <c r="U11" s="516"/>
      <c r="V11" s="516"/>
      <c r="W11" s="516"/>
      <c r="X11" s="516"/>
      <c r="Y11" s="516"/>
      <c r="Z11" s="516"/>
      <c r="AA11" s="516"/>
      <c r="AB11" s="516"/>
      <c r="AC11" s="516"/>
      <c r="AD11" s="516"/>
      <c r="AE11" s="516"/>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1"/>
    </row>
    <row r="12" spans="1:55" ht="16.5" customHeight="1" x14ac:dyDescent="0.3">
      <c r="A12" s="521"/>
      <c r="B12" s="514"/>
      <c r="C12" s="521"/>
      <c r="D12" s="511"/>
      <c r="E12" s="511"/>
      <c r="F12" s="515"/>
      <c r="G12" s="511"/>
      <c r="H12" s="516"/>
      <c r="I12" s="516"/>
      <c r="J12" s="516"/>
      <c r="K12" s="516"/>
      <c r="L12" s="516"/>
      <c r="M12" s="516"/>
      <c r="N12" s="516"/>
      <c r="O12" s="516"/>
      <c r="P12" s="516"/>
      <c r="Q12" s="516"/>
      <c r="R12" s="516"/>
      <c r="S12" s="516"/>
      <c r="T12" s="516"/>
      <c r="U12" s="516"/>
      <c r="V12" s="516"/>
      <c r="W12" s="516"/>
      <c r="X12" s="516"/>
      <c r="Y12" s="516"/>
      <c r="Z12" s="516"/>
      <c r="AA12" s="516"/>
      <c r="AB12" s="516"/>
      <c r="AC12" s="516"/>
      <c r="AD12" s="516"/>
      <c r="AE12" s="516"/>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1"/>
    </row>
    <row r="13" spans="1:55" ht="36" customHeight="1" x14ac:dyDescent="0.3">
      <c r="A13" s="696" t="s">
        <v>446</v>
      </c>
      <c r="B13" s="683"/>
      <c r="C13" s="522">
        <v>46023</v>
      </c>
      <c r="D13" s="522">
        <v>46054</v>
      </c>
      <c r="E13" s="522">
        <v>46082</v>
      </c>
      <c r="F13" s="522">
        <v>46113</v>
      </c>
      <c r="G13" s="522">
        <v>46143</v>
      </c>
      <c r="H13" s="522">
        <v>46174</v>
      </c>
      <c r="I13" s="522">
        <v>46204</v>
      </c>
      <c r="J13" s="522">
        <v>46235</v>
      </c>
      <c r="K13" s="522"/>
      <c r="L13" s="522"/>
      <c r="M13" s="522"/>
      <c r="N13" s="522"/>
      <c r="O13" s="522"/>
      <c r="P13" s="522">
        <v>46235</v>
      </c>
      <c r="Q13" s="522">
        <v>46266</v>
      </c>
      <c r="R13" s="522">
        <v>46296</v>
      </c>
      <c r="S13" s="522">
        <v>46327</v>
      </c>
      <c r="T13" s="522">
        <v>46357</v>
      </c>
      <c r="U13" s="523" t="s">
        <v>458</v>
      </c>
      <c r="V13" s="516"/>
      <c r="W13" s="524"/>
      <c r="X13" s="516"/>
      <c r="Y13" s="516"/>
      <c r="Z13" s="516"/>
      <c r="AA13" s="516"/>
      <c r="AB13" s="516"/>
      <c r="AC13" s="516"/>
      <c r="AD13" s="516"/>
      <c r="AE13" s="516"/>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1"/>
    </row>
    <row r="14" spans="1:55" ht="36" customHeight="1" x14ac:dyDescent="0.3">
      <c r="A14" s="682" t="s">
        <v>448</v>
      </c>
      <c r="B14" s="683"/>
      <c r="C14" s="558">
        <v>83</v>
      </c>
      <c r="D14" s="525">
        <v>81</v>
      </c>
      <c r="E14" s="525">
        <v>67</v>
      </c>
      <c r="F14" s="525">
        <v>112</v>
      </c>
      <c r="G14" s="525">
        <v>72</v>
      </c>
      <c r="H14" s="525">
        <v>78</v>
      </c>
      <c r="I14" s="525">
        <v>88</v>
      </c>
      <c r="J14" s="525">
        <v>55</v>
      </c>
      <c r="K14" s="525"/>
      <c r="L14" s="525"/>
      <c r="M14" s="525"/>
      <c r="N14" s="525"/>
      <c r="O14" s="525"/>
      <c r="P14" s="525"/>
      <c r="Q14" s="525"/>
      <c r="R14" s="525"/>
      <c r="S14" s="526"/>
      <c r="T14" s="526"/>
      <c r="U14" s="525">
        <f>SUM(C14:T14)</f>
        <v>636</v>
      </c>
      <c r="V14" s="517"/>
      <c r="W14" s="524"/>
      <c r="X14" s="516"/>
      <c r="Y14" s="516"/>
      <c r="Z14" s="516"/>
      <c r="AA14" s="516"/>
      <c r="AB14" s="516"/>
      <c r="AC14" s="516"/>
      <c r="AD14" s="516"/>
      <c r="AE14" s="516"/>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1"/>
    </row>
    <row r="15" spans="1:55" ht="36" customHeight="1" x14ac:dyDescent="0.3">
      <c r="A15" s="682" t="s">
        <v>449</v>
      </c>
      <c r="B15" s="683"/>
      <c r="C15" s="558">
        <v>67</v>
      </c>
      <c r="D15" s="525">
        <v>72</v>
      </c>
      <c r="E15" s="525">
        <v>86</v>
      </c>
      <c r="F15" s="525">
        <v>95</v>
      </c>
      <c r="G15" s="525">
        <v>95</v>
      </c>
      <c r="H15" s="525">
        <v>57</v>
      </c>
      <c r="I15" s="525">
        <v>140</v>
      </c>
      <c r="J15" s="525">
        <v>88</v>
      </c>
      <c r="K15" s="525"/>
      <c r="L15" s="525"/>
      <c r="M15" s="525"/>
      <c r="N15" s="525"/>
      <c r="O15" s="525"/>
      <c r="P15" s="525"/>
      <c r="Q15" s="525"/>
      <c r="R15" s="525"/>
      <c r="S15" s="526"/>
      <c r="T15" s="526"/>
      <c r="U15" s="525">
        <f t="shared" ref="U15:U18" si="0">SUM(C15:T15)</f>
        <v>700</v>
      </c>
      <c r="V15" s="516"/>
      <c r="W15" s="524"/>
      <c r="X15" s="516"/>
      <c r="Y15" s="516"/>
      <c r="Z15" s="516"/>
      <c r="AA15" s="516"/>
      <c r="AB15" s="516"/>
      <c r="AC15" s="516"/>
      <c r="AD15" s="516"/>
      <c r="AE15" s="516"/>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1"/>
    </row>
    <row r="16" spans="1:55" ht="36" customHeight="1" x14ac:dyDescent="0.3">
      <c r="A16" s="682" t="s">
        <v>450</v>
      </c>
      <c r="B16" s="683"/>
      <c r="C16" s="558">
        <v>28</v>
      </c>
      <c r="D16" s="525">
        <v>22</v>
      </c>
      <c r="E16" s="525">
        <v>49</v>
      </c>
      <c r="F16" s="525">
        <v>66</v>
      </c>
      <c r="G16" s="525">
        <v>52</v>
      </c>
      <c r="H16" s="525">
        <v>45</v>
      </c>
      <c r="I16" s="525">
        <v>77</v>
      </c>
      <c r="J16" s="525">
        <v>50</v>
      </c>
      <c r="K16" s="525"/>
      <c r="L16" s="525"/>
      <c r="M16" s="525"/>
      <c r="N16" s="525"/>
      <c r="O16" s="525"/>
      <c r="P16" s="525"/>
      <c r="Q16" s="525"/>
      <c r="R16" s="525"/>
      <c r="S16" s="526"/>
      <c r="T16" s="526"/>
      <c r="U16" s="525">
        <f t="shared" si="0"/>
        <v>389</v>
      </c>
      <c r="V16" s="516"/>
      <c r="W16" s="524"/>
      <c r="X16" s="516"/>
      <c r="Y16" s="516"/>
      <c r="Z16" s="516"/>
      <c r="AA16" s="516"/>
      <c r="AB16" s="516"/>
      <c r="AC16" s="516"/>
      <c r="AD16" s="516"/>
      <c r="AE16" s="516"/>
      <c r="AF16" s="511"/>
      <c r="AG16" s="511"/>
      <c r="AH16" s="511"/>
      <c r="AI16" s="511"/>
      <c r="AJ16" s="511"/>
      <c r="AK16" s="511"/>
      <c r="AL16" s="511"/>
      <c r="AM16" s="511"/>
      <c r="AN16" s="511"/>
      <c r="AO16" s="511"/>
      <c r="AP16" s="511"/>
      <c r="AQ16" s="511"/>
      <c r="AR16" s="511"/>
      <c r="AS16" s="511"/>
      <c r="AT16" s="511"/>
      <c r="AU16" s="511"/>
      <c r="AV16" s="511"/>
      <c r="AW16" s="511"/>
      <c r="AX16" s="511"/>
      <c r="AY16" s="511"/>
      <c r="AZ16" s="511"/>
      <c r="BA16" s="511"/>
      <c r="BB16" s="511"/>
      <c r="BC16" s="511"/>
    </row>
    <row r="17" spans="1:90" ht="36" customHeight="1" x14ac:dyDescent="0.3">
      <c r="A17" s="682" t="s">
        <v>296</v>
      </c>
      <c r="B17" s="683"/>
      <c r="C17" s="574">
        <f t="shared" ref="C17:H17" si="1">SUM(C14:C16)</f>
        <v>178</v>
      </c>
      <c r="D17" s="574">
        <f t="shared" si="1"/>
        <v>175</v>
      </c>
      <c r="E17" s="574">
        <f t="shared" si="1"/>
        <v>202</v>
      </c>
      <c r="F17" s="574">
        <f t="shared" si="1"/>
        <v>273</v>
      </c>
      <c r="G17" s="574">
        <f t="shared" si="1"/>
        <v>219</v>
      </c>
      <c r="H17" s="574">
        <f t="shared" si="1"/>
        <v>180</v>
      </c>
      <c r="I17" s="574">
        <f t="shared" ref="I17:J17" si="2">SUM(I14:I16)</f>
        <v>305</v>
      </c>
      <c r="J17" s="574">
        <f t="shared" si="2"/>
        <v>193</v>
      </c>
      <c r="K17" s="574"/>
      <c r="L17" s="574"/>
      <c r="M17" s="574"/>
      <c r="N17" s="574"/>
      <c r="O17" s="574"/>
      <c r="P17" s="525"/>
      <c r="Q17" s="525"/>
      <c r="R17" s="525"/>
      <c r="S17" s="526"/>
      <c r="T17" s="526"/>
      <c r="U17" s="609">
        <f t="shared" si="0"/>
        <v>1725</v>
      </c>
      <c r="V17" s="516"/>
      <c r="W17" s="524"/>
      <c r="X17" s="516"/>
      <c r="Y17" s="516"/>
      <c r="Z17" s="516"/>
      <c r="AA17" s="516"/>
      <c r="AB17" s="516"/>
      <c r="AC17" s="516"/>
      <c r="AD17" s="516"/>
      <c r="AE17" s="516"/>
      <c r="AF17" s="511"/>
      <c r="AG17" s="511"/>
      <c r="AH17" s="511"/>
      <c r="AI17" s="511"/>
      <c r="AJ17" s="511"/>
      <c r="AK17" s="511"/>
      <c r="AL17" s="511"/>
      <c r="AM17" s="511"/>
      <c r="AN17" s="511"/>
      <c r="AO17" s="511"/>
      <c r="AP17" s="511"/>
      <c r="AQ17" s="511"/>
      <c r="AR17" s="511"/>
      <c r="AS17" s="511"/>
      <c r="AT17" s="511"/>
      <c r="AU17" s="511"/>
      <c r="AV17" s="511"/>
      <c r="AW17" s="511"/>
      <c r="AX17" s="511"/>
      <c r="AY17" s="511"/>
      <c r="AZ17" s="511"/>
      <c r="BA17" s="511"/>
      <c r="BB17" s="511"/>
      <c r="BC17" s="511"/>
    </row>
    <row r="18" spans="1:90" ht="36" customHeight="1" x14ac:dyDescent="0.3">
      <c r="A18" s="682" t="s">
        <v>451</v>
      </c>
      <c r="B18" s="683"/>
      <c r="C18" s="558">
        <v>19150</v>
      </c>
      <c r="D18" s="525">
        <v>19158</v>
      </c>
      <c r="E18" s="525">
        <v>19214</v>
      </c>
      <c r="F18" s="525">
        <v>19236</v>
      </c>
      <c r="G18" s="525">
        <v>19245</v>
      </c>
      <c r="H18" s="525">
        <v>19269</v>
      </c>
      <c r="I18" s="525">
        <v>19289</v>
      </c>
      <c r="J18" s="525">
        <v>19305</v>
      </c>
      <c r="K18" s="525"/>
      <c r="L18" s="525"/>
      <c r="M18" s="525"/>
      <c r="N18" s="525"/>
      <c r="O18" s="525"/>
      <c r="P18" s="525">
        <v>0</v>
      </c>
      <c r="Q18" s="525">
        <v>0</v>
      </c>
      <c r="R18" s="525">
        <v>0</v>
      </c>
      <c r="S18" s="525">
        <v>0</v>
      </c>
      <c r="T18" s="525">
        <v>0</v>
      </c>
      <c r="U18" s="525">
        <f t="shared" si="0"/>
        <v>153866</v>
      </c>
      <c r="V18" s="516"/>
      <c r="W18" s="524"/>
      <c r="X18" s="516"/>
      <c r="Y18" s="516"/>
      <c r="Z18" s="516"/>
      <c r="AA18" s="516"/>
      <c r="AB18" s="516"/>
      <c r="AC18" s="516"/>
      <c r="AD18" s="516"/>
      <c r="AE18" s="516"/>
      <c r="AF18" s="511"/>
      <c r="AG18" s="511"/>
      <c r="AH18" s="511"/>
      <c r="AI18" s="511"/>
      <c r="AJ18" s="511"/>
      <c r="AK18" s="511"/>
      <c r="AL18" s="511"/>
      <c r="AM18" s="511"/>
      <c r="AN18" s="511"/>
      <c r="AO18" s="511"/>
      <c r="AP18" s="511"/>
      <c r="AQ18" s="511"/>
      <c r="AR18" s="511"/>
      <c r="AS18" s="511"/>
      <c r="AT18" s="511"/>
      <c r="AU18" s="511"/>
      <c r="AV18" s="511"/>
      <c r="AW18" s="511"/>
      <c r="AX18" s="511"/>
      <c r="AY18" s="511"/>
      <c r="AZ18" s="511"/>
      <c r="BA18" s="511"/>
      <c r="BB18" s="511"/>
      <c r="BC18" s="511"/>
    </row>
    <row r="19" spans="1:90" ht="36" customHeight="1" x14ac:dyDescent="0.3">
      <c r="A19" s="682" t="s">
        <v>452</v>
      </c>
      <c r="B19" s="683"/>
      <c r="C19" s="634">
        <f>+(C17/C18)*100</f>
        <v>0.92950391644908614</v>
      </c>
      <c r="D19" s="635">
        <f t="shared" ref="D19:U19" si="3">+(D17/D18)*100</f>
        <v>0.91345651946967321</v>
      </c>
      <c r="E19" s="635">
        <f t="shared" si="3"/>
        <v>1.0513167482044343</v>
      </c>
      <c r="F19" s="635">
        <f t="shared" si="3"/>
        <v>1.4192139737991267</v>
      </c>
      <c r="G19" s="635">
        <f t="shared" si="3"/>
        <v>1.1379579111457521</v>
      </c>
      <c r="H19" s="635">
        <f t="shared" si="3"/>
        <v>0.93414292386735165</v>
      </c>
      <c r="I19" s="635">
        <f t="shared" ref="I19:J19" si="4">+(I17/I18)*100</f>
        <v>1.5812120897921094</v>
      </c>
      <c r="J19" s="635">
        <f t="shared" si="4"/>
        <v>0.99974099974099973</v>
      </c>
      <c r="K19" s="635"/>
      <c r="L19" s="635"/>
      <c r="M19" s="635"/>
      <c r="N19" s="635"/>
      <c r="O19" s="635"/>
      <c r="P19" s="635" t="e">
        <f t="shared" si="3"/>
        <v>#DIV/0!</v>
      </c>
      <c r="Q19" s="635" t="e">
        <f t="shared" si="3"/>
        <v>#DIV/0!</v>
      </c>
      <c r="R19" s="635" t="e">
        <f t="shared" si="3"/>
        <v>#DIV/0!</v>
      </c>
      <c r="S19" s="635" t="e">
        <f t="shared" si="3"/>
        <v>#DIV/0!</v>
      </c>
      <c r="T19" s="635" t="e">
        <f t="shared" si="3"/>
        <v>#DIV/0!</v>
      </c>
      <c r="U19" s="635">
        <f t="shared" si="3"/>
        <v>1.1211053774063147</v>
      </c>
      <c r="V19" s="516"/>
      <c r="W19" s="524"/>
      <c r="X19" s="516"/>
      <c r="Y19" s="516"/>
      <c r="Z19" s="516"/>
      <c r="AA19" s="516"/>
      <c r="AB19" s="516"/>
      <c r="AC19" s="516"/>
      <c r="AD19" s="516"/>
      <c r="AE19" s="516"/>
      <c r="AF19" s="511"/>
      <c r="AG19" s="511"/>
      <c r="AH19" s="511"/>
      <c r="AI19" s="511"/>
      <c r="AJ19" s="511"/>
      <c r="AK19" s="511"/>
      <c r="AL19" s="511"/>
      <c r="AM19" s="511"/>
      <c r="AN19" s="511"/>
      <c r="AO19" s="511"/>
      <c r="AP19" s="511"/>
      <c r="AQ19" s="511"/>
      <c r="AR19" s="511"/>
      <c r="AS19" s="511"/>
      <c r="AT19" s="511"/>
      <c r="AU19" s="511"/>
      <c r="AV19" s="511"/>
      <c r="AW19" s="511"/>
      <c r="AX19" s="511"/>
      <c r="AY19" s="511"/>
      <c r="AZ19" s="511"/>
      <c r="BA19" s="511"/>
      <c r="BB19" s="511"/>
      <c r="BC19" s="511"/>
    </row>
    <row r="20" spans="1:90" s="528" customFormat="1" ht="16.5" customHeight="1" x14ac:dyDescent="0.3">
      <c r="A20" s="529"/>
      <c r="B20" s="529"/>
      <c r="C20" s="529"/>
      <c r="D20" s="529"/>
      <c r="E20" s="529"/>
      <c r="F20" s="531"/>
      <c r="G20" s="529"/>
      <c r="H20" s="530"/>
      <c r="I20" s="530"/>
      <c r="J20" s="530"/>
      <c r="K20" s="530"/>
      <c r="L20" s="530"/>
      <c r="M20" s="530"/>
      <c r="N20" s="530"/>
      <c r="O20" s="530"/>
      <c r="P20" s="530"/>
      <c r="Q20" s="530"/>
      <c r="R20" s="530"/>
      <c r="S20" s="532"/>
      <c r="T20" s="530"/>
      <c r="U20" s="530"/>
      <c r="V20" s="530"/>
      <c r="W20" s="530"/>
      <c r="X20" s="530"/>
      <c r="Y20" s="530"/>
      <c r="Z20" s="530"/>
      <c r="AA20" s="530"/>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BD20" s="527"/>
      <c r="BE20" s="527"/>
      <c r="BF20" s="527"/>
      <c r="BG20" s="527"/>
      <c r="BH20" s="527"/>
      <c r="BI20" s="527"/>
      <c r="BJ20" s="527"/>
      <c r="BK20" s="527"/>
      <c r="BL20" s="527"/>
      <c r="BM20" s="527"/>
      <c r="BN20" s="527"/>
      <c r="BO20" s="527"/>
      <c r="BP20" s="527"/>
      <c r="BQ20" s="527"/>
      <c r="BR20" s="527"/>
      <c r="BS20" s="527"/>
      <c r="BT20" s="527"/>
      <c r="BU20" s="527"/>
      <c r="BV20" s="527"/>
      <c r="BW20" s="527"/>
      <c r="BX20" s="527"/>
      <c r="BY20" s="527"/>
      <c r="BZ20" s="527"/>
      <c r="CA20" s="527"/>
      <c r="CB20" s="527"/>
      <c r="CC20" s="527"/>
      <c r="CD20" s="527"/>
      <c r="CE20" s="527"/>
      <c r="CF20" s="527"/>
      <c r="CG20" s="527"/>
      <c r="CH20" s="527"/>
      <c r="CI20" s="527"/>
      <c r="CJ20" s="527"/>
      <c r="CK20" s="527"/>
      <c r="CL20" s="527"/>
    </row>
    <row r="21" spans="1:90" s="528" customFormat="1" ht="16.5" customHeight="1" x14ac:dyDescent="0.3">
      <c r="A21" s="533" t="s">
        <v>453</v>
      </c>
      <c r="B21" s="534"/>
      <c r="C21" s="535"/>
      <c r="D21" s="534"/>
      <c r="E21" s="529"/>
      <c r="F21" s="531"/>
      <c r="G21" s="529"/>
      <c r="H21" s="530"/>
      <c r="I21" s="530"/>
      <c r="J21" s="530"/>
      <c r="K21" s="530"/>
      <c r="L21" s="530"/>
      <c r="M21" s="530"/>
      <c r="N21" s="530"/>
      <c r="O21" s="530"/>
      <c r="P21" s="530"/>
      <c r="Q21" s="530"/>
      <c r="R21" s="530"/>
      <c r="S21" s="532"/>
      <c r="T21" s="530"/>
      <c r="U21" s="530"/>
      <c r="V21" s="530"/>
      <c r="W21" s="530"/>
      <c r="X21" s="530"/>
      <c r="Y21" s="530"/>
      <c r="Z21" s="530"/>
      <c r="AA21" s="530"/>
      <c r="AB21" s="529"/>
      <c r="AC21" s="529"/>
      <c r="AD21" s="529"/>
      <c r="AE21" s="529"/>
      <c r="AF21" s="529"/>
      <c r="AG21" s="701"/>
      <c r="AH21" s="702"/>
      <c r="AI21" s="702"/>
      <c r="AJ21" s="702"/>
      <c r="AK21" s="529"/>
      <c r="AL21" s="529"/>
      <c r="AM21" s="529"/>
      <c r="AN21" s="529"/>
      <c r="AO21" s="529"/>
      <c r="AP21" s="529"/>
      <c r="AQ21" s="529"/>
      <c r="AR21" s="529"/>
      <c r="AS21" s="529"/>
      <c r="AT21" s="529"/>
      <c r="AU21" s="529"/>
      <c r="AV21" s="529"/>
      <c r="AW21" s="529"/>
      <c r="AX21" s="529"/>
      <c r="AY21" s="529"/>
      <c r="BD21" s="527"/>
      <c r="BE21" s="527"/>
      <c r="BF21" s="527"/>
      <c r="BG21" s="527"/>
      <c r="BH21" s="527"/>
      <c r="BI21" s="527"/>
      <c r="BJ21" s="527"/>
      <c r="BK21" s="527"/>
      <c r="BL21" s="527"/>
      <c r="BM21" s="527"/>
      <c r="BN21" s="527"/>
      <c r="BO21" s="527"/>
      <c r="BP21" s="527"/>
      <c r="BQ21" s="527"/>
      <c r="BR21" s="527"/>
      <c r="BS21" s="527"/>
      <c r="BT21" s="527"/>
      <c r="BU21" s="527"/>
      <c r="BV21" s="527"/>
      <c r="BW21" s="527"/>
      <c r="BX21" s="527"/>
      <c r="BY21" s="527"/>
      <c r="BZ21" s="527"/>
      <c r="CA21" s="527"/>
      <c r="CB21" s="527"/>
      <c r="CC21" s="527"/>
      <c r="CD21" s="527"/>
      <c r="CE21" s="527"/>
      <c r="CF21" s="527"/>
      <c r="CG21" s="527"/>
      <c r="CH21" s="527"/>
      <c r="CI21" s="527"/>
      <c r="CJ21" s="527"/>
      <c r="CK21" s="527"/>
      <c r="CL21" s="527"/>
    </row>
    <row r="22" spans="1:90" s="528" customFormat="1" ht="16.5" customHeight="1" x14ac:dyDescent="0.3">
      <c r="A22" s="537"/>
      <c r="B22" s="538"/>
      <c r="C22" s="537"/>
      <c r="D22" s="529"/>
      <c r="E22" s="529"/>
      <c r="F22" s="531"/>
      <c r="G22" s="529"/>
      <c r="H22" s="530"/>
      <c r="I22" s="530"/>
      <c r="J22" s="530"/>
      <c r="K22" s="530"/>
      <c r="L22" s="530"/>
      <c r="M22" s="530"/>
      <c r="N22" s="530"/>
      <c r="O22" s="530"/>
      <c r="P22" s="530"/>
      <c r="Q22" s="530"/>
      <c r="R22" s="530"/>
      <c r="S22" s="532"/>
      <c r="T22" s="530"/>
      <c r="U22" s="530"/>
      <c r="V22" s="530"/>
      <c r="W22" s="530"/>
      <c r="X22" s="530"/>
      <c r="Y22" s="530"/>
      <c r="Z22" s="530"/>
      <c r="AA22" s="530"/>
      <c r="AB22" s="529"/>
      <c r="AC22" s="529"/>
      <c r="AD22" s="529"/>
      <c r="AE22" s="529"/>
      <c r="AF22" s="529"/>
      <c r="AG22" s="536"/>
      <c r="AH22" s="536"/>
      <c r="AI22" s="536"/>
      <c r="AJ22" s="536"/>
      <c r="AK22" s="529"/>
      <c r="AL22" s="529"/>
      <c r="AM22" s="529"/>
      <c r="AN22" s="529"/>
      <c r="AO22" s="529"/>
      <c r="AP22" s="529"/>
      <c r="AQ22" s="529"/>
      <c r="AR22" s="529"/>
      <c r="AS22" s="529"/>
      <c r="AT22" s="529"/>
      <c r="AU22" s="529"/>
      <c r="AV22" s="529"/>
      <c r="AW22" s="529"/>
      <c r="AX22" s="529"/>
      <c r="AY22" s="529"/>
      <c r="BD22" s="527"/>
      <c r="BE22" s="527"/>
      <c r="BF22" s="527"/>
      <c r="BG22" s="527"/>
      <c r="BH22" s="527"/>
      <c r="BI22" s="527"/>
      <c r="BJ22" s="527"/>
      <c r="BK22" s="527"/>
      <c r="BL22" s="527"/>
      <c r="BM22" s="527"/>
      <c r="BN22" s="527"/>
      <c r="BO22" s="527"/>
      <c r="BP22" s="527"/>
      <c r="BQ22" s="527"/>
      <c r="BR22" s="527"/>
      <c r="BS22" s="527"/>
      <c r="BT22" s="527"/>
      <c r="BU22" s="527"/>
      <c r="BV22" s="527"/>
      <c r="BW22" s="527"/>
      <c r="BX22" s="527"/>
      <c r="BY22" s="527"/>
      <c r="BZ22" s="527"/>
      <c r="CA22" s="527"/>
      <c r="CB22" s="527"/>
      <c r="CC22" s="527"/>
      <c r="CD22" s="527"/>
      <c r="CE22" s="527"/>
      <c r="CF22" s="527"/>
      <c r="CG22" s="527"/>
      <c r="CH22" s="527"/>
      <c r="CI22" s="527"/>
      <c r="CJ22" s="527"/>
      <c r="CK22" s="527"/>
      <c r="CL22" s="527"/>
    </row>
    <row r="23" spans="1:90" s="528" customFormat="1" ht="35.25" customHeight="1" x14ac:dyDescent="0.3">
      <c r="A23" s="703" t="s">
        <v>454</v>
      </c>
      <c r="B23" s="698"/>
      <c r="C23" s="604">
        <v>46023</v>
      </c>
      <c r="D23" s="604">
        <v>46054</v>
      </c>
      <c r="E23" s="604">
        <v>46082</v>
      </c>
      <c r="F23" s="604">
        <v>46113</v>
      </c>
      <c r="G23" s="604">
        <v>46143</v>
      </c>
      <c r="H23" s="604">
        <v>46174</v>
      </c>
      <c r="I23" s="604">
        <v>46204</v>
      </c>
      <c r="J23" s="604">
        <v>46235</v>
      </c>
      <c r="K23" s="604"/>
      <c r="L23" s="604"/>
      <c r="M23" s="604"/>
      <c r="N23" s="604"/>
      <c r="O23" s="604"/>
      <c r="P23" s="604">
        <v>46235</v>
      </c>
      <c r="Q23" s="604">
        <v>46266</v>
      </c>
      <c r="R23" s="604">
        <v>46296</v>
      </c>
      <c r="S23" s="604">
        <v>46327</v>
      </c>
      <c r="T23" s="604">
        <v>46357</v>
      </c>
      <c r="U23" s="605" t="s">
        <v>458</v>
      </c>
      <c r="V23" s="530"/>
      <c r="W23" s="532"/>
      <c r="X23" s="530"/>
      <c r="Y23" s="530"/>
      <c r="Z23" s="530"/>
      <c r="AA23" s="530"/>
      <c r="AB23" s="530"/>
      <c r="AC23" s="530"/>
      <c r="AD23" s="530"/>
      <c r="AE23" s="530"/>
      <c r="AF23" s="529"/>
      <c r="AG23" s="529"/>
      <c r="AH23" s="529"/>
      <c r="AI23" s="529"/>
      <c r="AJ23" s="529"/>
      <c r="AK23" s="539"/>
      <c r="AL23" s="539"/>
      <c r="AM23" s="540"/>
      <c r="AN23" s="541"/>
      <c r="AO23" s="529"/>
      <c r="AP23" s="529"/>
      <c r="AQ23" s="529"/>
      <c r="AR23" s="529"/>
      <c r="AS23" s="529"/>
      <c r="AT23" s="529"/>
      <c r="AU23" s="529"/>
      <c r="AV23" s="529"/>
      <c r="AW23" s="529"/>
      <c r="AX23" s="529"/>
      <c r="AY23" s="529"/>
      <c r="AZ23" s="529"/>
      <c r="BA23" s="529"/>
      <c r="BB23" s="529"/>
      <c r="BC23" s="529"/>
      <c r="BD23" s="527"/>
      <c r="BE23" s="527"/>
      <c r="BF23" s="527"/>
      <c r="BG23" s="527"/>
      <c r="BH23" s="527"/>
      <c r="BI23" s="527"/>
      <c r="BJ23" s="527"/>
      <c r="BK23" s="527"/>
      <c r="BL23" s="527"/>
      <c r="BM23" s="527"/>
      <c r="BN23" s="527"/>
      <c r="BO23" s="527"/>
      <c r="BP23" s="527"/>
      <c r="BQ23" s="527"/>
      <c r="BR23" s="527"/>
      <c r="BS23" s="527"/>
      <c r="BT23" s="527"/>
      <c r="BU23" s="527"/>
      <c r="BV23" s="527"/>
      <c r="BW23" s="527"/>
      <c r="BX23" s="527"/>
      <c r="BY23" s="527"/>
      <c r="BZ23" s="527"/>
      <c r="CA23" s="527"/>
      <c r="CB23" s="527"/>
      <c r="CC23" s="527"/>
      <c r="CD23" s="527"/>
      <c r="CE23" s="527"/>
      <c r="CF23" s="527"/>
      <c r="CG23" s="527"/>
      <c r="CH23" s="527"/>
      <c r="CI23" s="527"/>
      <c r="CJ23" s="527"/>
      <c r="CK23" s="527"/>
      <c r="CL23" s="527"/>
    </row>
    <row r="24" spans="1:90" s="528" customFormat="1" ht="35.25" customHeight="1" x14ac:dyDescent="0.3">
      <c r="A24" s="697" t="s">
        <v>448</v>
      </c>
      <c r="B24" s="698"/>
      <c r="C24" s="606">
        <v>84</v>
      </c>
      <c r="D24" s="606">
        <v>73</v>
      </c>
      <c r="E24" s="606">
        <v>67</v>
      </c>
      <c r="F24" s="606">
        <v>109</v>
      </c>
      <c r="G24" s="606">
        <v>63</v>
      </c>
      <c r="H24" s="606">
        <v>77</v>
      </c>
      <c r="I24" s="606">
        <v>85</v>
      </c>
      <c r="J24" s="606">
        <v>56</v>
      </c>
      <c r="K24" s="606"/>
      <c r="L24" s="606"/>
      <c r="M24" s="606"/>
      <c r="N24" s="606"/>
      <c r="O24" s="606"/>
      <c r="P24" s="556"/>
      <c r="Q24" s="556"/>
      <c r="R24" s="556"/>
      <c r="S24" s="556"/>
      <c r="T24" s="556"/>
      <c r="U24" s="525">
        <f>SUM(C24:T24)</f>
        <v>614</v>
      </c>
      <c r="V24" s="530"/>
      <c r="W24" s="532"/>
      <c r="X24" s="530"/>
      <c r="Y24" s="530"/>
      <c r="Z24" s="530"/>
      <c r="AA24" s="530"/>
      <c r="AB24" s="530"/>
      <c r="AC24" s="530"/>
      <c r="AD24" s="530"/>
      <c r="AE24" s="530"/>
      <c r="AF24" s="529"/>
      <c r="AG24" s="529"/>
      <c r="AH24" s="529"/>
      <c r="AI24" s="529"/>
      <c r="AJ24" s="529"/>
      <c r="AK24" s="539"/>
      <c r="AL24" s="542"/>
      <c r="AM24" s="540"/>
      <c r="AN24" s="541"/>
      <c r="AO24" s="529"/>
      <c r="AP24" s="529"/>
      <c r="AQ24" s="529"/>
      <c r="AR24" s="529"/>
      <c r="AS24" s="529"/>
      <c r="AT24" s="529"/>
      <c r="AU24" s="529"/>
      <c r="AV24" s="529"/>
      <c r="AW24" s="529"/>
      <c r="AX24" s="529"/>
      <c r="AY24" s="529"/>
      <c r="AZ24" s="529"/>
      <c r="BA24" s="529"/>
      <c r="BB24" s="529"/>
      <c r="BC24" s="529"/>
      <c r="BD24" s="527"/>
      <c r="BE24" s="527"/>
      <c r="BF24" s="527"/>
      <c r="BG24" s="527"/>
      <c r="BH24" s="527"/>
      <c r="BI24" s="527"/>
      <c r="BJ24" s="527"/>
      <c r="BK24" s="527"/>
      <c r="BL24" s="527"/>
      <c r="BM24" s="527"/>
      <c r="BN24" s="527"/>
      <c r="BO24" s="527"/>
      <c r="BP24" s="527"/>
      <c r="BQ24" s="527"/>
      <c r="BR24" s="527"/>
      <c r="BS24" s="527"/>
      <c r="BT24" s="527"/>
      <c r="BU24" s="527"/>
      <c r="BV24" s="527"/>
      <c r="BW24" s="527"/>
      <c r="BX24" s="527"/>
      <c r="BY24" s="527"/>
      <c r="BZ24" s="527"/>
      <c r="CA24" s="527"/>
      <c r="CB24" s="527"/>
      <c r="CC24" s="527"/>
      <c r="CD24" s="527"/>
      <c r="CE24" s="527"/>
      <c r="CF24" s="527"/>
      <c r="CG24" s="527"/>
      <c r="CH24" s="527"/>
      <c r="CI24" s="527"/>
      <c r="CJ24" s="527"/>
      <c r="CK24" s="527"/>
      <c r="CL24" s="527"/>
    </row>
    <row r="25" spans="1:90" s="528" customFormat="1" ht="35.25" customHeight="1" x14ac:dyDescent="0.3">
      <c r="A25" s="697" t="s">
        <v>22</v>
      </c>
      <c r="B25" s="698"/>
      <c r="C25" s="606">
        <v>34</v>
      </c>
      <c r="D25" s="606">
        <v>49</v>
      </c>
      <c r="E25" s="606">
        <v>46</v>
      </c>
      <c r="F25" s="606">
        <v>74</v>
      </c>
      <c r="G25" s="606">
        <v>47</v>
      </c>
      <c r="H25" s="606">
        <v>38</v>
      </c>
      <c r="I25" s="606">
        <v>78</v>
      </c>
      <c r="J25" s="606">
        <v>55</v>
      </c>
      <c r="K25" s="606"/>
      <c r="L25" s="606"/>
      <c r="M25" s="606"/>
      <c r="N25" s="606"/>
      <c r="O25" s="606"/>
      <c r="P25" s="556"/>
      <c r="Q25" s="556"/>
      <c r="R25" s="556"/>
      <c r="S25" s="556"/>
      <c r="T25" s="556"/>
      <c r="U25" s="525">
        <f>SUM(C25:T25)</f>
        <v>421</v>
      </c>
      <c r="V25" s="530"/>
      <c r="W25" s="532"/>
      <c r="X25" s="530"/>
      <c r="Y25" s="530"/>
      <c r="Z25" s="530"/>
      <c r="AA25" s="530"/>
      <c r="AB25" s="530"/>
      <c r="AC25" s="530"/>
      <c r="AD25" s="530"/>
      <c r="AE25" s="530"/>
      <c r="AF25" s="529"/>
      <c r="AG25" s="529"/>
      <c r="AH25" s="529"/>
      <c r="AI25" s="529"/>
      <c r="AJ25" s="529"/>
      <c r="AK25" s="539"/>
      <c r="AL25" s="542"/>
      <c r="AM25" s="540"/>
      <c r="AN25" s="541"/>
      <c r="AO25" s="529"/>
      <c r="AP25" s="529"/>
      <c r="AQ25" s="529"/>
      <c r="AR25" s="529"/>
      <c r="AS25" s="529"/>
      <c r="AT25" s="529"/>
      <c r="AU25" s="529"/>
      <c r="AV25" s="529"/>
      <c r="AW25" s="529"/>
      <c r="AX25" s="529"/>
      <c r="AY25" s="529"/>
      <c r="AZ25" s="529"/>
      <c r="BA25" s="529"/>
      <c r="BB25" s="529"/>
      <c r="BC25" s="529"/>
      <c r="BD25" s="527"/>
      <c r="BE25" s="527"/>
      <c r="BF25" s="527"/>
      <c r="BG25" s="527"/>
      <c r="BH25" s="527"/>
      <c r="BI25" s="527"/>
      <c r="BJ25" s="527"/>
      <c r="BK25" s="527"/>
      <c r="BL25" s="527"/>
      <c r="BM25" s="527"/>
      <c r="BN25" s="527"/>
      <c r="BO25" s="527"/>
      <c r="BP25" s="527"/>
      <c r="BQ25" s="527"/>
      <c r="BR25" s="527"/>
      <c r="BS25" s="527"/>
      <c r="BT25" s="527"/>
      <c r="BU25" s="527"/>
      <c r="BV25" s="527"/>
      <c r="BW25" s="527"/>
      <c r="BX25" s="527"/>
      <c r="BY25" s="527"/>
      <c r="BZ25" s="527"/>
      <c r="CA25" s="527"/>
      <c r="CB25" s="527"/>
      <c r="CC25" s="527"/>
      <c r="CD25" s="527"/>
      <c r="CE25" s="527"/>
      <c r="CF25" s="527"/>
      <c r="CG25" s="527"/>
      <c r="CH25" s="527"/>
      <c r="CI25" s="527"/>
      <c r="CJ25" s="527"/>
      <c r="CK25" s="527"/>
      <c r="CL25" s="527"/>
    </row>
    <row r="26" spans="1:90" s="528" customFormat="1" ht="35.25" customHeight="1" x14ac:dyDescent="0.3">
      <c r="A26" s="697" t="s">
        <v>450</v>
      </c>
      <c r="B26" s="698"/>
      <c r="C26" s="606">
        <v>29</v>
      </c>
      <c r="D26" s="606">
        <v>25</v>
      </c>
      <c r="E26" s="606">
        <v>46</v>
      </c>
      <c r="F26" s="606">
        <v>68</v>
      </c>
      <c r="G26" s="606">
        <v>51</v>
      </c>
      <c r="H26" s="606">
        <v>44</v>
      </c>
      <c r="I26" s="606">
        <v>73</v>
      </c>
      <c r="J26" s="606">
        <v>47</v>
      </c>
      <c r="K26" s="606"/>
      <c r="L26" s="606"/>
      <c r="M26" s="606"/>
      <c r="N26" s="606"/>
      <c r="O26" s="606"/>
      <c r="P26" s="556"/>
      <c r="Q26" s="556"/>
      <c r="R26" s="556"/>
      <c r="S26" s="556"/>
      <c r="T26" s="556"/>
      <c r="U26" s="525">
        <f>SUM(C26:T26)</f>
        <v>383</v>
      </c>
      <c r="V26" s="530"/>
      <c r="W26" s="532"/>
      <c r="X26" s="530"/>
      <c r="Y26" s="530"/>
      <c r="Z26" s="530"/>
      <c r="AA26" s="530"/>
      <c r="AB26" s="530"/>
      <c r="AC26" s="530"/>
      <c r="AD26" s="530"/>
      <c r="AE26" s="530"/>
      <c r="AF26" s="529"/>
      <c r="AG26" s="529"/>
      <c r="AH26" s="529"/>
      <c r="AI26" s="529"/>
      <c r="AJ26" s="529"/>
      <c r="AK26" s="539"/>
      <c r="AL26" s="542"/>
      <c r="AM26" s="540"/>
      <c r="AN26" s="541"/>
      <c r="AO26" s="529"/>
      <c r="AP26" s="529"/>
      <c r="AQ26" s="529"/>
      <c r="AR26" s="529"/>
      <c r="AS26" s="529"/>
      <c r="AT26" s="536"/>
      <c r="AU26" s="529"/>
      <c r="AV26" s="529"/>
      <c r="AW26" s="529"/>
      <c r="AX26" s="529"/>
      <c r="AY26" s="529"/>
      <c r="AZ26" s="529"/>
      <c r="BA26" s="529"/>
      <c r="BB26" s="529"/>
      <c r="BC26" s="529"/>
      <c r="BD26" s="527"/>
      <c r="BE26" s="527"/>
      <c r="BF26" s="527"/>
      <c r="BG26" s="527"/>
      <c r="BH26" s="527"/>
      <c r="BI26" s="527"/>
      <c r="BJ26" s="527"/>
      <c r="BK26" s="527"/>
      <c r="BL26" s="527"/>
      <c r="BM26" s="527"/>
      <c r="BN26" s="527"/>
      <c r="BO26" s="527"/>
      <c r="BP26" s="527"/>
      <c r="BQ26" s="527"/>
      <c r="BR26" s="527"/>
      <c r="BS26" s="527"/>
      <c r="BT26" s="527"/>
      <c r="BU26" s="527"/>
      <c r="BV26" s="527"/>
      <c r="BW26" s="527"/>
      <c r="BX26" s="527"/>
      <c r="BY26" s="527"/>
      <c r="BZ26" s="527"/>
      <c r="CA26" s="527"/>
      <c r="CB26" s="527"/>
      <c r="CC26" s="527"/>
      <c r="CD26" s="527"/>
      <c r="CE26" s="527"/>
      <c r="CF26" s="527"/>
      <c r="CG26" s="527"/>
      <c r="CH26" s="527"/>
      <c r="CI26" s="527"/>
      <c r="CJ26" s="527"/>
      <c r="CK26" s="527"/>
      <c r="CL26" s="527"/>
    </row>
    <row r="27" spans="1:90" s="528" customFormat="1" ht="35.25" customHeight="1" x14ac:dyDescent="0.3">
      <c r="A27" s="697" t="s">
        <v>296</v>
      </c>
      <c r="B27" s="698"/>
      <c r="C27" s="608">
        <f t="shared" ref="C27:H27" si="5">SUM(C24:C26)</f>
        <v>147</v>
      </c>
      <c r="D27" s="608">
        <f t="shared" si="5"/>
        <v>147</v>
      </c>
      <c r="E27" s="608">
        <f t="shared" si="5"/>
        <v>159</v>
      </c>
      <c r="F27" s="608">
        <f t="shared" si="5"/>
        <v>251</v>
      </c>
      <c r="G27" s="608">
        <f t="shared" si="5"/>
        <v>161</v>
      </c>
      <c r="H27" s="608">
        <f t="shared" si="5"/>
        <v>159</v>
      </c>
      <c r="I27" s="608">
        <f t="shared" ref="I27:J27" si="6">SUM(I24:I26)</f>
        <v>236</v>
      </c>
      <c r="J27" s="608">
        <f t="shared" si="6"/>
        <v>158</v>
      </c>
      <c r="K27" s="608"/>
      <c r="L27" s="608"/>
      <c r="M27" s="608"/>
      <c r="N27" s="608"/>
      <c r="O27" s="608"/>
      <c r="P27" s="607"/>
      <c r="Q27" s="607"/>
      <c r="R27" s="607"/>
      <c r="S27" s="607"/>
      <c r="T27" s="607"/>
      <c r="U27" s="609">
        <f>SUM(C27:T27)</f>
        <v>1418</v>
      </c>
      <c r="V27" s="530"/>
      <c r="W27" s="530"/>
      <c r="X27" s="530"/>
      <c r="Y27" s="530"/>
      <c r="Z27" s="530"/>
      <c r="AA27" s="530"/>
      <c r="AB27" s="530"/>
      <c r="AC27" s="530"/>
      <c r="AD27" s="530"/>
      <c r="AE27" s="530"/>
      <c r="AF27" s="529"/>
      <c r="AG27" s="529"/>
      <c r="AH27" s="529"/>
      <c r="AI27" s="529"/>
      <c r="AJ27" s="529"/>
      <c r="AK27" s="539"/>
      <c r="AL27" s="542"/>
      <c r="AM27" s="540"/>
      <c r="AN27" s="541"/>
      <c r="AO27" s="536"/>
      <c r="AP27" s="536"/>
      <c r="AQ27" s="536"/>
      <c r="AR27" s="536"/>
      <c r="AS27" s="536"/>
      <c r="AT27" s="536"/>
      <c r="AU27" s="536"/>
      <c r="AV27" s="536"/>
      <c r="AW27" s="536"/>
      <c r="AX27" s="536"/>
      <c r="AY27" s="536"/>
      <c r="AZ27" s="536"/>
      <c r="BA27" s="536"/>
      <c r="BB27" s="536"/>
      <c r="BC27" s="536"/>
      <c r="BD27" s="527"/>
      <c r="BE27" s="527"/>
      <c r="BF27" s="527"/>
      <c r="BG27" s="527"/>
      <c r="BH27" s="527"/>
      <c r="BI27" s="527"/>
      <c r="BJ27" s="527"/>
      <c r="BK27" s="527"/>
      <c r="BL27" s="527"/>
      <c r="BM27" s="527"/>
      <c r="BN27" s="527"/>
      <c r="BO27" s="527"/>
      <c r="BP27" s="527"/>
      <c r="BQ27" s="527"/>
      <c r="BR27" s="527"/>
      <c r="BS27" s="527"/>
      <c r="BT27" s="527"/>
      <c r="BU27" s="527"/>
      <c r="BV27" s="527"/>
      <c r="BW27" s="527"/>
      <c r="BX27" s="527"/>
      <c r="BY27" s="527"/>
      <c r="BZ27" s="527"/>
      <c r="CA27" s="527"/>
      <c r="CB27" s="527"/>
      <c r="CC27" s="527"/>
      <c r="CD27" s="527"/>
      <c r="CE27" s="527"/>
      <c r="CF27" s="527"/>
      <c r="CG27" s="527"/>
      <c r="CH27" s="527"/>
      <c r="CI27" s="527"/>
      <c r="CJ27" s="527"/>
      <c r="CK27" s="527"/>
      <c r="CL27" s="527"/>
    </row>
    <row r="28" spans="1:90" s="528" customFormat="1" ht="35.25" customHeight="1" x14ac:dyDescent="0.3">
      <c r="A28" s="697" t="s">
        <v>451</v>
      </c>
      <c r="B28" s="698"/>
      <c r="C28" s="608">
        <v>20986</v>
      </c>
      <c r="D28" s="608">
        <v>20993</v>
      </c>
      <c r="E28" s="608">
        <v>21110</v>
      </c>
      <c r="F28" s="608">
        <v>21113</v>
      </c>
      <c r="G28" s="608">
        <v>21123</v>
      </c>
      <c r="H28" s="608">
        <v>21143</v>
      </c>
      <c r="I28" s="608">
        <v>21158</v>
      </c>
      <c r="J28" s="608">
        <v>21173</v>
      </c>
      <c r="K28" s="608"/>
      <c r="L28" s="608"/>
      <c r="M28" s="608"/>
      <c r="N28" s="608"/>
      <c r="O28" s="608"/>
      <c r="P28" s="556">
        <v>0</v>
      </c>
      <c r="Q28" s="556">
        <v>0</v>
      </c>
      <c r="R28" s="556">
        <v>0</v>
      </c>
      <c r="S28" s="556">
        <v>0</v>
      </c>
      <c r="T28" s="556">
        <v>20453</v>
      </c>
      <c r="U28" s="525">
        <f>SUM(C28:T28)</f>
        <v>189252</v>
      </c>
      <c r="V28" s="530"/>
      <c r="W28" s="530"/>
      <c r="X28" s="530"/>
      <c r="Y28" s="530"/>
      <c r="Z28" s="530"/>
      <c r="AA28" s="530"/>
      <c r="AB28" s="530"/>
      <c r="AC28" s="530"/>
      <c r="AD28" s="530"/>
      <c r="AE28" s="530"/>
      <c r="AF28" s="529"/>
      <c r="AG28" s="529"/>
      <c r="AH28" s="529"/>
      <c r="AI28" s="529"/>
      <c r="AJ28" s="529"/>
      <c r="AK28" s="539"/>
      <c r="AL28" s="542"/>
      <c r="AM28" s="540"/>
      <c r="AN28" s="541"/>
      <c r="AO28" s="536"/>
      <c r="AP28" s="536"/>
      <c r="AQ28" s="536"/>
      <c r="AR28" s="536"/>
      <c r="AS28" s="536"/>
      <c r="AT28" s="541"/>
      <c r="AU28" s="536"/>
      <c r="AV28" s="536"/>
      <c r="AW28" s="536"/>
      <c r="AX28" s="536"/>
      <c r="AY28" s="536"/>
      <c r="AZ28" s="536"/>
      <c r="BA28" s="536"/>
      <c r="BB28" s="536"/>
      <c r="BC28" s="536"/>
      <c r="BD28" s="527"/>
      <c r="BE28" s="527"/>
      <c r="BF28" s="527"/>
      <c r="BG28" s="527"/>
      <c r="BH28" s="527"/>
      <c r="BI28" s="527"/>
      <c r="BJ28" s="527"/>
      <c r="BK28" s="527"/>
      <c r="BL28" s="527"/>
      <c r="BM28" s="527"/>
      <c r="BN28" s="527"/>
      <c r="BO28" s="527"/>
      <c r="BP28" s="527"/>
      <c r="BQ28" s="527"/>
      <c r="BR28" s="527"/>
      <c r="BS28" s="527"/>
      <c r="BT28" s="527"/>
      <c r="BU28" s="527"/>
      <c r="BV28" s="527"/>
      <c r="BW28" s="527"/>
      <c r="BX28" s="527"/>
      <c r="BY28" s="527"/>
      <c r="BZ28" s="527"/>
      <c r="CA28" s="527"/>
      <c r="CB28" s="527"/>
      <c r="CC28" s="527"/>
      <c r="CD28" s="527"/>
      <c r="CE28" s="527"/>
      <c r="CF28" s="527"/>
      <c r="CG28" s="527"/>
      <c r="CH28" s="527"/>
      <c r="CI28" s="527"/>
      <c r="CJ28" s="527"/>
      <c r="CK28" s="527"/>
      <c r="CL28" s="527"/>
    </row>
    <row r="29" spans="1:90" s="528" customFormat="1" ht="35.25" customHeight="1" x14ac:dyDescent="0.3">
      <c r="A29" s="697" t="s">
        <v>452</v>
      </c>
      <c r="B29" s="698"/>
      <c r="C29" s="632">
        <f>+(C27/C28)*100</f>
        <v>0.70046697798532354</v>
      </c>
      <c r="D29" s="632">
        <f>+(D27/D28)*100</f>
        <v>0.70023341113704574</v>
      </c>
      <c r="E29" s="631">
        <f t="shared" ref="E29:T29" si="7">+(E27/E28)*100</f>
        <v>0.75319753671245859</v>
      </c>
      <c r="F29" s="632">
        <f t="shared" si="7"/>
        <v>1.1888409984369819</v>
      </c>
      <c r="G29" s="632">
        <f t="shared" si="7"/>
        <v>0.76220233868295229</v>
      </c>
      <c r="H29" s="632">
        <f t="shared" si="7"/>
        <v>0.75202194579766357</v>
      </c>
      <c r="I29" s="632">
        <f t="shared" ref="I29:J29" si="8">+(I27/I28)*100</f>
        <v>1.115417336232158</v>
      </c>
      <c r="J29" s="632">
        <f t="shared" si="8"/>
        <v>0.74623341047560576</v>
      </c>
      <c r="K29" s="632"/>
      <c r="L29" s="632"/>
      <c r="M29" s="632"/>
      <c r="N29" s="632"/>
      <c r="O29" s="632"/>
      <c r="P29" s="633" t="e">
        <f t="shared" si="7"/>
        <v>#DIV/0!</v>
      </c>
      <c r="Q29" s="633" t="e">
        <f t="shared" si="7"/>
        <v>#DIV/0!</v>
      </c>
      <c r="R29" s="633" t="e">
        <f t="shared" si="7"/>
        <v>#DIV/0!</v>
      </c>
      <c r="S29" s="633" t="e">
        <f t="shared" si="7"/>
        <v>#DIV/0!</v>
      </c>
      <c r="T29" s="633">
        <f t="shared" si="7"/>
        <v>0</v>
      </c>
      <c r="U29" s="632">
        <f>+(U27/U28)*100</f>
        <v>0.74926552955847237</v>
      </c>
      <c r="V29" s="530"/>
      <c r="W29" s="530"/>
      <c r="X29" s="530"/>
      <c r="Y29" s="530"/>
      <c r="Z29" s="530"/>
      <c r="AA29" s="530"/>
      <c r="AB29" s="530"/>
      <c r="AC29" s="530"/>
      <c r="AD29" s="530"/>
      <c r="AE29" s="530"/>
      <c r="AF29" s="529"/>
      <c r="AG29" s="529"/>
      <c r="AH29" s="529"/>
      <c r="AI29" s="529"/>
      <c r="AJ29" s="529"/>
      <c r="AK29" s="699"/>
      <c r="AL29" s="700"/>
      <c r="AM29" s="543"/>
      <c r="AN29" s="544"/>
      <c r="AO29" s="541"/>
      <c r="AP29" s="541"/>
      <c r="AQ29" s="541"/>
      <c r="AR29" s="541"/>
      <c r="AS29" s="541"/>
      <c r="AT29" s="541"/>
      <c r="AU29" s="541"/>
      <c r="AV29" s="541"/>
      <c r="AW29" s="541"/>
      <c r="AX29" s="541"/>
      <c r="AY29" s="541"/>
      <c r="AZ29" s="541"/>
      <c r="BA29" s="541"/>
      <c r="BB29" s="541"/>
      <c r="BC29" s="541"/>
      <c r="BD29" s="527"/>
      <c r="BE29" s="527"/>
      <c r="BF29" s="527"/>
      <c r="BG29" s="527"/>
      <c r="BH29" s="527"/>
      <c r="BI29" s="527"/>
      <c r="BJ29" s="527"/>
      <c r="BK29" s="527"/>
      <c r="BL29" s="527"/>
      <c r="BM29" s="527"/>
      <c r="BN29" s="527"/>
      <c r="BO29" s="527"/>
      <c r="BP29" s="527"/>
      <c r="BQ29" s="527"/>
      <c r="BR29" s="527"/>
      <c r="BS29" s="527"/>
      <c r="BT29" s="527"/>
      <c r="BU29" s="527"/>
      <c r="BV29" s="527"/>
      <c r="BW29" s="527"/>
      <c r="BX29" s="527"/>
      <c r="BY29" s="527"/>
      <c r="BZ29" s="527"/>
      <c r="CA29" s="527"/>
      <c r="CB29" s="527"/>
      <c r="CC29" s="527"/>
      <c r="CD29" s="527"/>
      <c r="CE29" s="527"/>
      <c r="CF29" s="527"/>
      <c r="CG29" s="527"/>
      <c r="CH29" s="527"/>
      <c r="CI29" s="527"/>
      <c r="CJ29" s="527"/>
      <c r="CK29" s="527"/>
      <c r="CL29" s="527"/>
    </row>
    <row r="30" spans="1:90" ht="33.75" customHeight="1" x14ac:dyDescent="0.3">
      <c r="A30" s="518" t="s">
        <v>455</v>
      </c>
      <c r="B30" s="519"/>
      <c r="C30" s="520"/>
      <c r="D30" s="519"/>
      <c r="E30" s="546"/>
      <c r="F30" s="547"/>
      <c r="G30" s="548"/>
      <c r="H30" s="549"/>
      <c r="I30" s="549"/>
      <c r="J30" s="549"/>
      <c r="K30" s="549"/>
      <c r="L30" s="549"/>
      <c r="M30" s="549"/>
      <c r="N30" s="549"/>
      <c r="O30" s="549"/>
      <c r="P30" s="550"/>
      <c r="Q30" s="545"/>
      <c r="R30" s="545"/>
      <c r="S30" s="545"/>
      <c r="T30" s="545"/>
      <c r="U30" s="550"/>
      <c r="V30" s="516"/>
      <c r="W30" s="524"/>
      <c r="X30" s="516"/>
      <c r="Y30" s="516"/>
      <c r="Z30" s="550"/>
      <c r="AA30" s="516"/>
      <c r="AB30" s="516"/>
      <c r="AC30" s="516"/>
      <c r="AD30" s="516"/>
      <c r="AE30" s="550"/>
      <c r="AF30" s="551"/>
      <c r="AG30" s="551"/>
      <c r="AH30" s="551"/>
      <c r="AI30" s="552"/>
      <c r="AJ30" s="546"/>
      <c r="AK30" s="553"/>
      <c r="AL30" s="553"/>
      <c r="AM30" s="553"/>
      <c r="AN30" s="553"/>
      <c r="AO30" s="511"/>
      <c r="AP30" s="511"/>
      <c r="AQ30" s="511"/>
      <c r="AR30" s="511"/>
      <c r="AS30" s="511"/>
      <c r="AT30" s="511"/>
      <c r="AU30" s="511"/>
      <c r="AV30" s="511"/>
      <c r="AW30" s="511"/>
      <c r="AX30" s="511"/>
      <c r="AY30" s="511"/>
      <c r="AZ30" s="511"/>
      <c r="BA30" s="511"/>
      <c r="BB30" s="511"/>
      <c r="BC30" s="511"/>
    </row>
    <row r="31" spans="1:90" ht="33.75" customHeight="1" x14ac:dyDescent="0.3">
      <c r="A31" s="521"/>
      <c r="B31" s="514"/>
      <c r="C31" s="521"/>
      <c r="D31" s="511"/>
      <c r="E31" s="546"/>
      <c r="F31" s="547"/>
      <c r="G31" s="548"/>
      <c r="H31" s="549"/>
      <c r="I31" s="549"/>
      <c r="J31" s="549"/>
      <c r="K31" s="549"/>
      <c r="L31" s="549"/>
      <c r="M31" s="549"/>
      <c r="N31" s="549"/>
      <c r="O31" s="549"/>
      <c r="P31" s="550"/>
      <c r="Q31" s="545"/>
      <c r="R31" s="545"/>
      <c r="S31" s="545"/>
      <c r="T31" s="545"/>
      <c r="U31" s="550"/>
      <c r="V31" s="516"/>
      <c r="W31" s="524"/>
      <c r="X31" s="516"/>
      <c r="Y31" s="516"/>
      <c r="Z31" s="550"/>
      <c r="AA31" s="516"/>
      <c r="AB31" s="516"/>
      <c r="AC31" s="516"/>
      <c r="AD31" s="516"/>
      <c r="AE31" s="550"/>
      <c r="AF31" s="551"/>
      <c r="AG31" s="551"/>
      <c r="AH31" s="551"/>
      <c r="AI31" s="552"/>
      <c r="AJ31" s="546"/>
      <c r="AK31" s="553"/>
      <c r="AL31" s="553"/>
      <c r="AM31" s="553"/>
      <c r="AN31" s="553"/>
      <c r="AO31" s="511"/>
      <c r="AP31" s="511"/>
      <c r="AQ31" s="511"/>
      <c r="AR31" s="511"/>
      <c r="AS31" s="511"/>
      <c r="AT31" s="511"/>
      <c r="AU31" s="511"/>
      <c r="AV31" s="511"/>
      <c r="AW31" s="511"/>
      <c r="AX31" s="511"/>
      <c r="AY31" s="511"/>
      <c r="AZ31" s="511"/>
      <c r="BA31" s="511"/>
      <c r="BB31" s="511"/>
      <c r="BC31" s="511"/>
    </row>
    <row r="32" spans="1:90" ht="33.75" customHeight="1" x14ac:dyDescent="0.3">
      <c r="A32" s="708" t="s">
        <v>446</v>
      </c>
      <c r="B32" s="709"/>
      <c r="C32" s="522">
        <v>46023</v>
      </c>
      <c r="D32" s="522">
        <v>46054</v>
      </c>
      <c r="E32" s="522">
        <v>46082</v>
      </c>
      <c r="F32" s="522">
        <v>46113</v>
      </c>
      <c r="G32" s="522">
        <v>46143</v>
      </c>
      <c r="H32" s="522">
        <v>46174</v>
      </c>
      <c r="I32" s="522">
        <v>46204</v>
      </c>
      <c r="J32" s="522">
        <v>46235</v>
      </c>
      <c r="K32" s="522"/>
      <c r="L32" s="522"/>
      <c r="M32" s="522"/>
      <c r="N32" s="522"/>
      <c r="O32" s="522"/>
      <c r="P32" s="522">
        <v>46235</v>
      </c>
      <c r="Q32" s="522">
        <v>46266</v>
      </c>
      <c r="R32" s="522">
        <v>46296</v>
      </c>
      <c r="S32" s="522">
        <v>46327</v>
      </c>
      <c r="T32" s="522">
        <v>46357</v>
      </c>
      <c r="U32" s="523" t="s">
        <v>458</v>
      </c>
      <c r="V32" s="516"/>
      <c r="W32" s="524"/>
      <c r="X32" s="516"/>
      <c r="Y32" s="516"/>
      <c r="Z32" s="516"/>
      <c r="AA32" s="516"/>
      <c r="AB32" s="516"/>
      <c r="AC32" s="516"/>
      <c r="AD32" s="516"/>
      <c r="AE32" s="551"/>
      <c r="AF32" s="551"/>
      <c r="AG32" s="551"/>
      <c r="AH32" s="551"/>
      <c r="AI32" s="552"/>
      <c r="AJ32" s="554"/>
      <c r="AK32" s="553"/>
      <c r="AL32" s="553"/>
      <c r="AM32" s="553"/>
      <c r="AN32" s="511"/>
      <c r="AO32" s="511"/>
      <c r="AP32" s="511"/>
      <c r="AQ32" s="511"/>
      <c r="AR32" s="511"/>
      <c r="AS32" s="511"/>
      <c r="AT32" s="511"/>
      <c r="AU32" s="511"/>
      <c r="AV32" s="511"/>
      <c r="AW32" s="511"/>
      <c r="AX32" s="511"/>
      <c r="AY32" s="511"/>
      <c r="AZ32" s="511"/>
      <c r="BA32" s="511"/>
      <c r="BB32" s="511"/>
      <c r="BC32" s="511"/>
    </row>
    <row r="33" spans="1:55" ht="33.75" customHeight="1" x14ac:dyDescent="0.3">
      <c r="A33" s="706" t="s">
        <v>448</v>
      </c>
      <c r="B33" s="707"/>
      <c r="C33" s="555">
        <v>165</v>
      </c>
      <c r="D33" s="555">
        <v>210</v>
      </c>
      <c r="E33" s="555">
        <v>154</v>
      </c>
      <c r="F33" s="555">
        <v>216</v>
      </c>
      <c r="G33" s="555">
        <v>152</v>
      </c>
      <c r="H33" s="555">
        <v>152</v>
      </c>
      <c r="I33" s="555">
        <v>213</v>
      </c>
      <c r="J33" s="555">
        <v>141</v>
      </c>
      <c r="K33" s="555"/>
      <c r="L33" s="555"/>
      <c r="M33" s="555"/>
      <c r="N33" s="555"/>
      <c r="O33" s="555"/>
      <c r="P33" s="555"/>
      <c r="Q33" s="555"/>
      <c r="R33" s="555"/>
      <c r="S33" s="525"/>
      <c r="T33" s="525"/>
      <c r="U33" s="555">
        <f>SUM(C33:T33)</f>
        <v>1403</v>
      </c>
      <c r="V33" s="516"/>
      <c r="W33" s="524"/>
      <c r="X33" s="516"/>
      <c r="Y33" s="516"/>
      <c r="Z33" s="550"/>
      <c r="AA33" s="516"/>
      <c r="AB33" s="516"/>
      <c r="AC33" s="516"/>
      <c r="AD33" s="516"/>
      <c r="AE33" s="550"/>
      <c r="AF33" s="551"/>
      <c r="AG33" s="551"/>
      <c r="AH33" s="551"/>
      <c r="AI33" s="552"/>
      <c r="AJ33" s="546"/>
      <c r="AK33" s="553"/>
      <c r="AL33" s="553"/>
      <c r="AM33" s="553"/>
      <c r="AN33" s="553"/>
      <c r="AO33" s="511"/>
      <c r="AP33" s="511"/>
      <c r="AQ33" s="511"/>
      <c r="AR33" s="511"/>
      <c r="AS33" s="511"/>
      <c r="AT33" s="511"/>
      <c r="AU33" s="511"/>
      <c r="AV33" s="511"/>
      <c r="AW33" s="511"/>
      <c r="AX33" s="511"/>
      <c r="AY33" s="511"/>
      <c r="AZ33" s="511"/>
      <c r="BA33" s="511"/>
      <c r="BB33" s="511"/>
      <c r="BC33" s="511"/>
    </row>
    <row r="34" spans="1:55" ht="33.75" customHeight="1" x14ac:dyDescent="0.3">
      <c r="A34" s="706" t="s">
        <v>22</v>
      </c>
      <c r="B34" s="707"/>
      <c r="C34" s="555">
        <v>13</v>
      </c>
      <c r="D34" s="555">
        <v>14</v>
      </c>
      <c r="E34" s="555">
        <v>17</v>
      </c>
      <c r="F34" s="555">
        <v>8</v>
      </c>
      <c r="G34" s="555">
        <v>8</v>
      </c>
      <c r="H34" s="555">
        <v>3</v>
      </c>
      <c r="I34" s="555">
        <v>21</v>
      </c>
      <c r="J34" s="555">
        <v>17</v>
      </c>
      <c r="K34" s="555"/>
      <c r="L34" s="555"/>
      <c r="M34" s="555"/>
      <c r="N34" s="555"/>
      <c r="O34" s="555"/>
      <c r="P34" s="555"/>
      <c r="Q34" s="555"/>
      <c r="R34" s="555"/>
      <c r="S34" s="525"/>
      <c r="T34" s="525"/>
      <c r="U34" s="555">
        <f t="shared" ref="U34:U37" si="9">SUM(C34:T34)</f>
        <v>101</v>
      </c>
      <c r="V34" s="516"/>
      <c r="W34" s="524"/>
      <c r="X34" s="516"/>
      <c r="Y34" s="516"/>
      <c r="Z34" s="550"/>
      <c r="AA34" s="516"/>
      <c r="AB34" s="516"/>
      <c r="AC34" s="516"/>
      <c r="AD34" s="516"/>
      <c r="AE34" s="550"/>
      <c r="AF34" s="551"/>
      <c r="AG34" s="551"/>
      <c r="AH34" s="551"/>
      <c r="AI34" s="552"/>
      <c r="AJ34" s="546"/>
      <c r="AK34" s="553"/>
      <c r="AL34" s="553"/>
      <c r="AM34" s="553"/>
      <c r="AN34" s="553"/>
      <c r="AO34" s="511"/>
      <c r="AP34" s="511"/>
      <c r="AQ34" s="511"/>
      <c r="AR34" s="511"/>
      <c r="AS34" s="511"/>
      <c r="AT34" s="511"/>
      <c r="AU34" s="511"/>
      <c r="AV34" s="511"/>
      <c r="AW34" s="511"/>
      <c r="AX34" s="511"/>
      <c r="AY34" s="511"/>
      <c r="AZ34" s="511"/>
      <c r="BA34" s="511"/>
      <c r="BB34" s="511"/>
      <c r="BC34" s="511"/>
    </row>
    <row r="35" spans="1:55" ht="33.75" customHeight="1" x14ac:dyDescent="0.3">
      <c r="A35" s="706" t="s">
        <v>450</v>
      </c>
      <c r="B35" s="707"/>
      <c r="C35" s="555">
        <v>10</v>
      </c>
      <c r="D35" s="555">
        <v>6</v>
      </c>
      <c r="E35" s="555">
        <v>18</v>
      </c>
      <c r="F35" s="555">
        <v>18</v>
      </c>
      <c r="G35" s="555">
        <v>12</v>
      </c>
      <c r="H35" s="555">
        <v>14</v>
      </c>
      <c r="I35" s="555">
        <v>23</v>
      </c>
      <c r="J35" s="555">
        <v>12</v>
      </c>
      <c r="K35" s="555"/>
      <c r="L35" s="555"/>
      <c r="M35" s="555"/>
      <c r="N35" s="555"/>
      <c r="O35" s="555"/>
      <c r="P35" s="555"/>
      <c r="Q35" s="555"/>
      <c r="R35" s="555"/>
      <c r="S35" s="525"/>
      <c r="T35" s="525"/>
      <c r="U35" s="555">
        <f t="shared" si="9"/>
        <v>113</v>
      </c>
      <c r="V35" s="516"/>
      <c r="W35" s="524"/>
      <c r="X35" s="516"/>
      <c r="Y35" s="516"/>
      <c r="Z35" s="550"/>
      <c r="AA35" s="516"/>
      <c r="AB35" s="516"/>
      <c r="AC35" s="516"/>
      <c r="AD35" s="516"/>
      <c r="AE35" s="550"/>
      <c r="AF35" s="551"/>
      <c r="AG35" s="551"/>
      <c r="AH35" s="551"/>
      <c r="AI35" s="552"/>
      <c r="AJ35" s="546"/>
      <c r="AK35" s="553"/>
      <c r="AL35" s="553"/>
      <c r="AM35" s="553"/>
      <c r="AN35" s="553"/>
      <c r="AO35" s="511"/>
      <c r="AP35" s="511"/>
      <c r="AQ35" s="511"/>
      <c r="AR35" s="511"/>
      <c r="AS35" s="511"/>
      <c r="AT35" s="511"/>
      <c r="AU35" s="511"/>
      <c r="AV35" s="511"/>
      <c r="AW35" s="511"/>
      <c r="AX35" s="511"/>
      <c r="AY35" s="511"/>
      <c r="AZ35" s="511"/>
      <c r="BA35" s="511"/>
      <c r="BB35" s="511"/>
      <c r="BC35" s="511"/>
    </row>
    <row r="36" spans="1:55" ht="33.75" customHeight="1" x14ac:dyDescent="0.3">
      <c r="A36" s="706" t="s">
        <v>296</v>
      </c>
      <c r="B36" s="707"/>
      <c r="C36" s="557">
        <f>SUM(C33:C35)</f>
        <v>188</v>
      </c>
      <c r="D36" s="557">
        <f>SUM(D33:D35)</f>
        <v>230</v>
      </c>
      <c r="E36" s="557">
        <f>SUM(E33:E35)</f>
        <v>189</v>
      </c>
      <c r="F36" s="557">
        <f>+SUM(F33:F35)</f>
        <v>242</v>
      </c>
      <c r="G36" s="557">
        <f>+SUM(G33:G35)</f>
        <v>172</v>
      </c>
      <c r="H36" s="557">
        <f t="shared" ref="H36:T36" si="10">+SUM(H33:H34)</f>
        <v>155</v>
      </c>
      <c r="I36" s="557">
        <f t="shared" ref="I36:J36" si="11">+SUM(I33:I34)</f>
        <v>234</v>
      </c>
      <c r="J36" s="557">
        <f t="shared" si="11"/>
        <v>158</v>
      </c>
      <c r="K36" s="557"/>
      <c r="L36" s="557"/>
      <c r="M36" s="557"/>
      <c r="N36" s="557"/>
      <c r="O36" s="557"/>
      <c r="P36" s="557">
        <f t="shared" si="10"/>
        <v>0</v>
      </c>
      <c r="Q36" s="557">
        <f t="shared" si="10"/>
        <v>0</v>
      </c>
      <c r="R36" s="557">
        <f t="shared" si="10"/>
        <v>0</v>
      </c>
      <c r="S36" s="557">
        <f t="shared" si="10"/>
        <v>0</v>
      </c>
      <c r="T36" s="557">
        <f t="shared" si="10"/>
        <v>0</v>
      </c>
      <c r="U36" s="557">
        <f t="shared" si="9"/>
        <v>1568</v>
      </c>
      <c r="V36" s="516"/>
      <c r="W36" s="524"/>
      <c r="X36" s="516"/>
      <c r="Y36" s="516"/>
      <c r="Z36" s="550"/>
      <c r="AA36" s="516"/>
      <c r="AB36" s="516"/>
      <c r="AC36" s="516"/>
      <c r="AD36" s="516"/>
      <c r="AE36" s="550"/>
      <c r="AF36" s="551"/>
      <c r="AG36" s="551"/>
      <c r="AH36" s="551"/>
      <c r="AI36" s="552"/>
      <c r="AJ36" s="546"/>
      <c r="AK36" s="553"/>
      <c r="AL36" s="553"/>
      <c r="AM36" s="553"/>
      <c r="AN36" s="553"/>
      <c r="AO36" s="511"/>
      <c r="AP36" s="511"/>
      <c r="AQ36" s="511"/>
      <c r="AR36" s="511"/>
      <c r="AS36" s="511"/>
      <c r="AT36" s="511"/>
      <c r="AU36" s="511"/>
      <c r="AV36" s="511"/>
      <c r="AW36" s="511"/>
      <c r="AX36" s="511"/>
      <c r="AY36" s="511"/>
      <c r="AZ36" s="511"/>
      <c r="BA36" s="511"/>
      <c r="BB36" s="511"/>
      <c r="BC36" s="511"/>
    </row>
    <row r="37" spans="1:55" ht="33.75" customHeight="1" x14ac:dyDescent="0.3">
      <c r="A37" s="706" t="s">
        <v>451</v>
      </c>
      <c r="B37" s="707"/>
      <c r="C37" s="555">
        <v>22697</v>
      </c>
      <c r="D37" s="555">
        <v>22705</v>
      </c>
      <c r="E37" s="555">
        <v>22788</v>
      </c>
      <c r="F37" s="555">
        <v>22810</v>
      </c>
      <c r="G37" s="555">
        <v>22821</v>
      </c>
      <c r="H37" s="555">
        <v>22845</v>
      </c>
      <c r="I37" s="555">
        <v>22865</v>
      </c>
      <c r="J37" s="555">
        <v>22882</v>
      </c>
      <c r="K37" s="555"/>
      <c r="L37" s="555"/>
      <c r="M37" s="555"/>
      <c r="N37" s="555"/>
      <c r="O37" s="555"/>
      <c r="P37" s="555">
        <v>22821</v>
      </c>
      <c r="Q37" s="555">
        <v>22821</v>
      </c>
      <c r="R37" s="555">
        <v>22821</v>
      </c>
      <c r="S37" s="555">
        <v>22821</v>
      </c>
      <c r="T37" s="555">
        <v>22821</v>
      </c>
      <c r="U37" s="555">
        <f t="shared" si="9"/>
        <v>296518</v>
      </c>
      <c r="V37" s="516"/>
      <c r="W37" s="524"/>
      <c r="X37" s="516"/>
      <c r="Y37" s="516"/>
      <c r="Z37" s="550"/>
      <c r="AA37" s="516"/>
      <c r="AB37" s="516"/>
      <c r="AC37" s="516"/>
      <c r="AD37" s="516"/>
      <c r="AE37" s="550"/>
      <c r="AF37" s="551"/>
      <c r="AG37" s="551"/>
      <c r="AH37" s="551"/>
      <c r="AI37" s="552"/>
      <c r="AJ37" s="546"/>
      <c r="AK37" s="553"/>
      <c r="AL37" s="553"/>
      <c r="AM37" s="553"/>
      <c r="AN37" s="553"/>
      <c r="AO37" s="511"/>
      <c r="AP37" s="511"/>
      <c r="AQ37" s="511"/>
      <c r="AR37" s="511"/>
      <c r="AS37" s="511"/>
      <c r="AT37" s="511"/>
      <c r="AU37" s="511"/>
      <c r="AV37" s="511"/>
      <c r="AW37" s="511"/>
      <c r="AX37" s="511"/>
      <c r="AY37" s="511"/>
      <c r="AZ37" s="511"/>
      <c r="BA37" s="511"/>
      <c r="BB37" s="511"/>
      <c r="BC37" s="511"/>
    </row>
    <row r="38" spans="1:55" ht="33.75" customHeight="1" x14ac:dyDescent="0.3">
      <c r="A38" s="706" t="s">
        <v>452</v>
      </c>
      <c r="B38" s="707"/>
      <c r="C38" s="631">
        <f>+(C36/C37)*100</f>
        <v>0.82830329999559416</v>
      </c>
      <c r="D38" s="631">
        <f t="shared" ref="D38:T38" si="12">+(D36/D37)*100</f>
        <v>1.0129927328782207</v>
      </c>
      <c r="E38" s="631">
        <f t="shared" si="12"/>
        <v>0.82938388625592419</v>
      </c>
      <c r="F38" s="631">
        <f t="shared" si="12"/>
        <v>1.060938185006576</v>
      </c>
      <c r="G38" s="631">
        <f t="shared" si="12"/>
        <v>0.75369177511940755</v>
      </c>
      <c r="H38" s="631">
        <f t="shared" si="12"/>
        <v>0.67848544539286493</v>
      </c>
      <c r="I38" s="631">
        <f t="shared" ref="I38:J38" si="13">+(I36/I37)*100</f>
        <v>1.0233982068663896</v>
      </c>
      <c r="J38" s="631">
        <f t="shared" si="13"/>
        <v>0.69049908224805523</v>
      </c>
      <c r="K38" s="631"/>
      <c r="L38" s="631"/>
      <c r="M38" s="631"/>
      <c r="N38" s="631"/>
      <c r="O38" s="631"/>
      <c r="P38" s="631">
        <f t="shared" si="12"/>
        <v>0</v>
      </c>
      <c r="Q38" s="631">
        <f t="shared" si="12"/>
        <v>0</v>
      </c>
      <c r="R38" s="631">
        <f t="shared" si="12"/>
        <v>0</v>
      </c>
      <c r="S38" s="631">
        <f t="shared" si="12"/>
        <v>0</v>
      </c>
      <c r="T38" s="631">
        <f t="shared" si="12"/>
        <v>0</v>
      </c>
      <c r="U38" s="632">
        <f>+(U36/U37)*100</f>
        <v>0.52880432216593931</v>
      </c>
      <c r="V38" s="516"/>
      <c r="W38" s="524"/>
      <c r="X38" s="516"/>
      <c r="Y38" s="516"/>
      <c r="Z38" s="550"/>
      <c r="AA38" s="516"/>
      <c r="AB38" s="516"/>
      <c r="AC38" s="516"/>
      <c r="AD38" s="516"/>
      <c r="AE38" s="550"/>
      <c r="AF38" s="551"/>
      <c r="AG38" s="551"/>
      <c r="AH38" s="551"/>
      <c r="AI38" s="552"/>
      <c r="AJ38" s="546"/>
      <c r="AK38" s="553"/>
      <c r="AL38" s="553"/>
      <c r="AM38" s="553"/>
      <c r="AN38" s="553"/>
      <c r="AO38" s="511"/>
      <c r="AP38" s="511"/>
      <c r="AQ38" s="511"/>
      <c r="AR38" s="511"/>
      <c r="AS38" s="511"/>
      <c r="AT38" s="511"/>
      <c r="AU38" s="511"/>
      <c r="AV38" s="511"/>
      <c r="AW38" s="511"/>
      <c r="AX38" s="511"/>
      <c r="AY38" s="511"/>
      <c r="AZ38" s="511"/>
      <c r="BA38" s="511"/>
      <c r="BB38" s="511"/>
      <c r="BC38" s="511"/>
    </row>
    <row r="39" spans="1:55" ht="16.5" customHeight="1" x14ac:dyDescent="0.3">
      <c r="A39" s="511"/>
      <c r="B39" s="511"/>
      <c r="C39" s="511"/>
      <c r="D39" s="511"/>
      <c r="E39" s="511"/>
      <c r="F39" s="511"/>
      <c r="G39" s="511"/>
      <c r="H39" s="511"/>
      <c r="I39" s="511"/>
      <c r="J39" s="511"/>
      <c r="K39" s="511"/>
      <c r="L39" s="511"/>
      <c r="M39" s="511"/>
      <c r="N39" s="511"/>
      <c r="O39" s="511"/>
      <c r="P39" s="511"/>
      <c r="Q39" s="511"/>
      <c r="R39" s="511"/>
      <c r="S39" s="511"/>
      <c r="T39" s="511"/>
      <c r="U39" s="511"/>
      <c r="V39" s="511"/>
      <c r="W39" s="511"/>
      <c r="X39" s="511"/>
      <c r="Y39" s="511"/>
      <c r="Z39" s="511"/>
      <c r="AA39" s="511"/>
      <c r="AB39" s="511"/>
      <c r="AC39" s="511"/>
      <c r="AD39" s="511"/>
      <c r="AE39" s="511"/>
      <c r="AF39" s="511"/>
      <c r="AG39" s="511"/>
      <c r="AH39" s="511"/>
      <c r="AI39" s="511"/>
      <c r="AJ39" s="511"/>
      <c r="AK39" s="511"/>
      <c r="AL39" s="511"/>
      <c r="AM39" s="511"/>
      <c r="AN39" s="511"/>
      <c r="AO39" s="511"/>
      <c r="AP39" s="511"/>
      <c r="AQ39" s="511"/>
      <c r="AR39" s="511"/>
      <c r="AS39" s="511"/>
      <c r="AT39" s="511"/>
      <c r="AU39" s="511"/>
      <c r="AV39" s="511"/>
      <c r="AW39" s="511"/>
      <c r="AX39" s="511"/>
      <c r="AY39" s="511"/>
      <c r="AZ39" s="511"/>
      <c r="BA39" s="511"/>
      <c r="BB39" s="511"/>
      <c r="BC39" s="511"/>
    </row>
    <row r="40" spans="1:55" ht="39" customHeight="1" x14ac:dyDescent="0.3">
      <c r="A40" s="704" t="s">
        <v>456</v>
      </c>
      <c r="B40" s="705"/>
      <c r="C40" s="705"/>
      <c r="D40" s="705"/>
      <c r="E40" s="511"/>
      <c r="F40" s="515"/>
      <c r="G40" s="511"/>
      <c r="H40" s="516"/>
      <c r="I40" s="516"/>
      <c r="J40" s="516"/>
      <c r="K40" s="516"/>
      <c r="L40" s="516"/>
      <c r="M40" s="516"/>
      <c r="N40" s="516"/>
      <c r="O40" s="516"/>
      <c r="P40" s="516"/>
      <c r="Q40" s="516"/>
      <c r="R40" s="516"/>
      <c r="S40" s="516"/>
      <c r="T40" s="516"/>
      <c r="U40" s="516"/>
      <c r="V40" s="516"/>
      <c r="W40" s="516"/>
      <c r="X40" s="516"/>
      <c r="Y40" s="516"/>
      <c r="Z40" s="516"/>
      <c r="AA40" s="516"/>
      <c r="AB40" s="516"/>
      <c r="AC40" s="516"/>
      <c r="AD40" s="516"/>
      <c r="AE40" s="516"/>
      <c r="AF40" s="511"/>
      <c r="AG40" s="511"/>
      <c r="AH40" s="511"/>
      <c r="AI40" s="511"/>
      <c r="AJ40" s="511"/>
      <c r="AK40" s="511"/>
      <c r="AL40" s="511"/>
      <c r="AM40" s="511"/>
      <c r="AN40" s="511"/>
      <c r="AO40" s="511"/>
      <c r="AP40" s="511"/>
      <c r="AQ40" s="511"/>
      <c r="AR40" s="511"/>
      <c r="AS40" s="511"/>
      <c r="AT40" s="511"/>
      <c r="AU40" s="511"/>
      <c r="AV40" s="511"/>
      <c r="AW40" s="511"/>
      <c r="AX40" s="511"/>
      <c r="AY40" s="511"/>
      <c r="AZ40" s="511"/>
      <c r="BA40" s="511"/>
      <c r="BB40" s="511"/>
      <c r="BC40" s="511"/>
    </row>
    <row r="41" spans="1:55" ht="16.5" customHeight="1" x14ac:dyDescent="0.3">
      <c r="A41" s="521"/>
      <c r="B41" s="514"/>
      <c r="C41" s="521"/>
      <c r="D41" s="511"/>
      <c r="E41" s="511"/>
      <c r="F41" s="515"/>
      <c r="G41" s="511"/>
      <c r="H41" s="516"/>
      <c r="I41" s="516"/>
      <c r="J41" s="516"/>
      <c r="K41" s="516"/>
      <c r="L41" s="516"/>
      <c r="M41" s="516"/>
      <c r="N41" s="516"/>
      <c r="O41" s="516"/>
      <c r="P41" s="516"/>
      <c r="Q41" s="516"/>
      <c r="R41" s="516"/>
      <c r="S41" s="516"/>
      <c r="T41" s="516"/>
      <c r="U41" s="516"/>
      <c r="V41" s="516"/>
      <c r="W41" s="516"/>
      <c r="X41" s="516"/>
      <c r="Y41" s="516"/>
      <c r="Z41" s="516"/>
      <c r="AA41" s="516"/>
      <c r="AB41" s="516"/>
      <c r="AC41" s="516"/>
      <c r="AD41" s="516"/>
      <c r="AE41" s="516"/>
      <c r="AF41" s="511"/>
      <c r="AG41" s="511"/>
      <c r="AH41" s="511"/>
      <c r="AI41" s="511"/>
      <c r="AJ41" s="511"/>
      <c r="AK41" s="511"/>
      <c r="AL41" s="511"/>
      <c r="AM41" s="511"/>
      <c r="AN41" s="511"/>
      <c r="AO41" s="511"/>
      <c r="AP41" s="511"/>
      <c r="AQ41" s="511"/>
      <c r="AR41" s="511"/>
      <c r="AS41" s="511"/>
      <c r="AT41" s="511"/>
      <c r="AU41" s="511"/>
      <c r="AV41" s="511"/>
      <c r="AW41" s="511"/>
      <c r="AX41" s="511"/>
      <c r="AY41" s="511"/>
      <c r="AZ41" s="511"/>
      <c r="BA41" s="511"/>
      <c r="BB41" s="511"/>
      <c r="BC41" s="511"/>
    </row>
    <row r="42" spans="1:55" ht="36" customHeight="1" x14ac:dyDescent="0.3">
      <c r="A42" s="696" t="s">
        <v>446</v>
      </c>
      <c r="B42" s="683"/>
      <c r="C42" s="522">
        <v>46023</v>
      </c>
      <c r="D42" s="522">
        <v>46054</v>
      </c>
      <c r="E42" s="522">
        <v>46082</v>
      </c>
      <c r="F42" s="522">
        <v>46113</v>
      </c>
      <c r="G42" s="522">
        <v>46143</v>
      </c>
      <c r="H42" s="522">
        <v>46174</v>
      </c>
      <c r="I42" s="522">
        <v>46204</v>
      </c>
      <c r="J42" s="522">
        <v>46235</v>
      </c>
      <c r="K42" s="522"/>
      <c r="L42" s="522"/>
      <c r="M42" s="522"/>
      <c r="N42" s="522"/>
      <c r="O42" s="522"/>
      <c r="P42" s="522">
        <v>46235</v>
      </c>
      <c r="Q42" s="522">
        <v>46266</v>
      </c>
      <c r="R42" s="522">
        <v>46296</v>
      </c>
      <c r="S42" s="522">
        <v>46327</v>
      </c>
      <c r="T42" s="522">
        <v>46357</v>
      </c>
      <c r="U42" s="523" t="s">
        <v>458</v>
      </c>
      <c r="V42" s="516"/>
      <c r="W42" s="524"/>
      <c r="X42" s="516"/>
      <c r="Y42" s="516"/>
      <c r="Z42" s="516"/>
      <c r="AA42" s="516"/>
      <c r="AB42" s="516"/>
      <c r="AC42" s="516"/>
      <c r="AD42" s="516"/>
      <c r="AE42" s="516"/>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row>
    <row r="43" spans="1:55" ht="36" customHeight="1" x14ac:dyDescent="0.3">
      <c r="A43" s="682" t="s">
        <v>448</v>
      </c>
      <c r="B43" s="683"/>
      <c r="C43" s="525">
        <v>17</v>
      </c>
      <c r="D43" s="525">
        <v>3</v>
      </c>
      <c r="E43" s="525">
        <v>2</v>
      </c>
      <c r="F43" s="525">
        <v>1</v>
      </c>
      <c r="G43" s="525">
        <v>1</v>
      </c>
      <c r="H43" s="525">
        <v>8</v>
      </c>
      <c r="I43" s="525">
        <v>2</v>
      </c>
      <c r="J43" s="525">
        <v>1</v>
      </c>
      <c r="K43" s="525"/>
      <c r="L43" s="525"/>
      <c r="M43" s="525"/>
      <c r="N43" s="525"/>
      <c r="O43" s="525"/>
      <c r="P43" s="525"/>
      <c r="Q43" s="525"/>
      <c r="R43" s="525"/>
      <c r="S43" s="525"/>
      <c r="T43" s="525"/>
      <c r="U43" s="525">
        <f>SUM(C43:T43)</f>
        <v>35</v>
      </c>
      <c r="V43" s="516"/>
      <c r="W43" s="524"/>
      <c r="X43" s="516"/>
      <c r="Y43" s="516"/>
      <c r="Z43" s="516"/>
      <c r="AA43" s="516"/>
      <c r="AB43" s="516"/>
      <c r="AC43" s="516"/>
      <c r="AD43" s="516"/>
      <c r="AE43" s="516"/>
      <c r="AF43" s="511"/>
      <c r="AG43" s="511"/>
      <c r="AH43" s="511"/>
      <c r="AI43" s="511"/>
      <c r="AJ43" s="511"/>
      <c r="AK43" s="511"/>
      <c r="AL43" s="511"/>
      <c r="AM43" s="511"/>
      <c r="AN43" s="511"/>
      <c r="AO43" s="511"/>
      <c r="AP43" s="511"/>
      <c r="AQ43" s="511"/>
      <c r="AR43" s="511"/>
      <c r="AS43" s="511"/>
      <c r="AT43" s="511"/>
      <c r="AU43" s="511"/>
      <c r="AV43" s="511"/>
      <c r="AW43" s="511"/>
      <c r="AX43" s="511"/>
      <c r="AY43" s="511"/>
      <c r="AZ43" s="511"/>
      <c r="BA43" s="511"/>
      <c r="BB43" s="511"/>
      <c r="BC43" s="511"/>
    </row>
    <row r="44" spans="1:55" ht="36" customHeight="1" x14ac:dyDescent="0.3">
      <c r="A44" s="682" t="s">
        <v>449</v>
      </c>
      <c r="B44" s="683"/>
      <c r="C44" s="525">
        <v>13</v>
      </c>
      <c r="D44" s="525">
        <v>20</v>
      </c>
      <c r="E44" s="525">
        <v>12</v>
      </c>
      <c r="F44" s="525">
        <v>11</v>
      </c>
      <c r="G44" s="525">
        <v>9</v>
      </c>
      <c r="H44" s="525">
        <v>15</v>
      </c>
      <c r="I44" s="525">
        <v>12</v>
      </c>
      <c r="J44" s="525">
        <v>17</v>
      </c>
      <c r="K44" s="525"/>
      <c r="L44" s="525"/>
      <c r="M44" s="525"/>
      <c r="N44" s="525"/>
      <c r="O44" s="525"/>
      <c r="P44" s="525"/>
      <c r="Q44" s="525"/>
      <c r="R44" s="525"/>
      <c r="S44" s="525"/>
      <c r="T44" s="525"/>
      <c r="U44" s="525">
        <f>SUM(C44:T44)</f>
        <v>109</v>
      </c>
      <c r="V44" s="516"/>
      <c r="W44" s="524"/>
      <c r="X44" s="516"/>
      <c r="Y44" s="516"/>
      <c r="Z44" s="516"/>
      <c r="AA44" s="516"/>
      <c r="AB44" s="516"/>
      <c r="AC44" s="516"/>
      <c r="AD44" s="516"/>
      <c r="AE44" s="516"/>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1"/>
    </row>
    <row r="45" spans="1:55" ht="36" customHeight="1" x14ac:dyDescent="0.3">
      <c r="A45" s="682" t="s">
        <v>450</v>
      </c>
      <c r="B45" s="683"/>
      <c r="C45" s="525">
        <v>4</v>
      </c>
      <c r="D45" s="525">
        <v>2</v>
      </c>
      <c r="E45" s="525">
        <v>4</v>
      </c>
      <c r="F45" s="525">
        <v>6</v>
      </c>
      <c r="G45" s="525">
        <v>3</v>
      </c>
      <c r="H45" s="525">
        <v>6</v>
      </c>
      <c r="I45" s="525">
        <v>3</v>
      </c>
      <c r="J45" s="525">
        <v>1</v>
      </c>
      <c r="K45" s="525"/>
      <c r="L45" s="525"/>
      <c r="M45" s="681"/>
      <c r="N45" s="525"/>
      <c r="O45" s="525"/>
      <c r="P45" s="525"/>
      <c r="Q45" s="525"/>
      <c r="R45" s="525"/>
      <c r="S45" s="525"/>
      <c r="T45" s="525"/>
      <c r="U45" s="525">
        <f>SUM(C45:T45)</f>
        <v>29</v>
      </c>
      <c r="V45" s="516"/>
      <c r="W45" s="524"/>
      <c r="X45" s="516"/>
      <c r="Y45" s="516"/>
      <c r="Z45" s="516"/>
      <c r="AA45" s="516"/>
      <c r="AB45" s="516"/>
      <c r="AC45" s="516"/>
      <c r="AD45" s="516"/>
      <c r="AE45" s="516"/>
      <c r="AF45" s="511"/>
      <c r="AG45" s="511"/>
      <c r="AH45" s="511"/>
      <c r="AI45" s="511"/>
      <c r="AJ45" s="511"/>
      <c r="AK45" s="511"/>
      <c r="AL45" s="511"/>
      <c r="AM45" s="511"/>
      <c r="AN45" s="511"/>
      <c r="AO45" s="511"/>
      <c r="AP45" s="511"/>
      <c r="AQ45" s="511"/>
      <c r="AR45" s="511"/>
      <c r="AS45" s="511"/>
      <c r="AT45" s="511"/>
      <c r="AU45" s="511"/>
      <c r="AV45" s="511"/>
      <c r="AW45" s="511"/>
      <c r="AX45" s="511"/>
      <c r="AY45" s="511"/>
      <c r="AZ45" s="511"/>
      <c r="BA45" s="511"/>
      <c r="BB45" s="511"/>
      <c r="BC45" s="511"/>
    </row>
    <row r="46" spans="1:55" ht="36" customHeight="1" x14ac:dyDescent="0.3">
      <c r="A46" s="706" t="s">
        <v>296</v>
      </c>
      <c r="B46" s="707"/>
      <c r="C46" s="557">
        <f>SUM(C43:C45)</f>
        <v>34</v>
      </c>
      <c r="D46" s="557">
        <f>SUM(D43:D45)</f>
        <v>25</v>
      </c>
      <c r="E46" s="557">
        <f>SUM(E43:E45)</f>
        <v>18</v>
      </c>
      <c r="F46" s="557">
        <f>SUM(F43:F45)</f>
        <v>18</v>
      </c>
      <c r="G46" s="557">
        <f t="shared" ref="G46:U46" si="14">SUM(G43:G45)</f>
        <v>13</v>
      </c>
      <c r="H46" s="557">
        <f t="shared" si="14"/>
        <v>29</v>
      </c>
      <c r="I46" s="557">
        <f t="shared" si="14"/>
        <v>17</v>
      </c>
      <c r="J46" s="557">
        <f t="shared" ref="J46" si="15">SUM(J43:J45)</f>
        <v>19</v>
      </c>
      <c r="K46" s="557"/>
      <c r="L46" s="557"/>
      <c r="M46" s="557"/>
      <c r="N46" s="557"/>
      <c r="O46" s="557"/>
      <c r="P46" s="557">
        <f t="shared" si="14"/>
        <v>0</v>
      </c>
      <c r="Q46" s="557">
        <f t="shared" si="14"/>
        <v>0</v>
      </c>
      <c r="R46" s="557">
        <f t="shared" si="14"/>
        <v>0</v>
      </c>
      <c r="S46" s="557">
        <f t="shared" si="14"/>
        <v>0</v>
      </c>
      <c r="T46" s="557">
        <f t="shared" si="14"/>
        <v>0</v>
      </c>
      <c r="U46" s="557">
        <f t="shared" si="14"/>
        <v>173</v>
      </c>
      <c r="V46" s="516"/>
      <c r="W46" s="524"/>
      <c r="X46" s="516"/>
      <c r="Y46" s="516"/>
      <c r="Z46" s="516"/>
      <c r="AA46" s="516"/>
      <c r="AB46" s="516"/>
      <c r="AC46" s="516"/>
      <c r="AD46" s="516"/>
      <c r="AE46" s="516"/>
      <c r="AF46" s="511"/>
      <c r="AG46" s="511"/>
      <c r="AH46" s="511"/>
      <c r="AI46" s="511"/>
      <c r="AJ46" s="511"/>
      <c r="AK46" s="511"/>
      <c r="AL46" s="511"/>
      <c r="AM46" s="511"/>
      <c r="AN46" s="511"/>
      <c r="AO46" s="511"/>
      <c r="AP46" s="511"/>
      <c r="AQ46" s="511"/>
      <c r="AR46" s="511"/>
      <c r="AS46" s="511"/>
      <c r="AT46" s="511"/>
      <c r="AU46" s="511"/>
      <c r="AV46" s="511"/>
      <c r="AW46" s="511"/>
      <c r="AX46" s="511"/>
      <c r="AY46" s="511"/>
      <c r="AZ46" s="511"/>
      <c r="BA46" s="511"/>
      <c r="BB46" s="511"/>
      <c r="BC46" s="511"/>
    </row>
    <row r="47" spans="1:55" ht="36" customHeight="1" x14ac:dyDescent="0.3">
      <c r="A47" s="682" t="s">
        <v>451</v>
      </c>
      <c r="B47" s="683"/>
      <c r="C47" s="525">
        <v>25476</v>
      </c>
      <c r="D47" s="525">
        <v>23126</v>
      </c>
      <c r="E47" s="525">
        <v>25529</v>
      </c>
      <c r="F47" s="525">
        <v>23167</v>
      </c>
      <c r="G47" s="525">
        <v>25536</v>
      </c>
      <c r="H47" s="525">
        <v>23206</v>
      </c>
      <c r="I47" s="525">
        <v>25625</v>
      </c>
      <c r="J47" s="525">
        <v>23268</v>
      </c>
      <c r="K47" s="525"/>
      <c r="L47" s="525"/>
      <c r="M47" s="525"/>
      <c r="N47" s="525"/>
      <c r="O47" s="525"/>
      <c r="P47" s="525">
        <v>23171</v>
      </c>
      <c r="Q47" s="525">
        <v>23172</v>
      </c>
      <c r="R47" s="525">
        <v>23173</v>
      </c>
      <c r="S47" s="525">
        <v>23174</v>
      </c>
      <c r="T47" s="525">
        <v>23175</v>
      </c>
      <c r="U47" s="525">
        <v>23176</v>
      </c>
      <c r="V47" s="516"/>
      <c r="W47" s="524"/>
      <c r="X47" s="516"/>
      <c r="Y47" s="516"/>
      <c r="Z47" s="516"/>
      <c r="AA47" s="516"/>
      <c r="AB47" s="516"/>
      <c r="AC47" s="516"/>
      <c r="AD47" s="516"/>
      <c r="AE47" s="516"/>
      <c r="AF47" s="511"/>
      <c r="AG47" s="511"/>
      <c r="AH47" s="511"/>
      <c r="AI47" s="511"/>
      <c r="AJ47" s="511"/>
      <c r="AK47" s="511"/>
      <c r="AL47" s="511"/>
      <c r="AM47" s="511"/>
      <c r="AN47" s="511"/>
      <c r="AO47" s="511"/>
      <c r="AP47" s="511"/>
      <c r="AQ47" s="511"/>
      <c r="AR47" s="511"/>
      <c r="AS47" s="511"/>
      <c r="AT47" s="511"/>
      <c r="AU47" s="511"/>
      <c r="AV47" s="511"/>
      <c r="AW47" s="511"/>
      <c r="AX47" s="511"/>
      <c r="AY47" s="511"/>
      <c r="AZ47" s="511"/>
      <c r="BA47" s="511"/>
      <c r="BB47" s="511"/>
      <c r="BC47" s="511"/>
    </row>
    <row r="48" spans="1:55" ht="35.25" customHeight="1" x14ac:dyDescent="0.3">
      <c r="A48" s="706" t="s">
        <v>452</v>
      </c>
      <c r="B48" s="707"/>
      <c r="C48" s="559">
        <f>+(C46/C47)*100</f>
        <v>0.1334589417490972</v>
      </c>
      <c r="D48" s="559">
        <f>+(D46/D47)*100</f>
        <v>0.10810343336504367</v>
      </c>
      <c r="E48" s="559">
        <f>+(E45/E47)*100</f>
        <v>1.5668455482000864E-2</v>
      </c>
      <c r="F48" s="559">
        <f>+(F45/F47)*100</f>
        <v>2.5898907929382313E-2</v>
      </c>
      <c r="G48" s="559">
        <f t="shared" ref="G48:U48" si="16">+(G45/G47)*100</f>
        <v>1.1748120300751879E-2</v>
      </c>
      <c r="H48" s="559">
        <f t="shared" si="16"/>
        <v>2.5855382228733948E-2</v>
      </c>
      <c r="I48" s="559">
        <f t="shared" si="16"/>
        <v>1.1707317073170732E-2</v>
      </c>
      <c r="J48" s="559">
        <f>+(J45/J47)*100</f>
        <v>4.2977479800584495E-3</v>
      </c>
      <c r="K48" s="559"/>
      <c r="L48" s="559"/>
      <c r="M48" s="559"/>
      <c r="N48" s="559"/>
      <c r="O48" s="559"/>
      <c r="P48" s="559">
        <f t="shared" si="16"/>
        <v>0</v>
      </c>
      <c r="Q48" s="559">
        <f t="shared" si="16"/>
        <v>0</v>
      </c>
      <c r="R48" s="559">
        <f t="shared" si="16"/>
        <v>0</v>
      </c>
      <c r="S48" s="559">
        <f t="shared" si="16"/>
        <v>0</v>
      </c>
      <c r="T48" s="559">
        <f t="shared" si="16"/>
        <v>0</v>
      </c>
      <c r="U48" s="559">
        <f t="shared" si="16"/>
        <v>0.12512944425267519</v>
      </c>
      <c r="V48" s="511"/>
      <c r="W48" s="511"/>
      <c r="X48" s="511"/>
      <c r="Y48" s="511"/>
      <c r="Z48" s="511"/>
      <c r="AA48" s="511"/>
      <c r="AB48" s="511"/>
      <c r="AC48" s="511"/>
      <c r="AD48" s="511"/>
      <c r="AE48" s="511"/>
      <c r="AF48" s="511"/>
      <c r="AG48" s="511"/>
      <c r="AH48" s="511"/>
      <c r="AI48" s="511"/>
      <c r="AJ48" s="511"/>
      <c r="AK48" s="511"/>
      <c r="AL48" s="511"/>
      <c r="AM48" s="511"/>
      <c r="AN48" s="511"/>
      <c r="AO48" s="511"/>
      <c r="AP48" s="511"/>
      <c r="AQ48" s="511"/>
      <c r="AR48" s="511"/>
      <c r="AS48" s="511"/>
      <c r="AT48" s="511"/>
      <c r="AU48" s="511"/>
      <c r="AV48" s="511"/>
      <c r="AW48" s="511"/>
      <c r="AX48" s="511"/>
      <c r="AY48" s="511"/>
      <c r="AZ48" s="511"/>
      <c r="BA48" s="511"/>
      <c r="BB48" s="511"/>
      <c r="BC48" s="511"/>
    </row>
    <row r="49" spans="1:55" ht="16.5" customHeight="1" x14ac:dyDescent="0.3">
      <c r="A49" s="511"/>
      <c r="B49" s="511"/>
      <c r="C49" s="511"/>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511"/>
      <c r="AI49" s="511"/>
      <c r="AJ49" s="511"/>
      <c r="AK49" s="511"/>
      <c r="AL49" s="511"/>
      <c r="AM49" s="511"/>
      <c r="AN49" s="511"/>
      <c r="AO49" s="511"/>
      <c r="AP49" s="511"/>
      <c r="AQ49" s="511"/>
      <c r="AR49" s="511"/>
      <c r="AS49" s="511"/>
      <c r="AT49" s="511"/>
      <c r="AU49" s="511"/>
      <c r="AV49" s="511"/>
      <c r="AW49" s="511"/>
      <c r="AX49" s="511"/>
      <c r="AY49" s="511"/>
      <c r="AZ49" s="511"/>
      <c r="BA49" s="511"/>
      <c r="BB49" s="511"/>
      <c r="BC49" s="511"/>
    </row>
    <row r="50" spans="1:55" ht="16.5" customHeight="1" x14ac:dyDescent="0.3">
      <c r="A50" s="511"/>
      <c r="B50" s="511"/>
      <c r="C50" s="511"/>
      <c r="D50" s="511"/>
      <c r="E50" s="511"/>
      <c r="F50" s="511"/>
      <c r="G50" s="511"/>
      <c r="H50" s="511"/>
      <c r="I50" s="511"/>
      <c r="J50" s="511"/>
      <c r="K50" s="511"/>
      <c r="L50" s="511"/>
      <c r="M50" s="511"/>
      <c r="N50" s="511"/>
      <c r="O50" s="511"/>
      <c r="P50" s="511"/>
      <c r="Q50" s="511"/>
      <c r="R50" s="511"/>
      <c r="S50" s="511"/>
      <c r="T50" s="511"/>
      <c r="U50" s="511"/>
      <c r="V50" s="511"/>
      <c r="W50" s="511"/>
      <c r="X50" s="511"/>
      <c r="Y50" s="511"/>
      <c r="Z50" s="511"/>
      <c r="AA50" s="511"/>
      <c r="AB50" s="511"/>
      <c r="AC50" s="511"/>
      <c r="AD50" s="511"/>
      <c r="AE50" s="511"/>
      <c r="AF50" s="511"/>
      <c r="AG50" s="511"/>
      <c r="AH50" s="511"/>
      <c r="AI50" s="511"/>
      <c r="AJ50" s="511"/>
      <c r="AK50" s="511"/>
      <c r="AL50" s="511"/>
      <c r="AM50" s="511"/>
      <c r="AN50" s="511"/>
      <c r="AO50" s="511"/>
      <c r="AP50" s="511"/>
      <c r="AQ50" s="511"/>
      <c r="AR50" s="511"/>
      <c r="AS50" s="511"/>
      <c r="AT50" s="511"/>
      <c r="AU50" s="511"/>
      <c r="AV50" s="511"/>
      <c r="AW50" s="511"/>
      <c r="AX50" s="511"/>
      <c r="AY50" s="511"/>
      <c r="AZ50" s="511"/>
      <c r="BA50" s="511"/>
      <c r="BB50" s="511"/>
      <c r="BC50" s="511"/>
    </row>
    <row r="51" spans="1:55" ht="29.25" customHeight="1" x14ac:dyDescent="0.3">
      <c r="A51" s="704" t="s">
        <v>457</v>
      </c>
      <c r="B51" s="705"/>
      <c r="C51" s="705"/>
      <c r="D51" s="705"/>
      <c r="E51" s="511"/>
      <c r="F51" s="515"/>
      <c r="G51" s="511"/>
      <c r="H51" s="516"/>
      <c r="I51" s="516"/>
      <c r="J51" s="516"/>
      <c r="K51" s="516"/>
      <c r="L51" s="516"/>
      <c r="M51" s="516"/>
      <c r="N51" s="516"/>
      <c r="O51" s="516"/>
      <c r="P51" s="516"/>
      <c r="Q51" s="516"/>
      <c r="R51" s="516"/>
      <c r="S51" s="516"/>
      <c r="T51" s="516"/>
      <c r="U51" s="516"/>
      <c r="V51" s="516"/>
      <c r="W51" s="516"/>
      <c r="X51" s="516"/>
      <c r="Y51" s="516"/>
      <c r="Z51" s="516"/>
      <c r="AA51" s="516"/>
      <c r="AB51" s="516"/>
      <c r="AC51" s="516"/>
      <c r="AD51" s="516"/>
      <c r="AE51" s="516"/>
      <c r="AF51" s="511"/>
      <c r="AG51" s="511"/>
      <c r="AH51" s="511"/>
      <c r="AI51" s="511"/>
      <c r="AJ51" s="511"/>
      <c r="AK51" s="511"/>
      <c r="AL51" s="511"/>
      <c r="AM51" s="511"/>
      <c r="AN51" s="511"/>
      <c r="AO51" s="511"/>
      <c r="AP51" s="511"/>
      <c r="AQ51" s="511"/>
      <c r="AR51" s="511"/>
      <c r="AS51" s="511"/>
      <c r="AT51" s="511"/>
      <c r="AU51" s="511"/>
      <c r="AV51" s="511"/>
      <c r="AW51" s="511"/>
      <c r="AX51" s="511"/>
      <c r="AY51" s="511"/>
      <c r="AZ51" s="511"/>
      <c r="BA51" s="511"/>
      <c r="BB51" s="511"/>
      <c r="BC51" s="511"/>
    </row>
    <row r="52" spans="1:55" ht="16.5" customHeight="1" x14ac:dyDescent="0.3">
      <c r="A52" s="521"/>
      <c r="B52" s="514"/>
      <c r="C52" s="521"/>
      <c r="D52" s="511"/>
      <c r="E52" s="511"/>
      <c r="F52" s="515"/>
      <c r="G52" s="511"/>
      <c r="H52" s="516"/>
      <c r="I52" s="516"/>
      <c r="J52" s="516"/>
      <c r="K52" s="516"/>
      <c r="L52" s="516"/>
      <c r="M52" s="516"/>
      <c r="N52" s="516"/>
      <c r="O52" s="516"/>
      <c r="P52" s="516"/>
      <c r="Q52" s="516"/>
      <c r="R52" s="516"/>
      <c r="S52" s="516"/>
      <c r="T52" s="516"/>
      <c r="U52" s="516"/>
      <c r="V52" s="516"/>
      <c r="W52" s="516"/>
      <c r="X52" s="516"/>
      <c r="Y52" s="516"/>
      <c r="Z52" s="516"/>
      <c r="AA52" s="516"/>
      <c r="AB52" s="516"/>
      <c r="AC52" s="516"/>
      <c r="AD52" s="516"/>
      <c r="AE52" s="516"/>
      <c r="AF52" s="511"/>
      <c r="AG52" s="511"/>
      <c r="AH52" s="511"/>
      <c r="AI52" s="511"/>
      <c r="AJ52" s="511"/>
      <c r="AK52" s="511"/>
      <c r="AL52" s="511"/>
      <c r="AM52" s="511"/>
      <c r="AN52" s="511"/>
      <c r="AO52" s="511"/>
      <c r="AP52" s="511"/>
      <c r="AQ52" s="511"/>
      <c r="AR52" s="511"/>
      <c r="AS52" s="511"/>
      <c r="AT52" s="511"/>
      <c r="AU52" s="511"/>
      <c r="AV52" s="511"/>
      <c r="AW52" s="511"/>
      <c r="AX52" s="511"/>
      <c r="AY52" s="511"/>
      <c r="AZ52" s="511"/>
      <c r="BA52" s="511"/>
      <c r="BB52" s="511"/>
      <c r="BC52" s="511"/>
    </row>
    <row r="53" spans="1:55" ht="36" customHeight="1" x14ac:dyDescent="0.3">
      <c r="A53" s="696" t="s">
        <v>446</v>
      </c>
      <c r="B53" s="683"/>
      <c r="C53" s="522">
        <v>45658</v>
      </c>
      <c r="D53" s="522">
        <v>45689</v>
      </c>
      <c r="E53" s="522">
        <v>45717</v>
      </c>
      <c r="F53" s="522">
        <v>45748</v>
      </c>
      <c r="G53" s="522">
        <v>45778</v>
      </c>
      <c r="H53" s="522">
        <v>45809</v>
      </c>
      <c r="I53" s="522"/>
      <c r="J53" s="522"/>
      <c r="K53" s="522"/>
      <c r="L53" s="522"/>
      <c r="M53" s="522"/>
      <c r="N53" s="522"/>
      <c r="O53" s="522"/>
      <c r="P53" s="522">
        <v>45870</v>
      </c>
      <c r="Q53" s="522">
        <v>45901</v>
      </c>
      <c r="R53" s="522">
        <v>45931</v>
      </c>
      <c r="S53" s="522">
        <v>45962</v>
      </c>
      <c r="T53" s="522">
        <v>45992</v>
      </c>
      <c r="U53" s="523" t="s">
        <v>447</v>
      </c>
      <c r="V53" s="516"/>
      <c r="W53" s="524"/>
      <c r="X53" s="516"/>
      <c r="Y53" s="516"/>
      <c r="Z53" s="516"/>
      <c r="AA53" s="516"/>
      <c r="AB53" s="516"/>
      <c r="AC53" s="516"/>
      <c r="AD53" s="516"/>
      <c r="AE53" s="516"/>
      <c r="AF53" s="511"/>
      <c r="AG53" s="511"/>
      <c r="AH53" s="511"/>
      <c r="AI53" s="511"/>
      <c r="AJ53" s="511"/>
      <c r="AK53" s="511"/>
      <c r="AL53" s="511"/>
      <c r="AM53" s="511"/>
      <c r="AN53" s="511"/>
      <c r="AO53" s="511"/>
      <c r="AP53" s="511"/>
      <c r="AQ53" s="511"/>
      <c r="AR53" s="511"/>
      <c r="AS53" s="511"/>
      <c r="AT53" s="511"/>
      <c r="AU53" s="511"/>
      <c r="AV53" s="511"/>
      <c r="AW53" s="511"/>
      <c r="AX53" s="511"/>
      <c r="AY53" s="511"/>
      <c r="AZ53" s="511"/>
      <c r="BA53" s="511"/>
      <c r="BB53" s="511"/>
      <c r="BC53" s="511"/>
    </row>
    <row r="54" spans="1:55" ht="36" customHeight="1" x14ac:dyDescent="0.3">
      <c r="A54" s="682" t="s">
        <v>448</v>
      </c>
      <c r="B54" s="683"/>
      <c r="C54" s="525"/>
      <c r="D54" s="525"/>
      <c r="E54" s="525"/>
      <c r="F54" s="525"/>
      <c r="G54" s="525"/>
      <c r="H54" s="525"/>
      <c r="I54" s="525"/>
      <c r="J54" s="525"/>
      <c r="K54" s="525"/>
      <c r="L54" s="525"/>
      <c r="M54" s="525"/>
      <c r="N54" s="525"/>
      <c r="O54" s="525"/>
      <c r="P54" s="525"/>
      <c r="Q54" s="525"/>
      <c r="R54" s="525"/>
      <c r="S54" s="525"/>
      <c r="T54" s="525"/>
      <c r="U54" s="525" t="e">
        <f>R54+Q54+P54+#REF!+H54+G54+F54+E54+D54+C54</f>
        <v>#REF!</v>
      </c>
      <c r="V54" s="516"/>
      <c r="W54" s="524"/>
      <c r="X54" s="516"/>
      <c r="Y54" s="516"/>
      <c r="Z54" s="516"/>
      <c r="AA54" s="516"/>
      <c r="AB54" s="516"/>
      <c r="AC54" s="516"/>
      <c r="AD54" s="516"/>
      <c r="AE54" s="516"/>
      <c r="AF54" s="511"/>
      <c r="AG54" s="511"/>
      <c r="AH54" s="511"/>
      <c r="AI54" s="511"/>
      <c r="AJ54" s="511"/>
      <c r="AK54" s="511"/>
      <c r="AL54" s="511"/>
      <c r="AM54" s="511"/>
      <c r="AN54" s="511"/>
      <c r="AO54" s="511"/>
      <c r="AP54" s="511"/>
      <c r="AQ54" s="511"/>
      <c r="AR54" s="511"/>
      <c r="AS54" s="511"/>
      <c r="AT54" s="511"/>
      <c r="AU54" s="511"/>
      <c r="AV54" s="511"/>
      <c r="AW54" s="511"/>
      <c r="AX54" s="511"/>
      <c r="AY54" s="511"/>
      <c r="AZ54" s="511"/>
      <c r="BA54" s="511"/>
      <c r="BB54" s="511"/>
      <c r="BC54" s="511"/>
    </row>
    <row r="55" spans="1:55" ht="36" customHeight="1" x14ac:dyDescent="0.3">
      <c r="A55" s="682" t="s">
        <v>449</v>
      </c>
      <c r="B55" s="683"/>
      <c r="C55" s="525"/>
      <c r="D55" s="525"/>
      <c r="E55" s="525"/>
      <c r="F55" s="525"/>
      <c r="G55" s="525"/>
      <c r="H55" s="525"/>
      <c r="I55" s="525"/>
      <c r="J55" s="525"/>
      <c r="K55" s="525"/>
      <c r="L55" s="525"/>
      <c r="M55" s="525"/>
      <c r="N55" s="525"/>
      <c r="O55" s="525"/>
      <c r="P55" s="525"/>
      <c r="Q55" s="525"/>
      <c r="R55" s="525"/>
      <c r="S55" s="525"/>
      <c r="T55" s="525"/>
      <c r="U55" s="525" t="e">
        <f>R55+Q55+P55+#REF!+H55+G55+F55+E55+D55+C55</f>
        <v>#REF!</v>
      </c>
      <c r="V55" s="516"/>
      <c r="W55" s="524"/>
      <c r="X55" s="516"/>
      <c r="Y55" s="516"/>
      <c r="Z55" s="516"/>
      <c r="AA55" s="516"/>
      <c r="AB55" s="516"/>
      <c r="AC55" s="516"/>
      <c r="AD55" s="516"/>
      <c r="AE55" s="516"/>
      <c r="AF55" s="511"/>
      <c r="AG55" s="511"/>
      <c r="AH55" s="511"/>
      <c r="AI55" s="511"/>
      <c r="AJ55" s="511"/>
      <c r="AK55" s="511"/>
      <c r="AL55" s="511"/>
      <c r="AM55" s="511"/>
      <c r="AN55" s="511"/>
      <c r="AO55" s="511"/>
      <c r="AP55" s="511"/>
      <c r="AQ55" s="511"/>
      <c r="AR55" s="511"/>
      <c r="AS55" s="511"/>
      <c r="AT55" s="511"/>
      <c r="AU55" s="511"/>
      <c r="AV55" s="511"/>
      <c r="AW55" s="511"/>
      <c r="AX55" s="511"/>
      <c r="AY55" s="511"/>
      <c r="AZ55" s="511"/>
      <c r="BA55" s="511"/>
      <c r="BB55" s="511"/>
      <c r="BC55" s="511"/>
    </row>
    <row r="56" spans="1:55" ht="36" customHeight="1" x14ac:dyDescent="0.3">
      <c r="A56" s="682" t="s">
        <v>450</v>
      </c>
      <c r="B56" s="683"/>
      <c r="C56" s="525"/>
      <c r="D56" s="525"/>
      <c r="E56" s="525"/>
      <c r="F56" s="525"/>
      <c r="G56" s="525"/>
      <c r="H56" s="525"/>
      <c r="I56" s="525"/>
      <c r="J56" s="525"/>
      <c r="K56" s="525"/>
      <c r="L56" s="525"/>
      <c r="M56" s="525"/>
      <c r="N56" s="525"/>
      <c r="O56" s="525"/>
      <c r="P56" s="525"/>
      <c r="Q56" s="525"/>
      <c r="R56" s="525"/>
      <c r="S56" s="525"/>
      <c r="T56" s="525"/>
      <c r="U56" s="525" t="e">
        <f>R56+Q56+P56+#REF!+H56+G56+F56+E56+D56+C56</f>
        <v>#REF!</v>
      </c>
      <c r="V56" s="516"/>
      <c r="W56" s="524"/>
      <c r="X56" s="516"/>
      <c r="Y56" s="516"/>
      <c r="Z56" s="516"/>
      <c r="AA56" s="516"/>
      <c r="AB56" s="516"/>
      <c r="AC56" s="516"/>
      <c r="AD56" s="516"/>
      <c r="AE56" s="516"/>
      <c r="AF56" s="511"/>
      <c r="AG56" s="511"/>
      <c r="AH56" s="511"/>
      <c r="AI56" s="511"/>
      <c r="AJ56" s="511"/>
      <c r="AK56" s="511"/>
      <c r="AL56" s="511"/>
      <c r="AM56" s="511"/>
      <c r="AN56" s="511"/>
      <c r="AO56" s="511"/>
      <c r="AP56" s="511"/>
      <c r="AQ56" s="511"/>
      <c r="AR56" s="511"/>
      <c r="AS56" s="511"/>
      <c r="AT56" s="511"/>
      <c r="AU56" s="511"/>
      <c r="AV56" s="511"/>
      <c r="AW56" s="511"/>
      <c r="AX56" s="511"/>
      <c r="AY56" s="511"/>
      <c r="AZ56" s="511"/>
      <c r="BA56" s="511"/>
      <c r="BB56" s="511"/>
      <c r="BC56" s="511"/>
    </row>
    <row r="57" spans="1:55" ht="36" customHeight="1" x14ac:dyDescent="0.3">
      <c r="A57" s="682" t="s">
        <v>296</v>
      </c>
      <c r="B57" s="683"/>
      <c r="C57" s="525">
        <f t="shared" ref="C57:T57" si="17">SUM(C54:C56)</f>
        <v>0</v>
      </c>
      <c r="D57" s="525">
        <f t="shared" si="17"/>
        <v>0</v>
      </c>
      <c r="E57" s="525">
        <f t="shared" si="17"/>
        <v>0</v>
      </c>
      <c r="F57" s="525">
        <f t="shared" si="17"/>
        <v>0</v>
      </c>
      <c r="G57" s="525">
        <f t="shared" si="17"/>
        <v>0</v>
      </c>
      <c r="H57" s="525">
        <f t="shared" si="17"/>
        <v>0</v>
      </c>
      <c r="I57" s="525"/>
      <c r="J57" s="525"/>
      <c r="K57" s="525"/>
      <c r="L57" s="525"/>
      <c r="M57" s="525"/>
      <c r="N57" s="525"/>
      <c r="O57" s="525"/>
      <c r="P57" s="525">
        <f t="shared" si="17"/>
        <v>0</v>
      </c>
      <c r="Q57" s="525">
        <f t="shared" si="17"/>
        <v>0</v>
      </c>
      <c r="R57" s="525">
        <f t="shared" si="17"/>
        <v>0</v>
      </c>
      <c r="S57" s="525">
        <f t="shared" si="17"/>
        <v>0</v>
      </c>
      <c r="T57" s="525">
        <f t="shared" si="17"/>
        <v>0</v>
      </c>
      <c r="U57" s="525" t="e">
        <f>R57+Q57+P57+#REF!+H57+G57+F57+E57+D57+C57</f>
        <v>#REF!</v>
      </c>
      <c r="V57" s="516"/>
      <c r="W57" s="524"/>
      <c r="X57" s="516"/>
      <c r="Y57" s="516"/>
      <c r="Z57" s="516"/>
      <c r="AA57" s="516"/>
      <c r="AB57" s="516"/>
      <c r="AC57" s="516"/>
      <c r="AD57" s="516"/>
      <c r="AE57" s="516"/>
      <c r="AF57" s="511"/>
      <c r="AG57" s="511"/>
      <c r="AH57" s="511"/>
      <c r="AI57" s="511"/>
      <c r="AJ57" s="511"/>
      <c r="AK57" s="511"/>
      <c r="AL57" s="511"/>
      <c r="AM57" s="511"/>
      <c r="AN57" s="511"/>
      <c r="AO57" s="511"/>
      <c r="AP57" s="511"/>
      <c r="AQ57" s="511"/>
      <c r="AR57" s="511"/>
      <c r="AS57" s="511"/>
      <c r="AT57" s="511"/>
      <c r="AU57" s="511"/>
      <c r="AV57" s="511"/>
      <c r="AW57" s="511"/>
      <c r="AX57" s="511"/>
      <c r="AY57" s="511"/>
      <c r="AZ57" s="511"/>
      <c r="BA57" s="511"/>
      <c r="BB57" s="511"/>
      <c r="BC57" s="511"/>
    </row>
    <row r="58" spans="1:55" ht="16.5" customHeight="1" x14ac:dyDescent="0.3">
      <c r="A58" s="511"/>
      <c r="B58" s="511"/>
      <c r="C58" s="511"/>
      <c r="D58" s="511"/>
      <c r="E58" s="511"/>
      <c r="F58" s="511"/>
      <c r="G58" s="511"/>
      <c r="H58" s="511"/>
      <c r="I58" s="511"/>
      <c r="J58" s="511"/>
      <c r="K58" s="511"/>
      <c r="L58" s="511"/>
      <c r="M58" s="511"/>
      <c r="N58" s="511"/>
      <c r="O58" s="511"/>
      <c r="P58" s="511"/>
      <c r="Q58" s="511"/>
      <c r="R58" s="511"/>
      <c r="S58" s="511"/>
      <c r="T58" s="511"/>
      <c r="U58" s="511"/>
      <c r="V58" s="511"/>
      <c r="W58" s="511"/>
      <c r="X58" s="511"/>
      <c r="Y58" s="511"/>
      <c r="Z58" s="511"/>
      <c r="AA58" s="511"/>
      <c r="AB58" s="511"/>
      <c r="AC58" s="511"/>
      <c r="AD58" s="511"/>
      <c r="AE58" s="511"/>
      <c r="AF58" s="511"/>
      <c r="AG58" s="511"/>
      <c r="AH58" s="511"/>
      <c r="AI58" s="511"/>
      <c r="AJ58" s="511"/>
      <c r="AK58" s="511"/>
      <c r="AL58" s="511"/>
      <c r="AM58" s="511"/>
      <c r="AN58" s="511"/>
      <c r="AO58" s="511"/>
      <c r="AP58" s="511"/>
      <c r="AQ58" s="511"/>
      <c r="AR58" s="511"/>
      <c r="AS58" s="511"/>
      <c r="AT58" s="511"/>
      <c r="AU58" s="511"/>
      <c r="AV58" s="511"/>
      <c r="AW58" s="511"/>
      <c r="AX58" s="511"/>
      <c r="AY58" s="511"/>
      <c r="AZ58" s="511"/>
      <c r="BA58" s="511"/>
      <c r="BB58" s="511"/>
      <c r="BC58" s="511"/>
    </row>
    <row r="59" spans="1:55" ht="16.5" customHeight="1" x14ac:dyDescent="0.3">
      <c r="A59" s="511"/>
      <c r="B59" s="511"/>
      <c r="C59" s="511"/>
      <c r="D59" s="511"/>
      <c r="E59" s="511"/>
      <c r="F59" s="511"/>
      <c r="G59" s="511"/>
      <c r="H59" s="511"/>
      <c r="I59" s="511"/>
      <c r="J59" s="511"/>
      <c r="K59" s="511"/>
      <c r="L59" s="511"/>
      <c r="M59" s="511"/>
      <c r="N59" s="511"/>
      <c r="O59" s="511"/>
      <c r="P59" s="511"/>
      <c r="Q59" s="511"/>
      <c r="R59" s="511"/>
      <c r="S59" s="511"/>
      <c r="T59" s="511"/>
      <c r="U59" s="511"/>
      <c r="V59" s="511"/>
      <c r="W59" s="511"/>
      <c r="X59" s="511"/>
      <c r="Y59" s="511"/>
      <c r="Z59" s="511"/>
      <c r="AA59" s="511"/>
      <c r="AB59" s="511"/>
      <c r="AC59" s="511"/>
      <c r="AD59" s="511"/>
      <c r="AE59" s="511"/>
      <c r="AF59" s="511"/>
      <c r="AG59" s="511"/>
      <c r="AH59" s="511"/>
      <c r="AI59" s="511"/>
      <c r="AJ59" s="511"/>
      <c r="AK59" s="511"/>
      <c r="AL59" s="511"/>
      <c r="AM59" s="511"/>
      <c r="AN59" s="511"/>
      <c r="AO59" s="511"/>
      <c r="AP59" s="511"/>
      <c r="AQ59" s="511"/>
      <c r="AR59" s="511"/>
      <c r="AS59" s="511"/>
      <c r="AT59" s="511"/>
      <c r="AU59" s="511"/>
      <c r="AV59" s="511"/>
      <c r="AW59" s="511"/>
      <c r="AX59" s="511"/>
      <c r="AY59" s="511"/>
      <c r="AZ59" s="511"/>
      <c r="BA59" s="511"/>
      <c r="BB59" s="511"/>
      <c r="BC59" s="511"/>
    </row>
    <row r="60" spans="1:55" ht="16.5" customHeight="1" x14ac:dyDescent="0.3">
      <c r="A60" s="511"/>
      <c r="B60" s="511"/>
      <c r="C60" s="511"/>
      <c r="D60" s="511"/>
      <c r="E60" s="511"/>
      <c r="F60" s="511"/>
      <c r="G60" s="511"/>
      <c r="H60" s="511"/>
      <c r="I60" s="511"/>
      <c r="J60" s="511"/>
      <c r="K60" s="511"/>
      <c r="L60" s="511"/>
      <c r="M60" s="511"/>
      <c r="N60" s="511"/>
      <c r="O60" s="511"/>
      <c r="P60" s="511"/>
      <c r="Q60" s="511"/>
      <c r="R60" s="511"/>
      <c r="S60" s="511"/>
      <c r="T60" s="511"/>
      <c r="U60" s="511"/>
      <c r="V60" s="511"/>
      <c r="W60" s="511"/>
      <c r="X60" s="511"/>
      <c r="Y60" s="511"/>
      <c r="Z60" s="511"/>
      <c r="AA60" s="511"/>
      <c r="AB60" s="511"/>
      <c r="AC60" s="511"/>
      <c r="AD60" s="511"/>
      <c r="AE60" s="511"/>
      <c r="AF60" s="511"/>
      <c r="AG60" s="511"/>
      <c r="AH60" s="511"/>
      <c r="AI60" s="511"/>
      <c r="AJ60" s="511"/>
      <c r="AK60" s="511"/>
      <c r="AL60" s="511"/>
      <c r="AM60" s="511"/>
      <c r="AN60" s="511"/>
      <c r="AO60" s="511"/>
      <c r="AP60" s="511"/>
      <c r="AQ60" s="511"/>
      <c r="AR60" s="511"/>
      <c r="AS60" s="511"/>
      <c r="AT60" s="511"/>
      <c r="AU60" s="511"/>
      <c r="AV60" s="511"/>
      <c r="AW60" s="511"/>
      <c r="AX60" s="511"/>
      <c r="AY60" s="511"/>
      <c r="AZ60" s="511"/>
      <c r="BA60" s="511"/>
      <c r="BB60" s="511"/>
      <c r="BC60" s="511"/>
    </row>
    <row r="61" spans="1:55" ht="16.5" customHeight="1" x14ac:dyDescent="0.3">
      <c r="A61" s="511"/>
      <c r="B61" s="511"/>
      <c r="C61" s="511"/>
      <c r="D61" s="511"/>
      <c r="E61" s="511"/>
      <c r="F61" s="511"/>
      <c r="G61" s="511"/>
      <c r="H61" s="511"/>
      <c r="I61" s="511"/>
      <c r="J61" s="511"/>
      <c r="K61" s="511"/>
      <c r="L61" s="511"/>
      <c r="M61" s="511"/>
      <c r="N61" s="511"/>
      <c r="O61" s="511"/>
      <c r="P61" s="511"/>
      <c r="Q61" s="511"/>
      <c r="R61" s="511"/>
      <c r="S61" s="511"/>
      <c r="T61" s="511"/>
      <c r="U61" s="511"/>
      <c r="V61" s="511"/>
      <c r="W61" s="511"/>
      <c r="X61" s="511"/>
      <c r="Y61" s="511"/>
      <c r="Z61" s="511"/>
      <c r="AA61" s="511"/>
      <c r="AB61" s="511"/>
      <c r="AC61" s="511"/>
      <c r="AD61" s="511"/>
      <c r="AE61" s="511"/>
      <c r="AF61" s="511"/>
      <c r="AG61" s="511"/>
      <c r="AH61" s="511"/>
      <c r="AI61" s="511"/>
      <c r="AJ61" s="511"/>
      <c r="AK61" s="511"/>
      <c r="AL61" s="511"/>
      <c r="AM61" s="511"/>
      <c r="AN61" s="511"/>
      <c r="AO61" s="511"/>
      <c r="AP61" s="511"/>
      <c r="AQ61" s="511"/>
      <c r="AR61" s="511"/>
      <c r="AS61" s="511"/>
      <c r="AT61" s="511"/>
      <c r="AU61" s="511"/>
      <c r="AV61" s="511"/>
      <c r="AW61" s="511"/>
      <c r="AX61" s="511"/>
      <c r="AY61" s="511"/>
      <c r="AZ61" s="511"/>
      <c r="BA61" s="511"/>
      <c r="BB61" s="511"/>
      <c r="BC61" s="511"/>
    </row>
    <row r="62" spans="1:55" ht="16.5" customHeight="1" x14ac:dyDescent="0.3">
      <c r="A62" s="511"/>
      <c r="B62" s="511"/>
      <c r="C62" s="511"/>
      <c r="D62" s="511"/>
      <c r="E62" s="511"/>
      <c r="F62" s="511"/>
      <c r="G62" s="511"/>
      <c r="H62" s="511"/>
      <c r="I62" s="511"/>
      <c r="J62" s="511"/>
      <c r="K62" s="511"/>
      <c r="L62" s="511"/>
      <c r="M62" s="511"/>
      <c r="N62" s="511"/>
      <c r="O62" s="511"/>
      <c r="P62" s="511"/>
      <c r="Q62" s="511"/>
      <c r="R62" s="511"/>
      <c r="S62" s="511"/>
      <c r="T62" s="511"/>
      <c r="U62" s="511"/>
      <c r="V62" s="511"/>
      <c r="W62" s="511"/>
      <c r="X62" s="511"/>
      <c r="Y62" s="511"/>
      <c r="Z62" s="511"/>
      <c r="AA62" s="511"/>
      <c r="AB62" s="511"/>
      <c r="AC62" s="511"/>
      <c r="AD62" s="511"/>
      <c r="AE62" s="511"/>
      <c r="AF62" s="511"/>
      <c r="AG62" s="511"/>
      <c r="AH62" s="511"/>
      <c r="AI62" s="511"/>
      <c r="AJ62" s="511"/>
      <c r="AK62" s="511"/>
      <c r="AL62" s="511"/>
      <c r="AM62" s="511"/>
      <c r="AN62" s="511"/>
      <c r="AO62" s="511"/>
      <c r="AP62" s="511"/>
      <c r="AQ62" s="511"/>
      <c r="AR62" s="511"/>
      <c r="AS62" s="511"/>
      <c r="AT62" s="511"/>
      <c r="AU62" s="511"/>
      <c r="AV62" s="511"/>
      <c r="AW62" s="511"/>
      <c r="AX62" s="511"/>
      <c r="AY62" s="511"/>
      <c r="AZ62" s="511"/>
      <c r="BA62" s="511"/>
      <c r="BB62" s="511"/>
      <c r="BC62" s="511"/>
    </row>
    <row r="63" spans="1:55" ht="16.5" customHeight="1" x14ac:dyDescent="0.3">
      <c r="A63" s="511"/>
      <c r="B63" s="511"/>
      <c r="C63" s="511"/>
      <c r="D63" s="511"/>
      <c r="E63" s="511"/>
      <c r="F63" s="511"/>
      <c r="G63" s="511"/>
      <c r="H63" s="511"/>
      <c r="I63" s="511"/>
      <c r="J63" s="511"/>
      <c r="K63" s="511"/>
      <c r="L63" s="511"/>
      <c r="M63" s="511"/>
      <c r="N63" s="511"/>
      <c r="O63" s="511"/>
      <c r="P63" s="511"/>
      <c r="Q63" s="511"/>
      <c r="R63" s="511"/>
      <c r="S63" s="511"/>
      <c r="T63" s="511"/>
      <c r="U63" s="511"/>
      <c r="V63" s="511"/>
      <c r="W63" s="511"/>
      <c r="X63" s="511"/>
      <c r="Y63" s="511"/>
      <c r="Z63" s="511"/>
      <c r="AA63" s="511"/>
      <c r="AB63" s="511"/>
      <c r="AC63" s="511"/>
      <c r="AD63" s="511"/>
      <c r="AE63" s="511"/>
      <c r="AF63" s="511"/>
      <c r="AG63" s="511"/>
      <c r="AH63" s="511"/>
      <c r="AI63" s="511"/>
      <c r="AJ63" s="511"/>
      <c r="AK63" s="511"/>
      <c r="AL63" s="511"/>
      <c r="AM63" s="511"/>
      <c r="AN63" s="511"/>
      <c r="AO63" s="511"/>
      <c r="AP63" s="511"/>
      <c r="AQ63" s="511"/>
      <c r="AR63" s="511"/>
      <c r="AS63" s="511"/>
      <c r="AT63" s="511"/>
      <c r="AU63" s="511"/>
      <c r="AV63" s="511"/>
      <c r="AW63" s="511"/>
      <c r="AX63" s="511"/>
      <c r="AY63" s="511"/>
      <c r="AZ63" s="511"/>
      <c r="BA63" s="511"/>
      <c r="BB63" s="511"/>
      <c r="BC63" s="511"/>
    </row>
    <row r="64" spans="1:55" ht="16.5" customHeight="1" x14ac:dyDescent="0.3">
      <c r="A64" s="511"/>
      <c r="B64" s="511"/>
      <c r="C64" s="511"/>
      <c r="D64" s="511"/>
      <c r="E64" s="511"/>
      <c r="F64" s="511"/>
      <c r="G64" s="511"/>
      <c r="H64" s="511"/>
      <c r="I64" s="511"/>
      <c r="J64" s="511"/>
      <c r="K64" s="511"/>
      <c r="L64" s="511"/>
      <c r="M64" s="511"/>
      <c r="N64" s="511"/>
      <c r="O64" s="511"/>
      <c r="P64" s="511"/>
      <c r="Q64" s="511"/>
      <c r="R64" s="511"/>
      <c r="S64" s="511"/>
      <c r="T64" s="511"/>
      <c r="U64" s="511"/>
      <c r="V64" s="511"/>
      <c r="W64" s="511"/>
      <c r="X64" s="511"/>
      <c r="Y64" s="511"/>
      <c r="Z64" s="511"/>
      <c r="AA64" s="511"/>
      <c r="AB64" s="511"/>
      <c r="AC64" s="511"/>
      <c r="AD64" s="511"/>
      <c r="AE64" s="511"/>
      <c r="AF64" s="511"/>
      <c r="AG64" s="511"/>
      <c r="AH64" s="511"/>
      <c r="AI64" s="511"/>
      <c r="AJ64" s="511"/>
      <c r="AK64" s="511"/>
      <c r="AL64" s="511"/>
      <c r="AM64" s="511"/>
      <c r="AN64" s="511"/>
      <c r="AO64" s="511"/>
      <c r="AP64" s="511"/>
      <c r="AQ64" s="511"/>
      <c r="AR64" s="511"/>
      <c r="AS64" s="511"/>
      <c r="AT64" s="511"/>
      <c r="AU64" s="511"/>
      <c r="AV64" s="511"/>
      <c r="AW64" s="511"/>
      <c r="AX64" s="511"/>
      <c r="AY64" s="511"/>
      <c r="AZ64" s="511"/>
      <c r="BA64" s="511"/>
      <c r="BB64" s="511"/>
      <c r="BC64" s="511"/>
    </row>
    <row r="65" spans="1:55" ht="16.5" customHeight="1" x14ac:dyDescent="0.3">
      <c r="A65" s="511"/>
      <c r="B65" s="511"/>
      <c r="C65" s="511"/>
      <c r="D65" s="511"/>
      <c r="E65" s="511"/>
      <c r="F65" s="511"/>
      <c r="G65" s="511"/>
      <c r="H65" s="511"/>
      <c r="I65" s="511"/>
      <c r="J65" s="511"/>
      <c r="K65" s="511"/>
      <c r="L65" s="511"/>
      <c r="M65" s="511"/>
      <c r="N65" s="511"/>
      <c r="O65" s="511"/>
      <c r="P65" s="511"/>
      <c r="Q65" s="511"/>
      <c r="R65" s="511"/>
      <c r="S65" s="511"/>
      <c r="T65" s="511"/>
      <c r="U65" s="511"/>
      <c r="V65" s="511"/>
      <c r="W65" s="511"/>
      <c r="X65" s="511"/>
      <c r="Y65" s="511"/>
      <c r="Z65" s="511"/>
      <c r="AA65" s="511"/>
      <c r="AB65" s="511"/>
      <c r="AC65" s="511"/>
      <c r="AD65" s="511"/>
      <c r="AE65" s="511"/>
      <c r="AF65" s="511"/>
      <c r="AG65" s="511"/>
      <c r="AH65" s="511"/>
      <c r="AI65" s="511"/>
      <c r="AJ65" s="511"/>
      <c r="AK65" s="511"/>
      <c r="AL65" s="511"/>
      <c r="AM65" s="511"/>
      <c r="AN65" s="511"/>
      <c r="AO65" s="511"/>
      <c r="AP65" s="511"/>
      <c r="AQ65" s="511"/>
      <c r="AR65" s="511"/>
      <c r="AS65" s="511"/>
      <c r="AT65" s="511"/>
      <c r="AU65" s="511"/>
      <c r="AV65" s="511"/>
      <c r="AW65" s="511"/>
      <c r="AX65" s="511"/>
      <c r="AY65" s="511"/>
      <c r="AZ65" s="511"/>
      <c r="BA65" s="511"/>
      <c r="BB65" s="511"/>
      <c r="BC65" s="511"/>
    </row>
    <row r="66" spans="1:55" ht="16.5" customHeight="1" x14ac:dyDescent="0.3">
      <c r="A66" s="511"/>
      <c r="B66" s="511"/>
      <c r="C66" s="511"/>
      <c r="D66" s="511"/>
      <c r="E66" s="511"/>
      <c r="F66" s="511"/>
      <c r="G66" s="511"/>
      <c r="H66" s="511"/>
      <c r="I66" s="511"/>
      <c r="J66" s="511"/>
      <c r="K66" s="511"/>
      <c r="L66" s="511"/>
      <c r="M66" s="511"/>
      <c r="N66" s="511"/>
      <c r="O66" s="511"/>
      <c r="P66" s="511"/>
      <c r="Q66" s="511"/>
      <c r="R66" s="511"/>
      <c r="S66" s="511"/>
      <c r="T66" s="511"/>
      <c r="U66" s="511"/>
      <c r="V66" s="511"/>
      <c r="W66" s="511"/>
      <c r="X66" s="511"/>
      <c r="Y66" s="511"/>
      <c r="Z66" s="511"/>
      <c r="AA66" s="511"/>
      <c r="AB66" s="511"/>
      <c r="AC66" s="511"/>
      <c r="AD66" s="511"/>
      <c r="AE66" s="511"/>
      <c r="AF66" s="511"/>
      <c r="AG66" s="511"/>
      <c r="AH66" s="511"/>
      <c r="AI66" s="511"/>
      <c r="AJ66" s="511"/>
      <c r="AK66" s="511"/>
      <c r="AL66" s="511"/>
      <c r="AM66" s="511"/>
      <c r="AN66" s="511"/>
      <c r="AO66" s="511"/>
      <c r="AP66" s="511"/>
      <c r="AQ66" s="511"/>
      <c r="AR66" s="511"/>
      <c r="AS66" s="511"/>
      <c r="AT66" s="511"/>
      <c r="AU66" s="511"/>
      <c r="AV66" s="511"/>
      <c r="AW66" s="511"/>
      <c r="AX66" s="511"/>
      <c r="AY66" s="511"/>
      <c r="AZ66" s="511"/>
      <c r="BA66" s="511"/>
      <c r="BB66" s="511"/>
      <c r="BC66" s="511"/>
    </row>
    <row r="67" spans="1:55" ht="16.5" customHeight="1" x14ac:dyDescent="0.3">
      <c r="A67" s="511"/>
      <c r="B67" s="511"/>
      <c r="C67" s="511"/>
      <c r="D67" s="511"/>
      <c r="E67" s="511"/>
      <c r="F67" s="511"/>
      <c r="G67" s="511"/>
      <c r="H67" s="511"/>
      <c r="I67" s="511"/>
      <c r="J67" s="511"/>
      <c r="K67" s="511"/>
      <c r="L67" s="511"/>
      <c r="M67" s="511"/>
      <c r="N67" s="511"/>
      <c r="O67" s="511"/>
      <c r="P67" s="511"/>
      <c r="Q67" s="511"/>
      <c r="R67" s="511"/>
      <c r="S67" s="511"/>
      <c r="T67" s="511"/>
      <c r="U67" s="511"/>
      <c r="V67" s="511"/>
      <c r="W67" s="511"/>
      <c r="X67" s="511"/>
      <c r="Y67" s="511"/>
      <c r="Z67" s="511"/>
      <c r="AA67" s="511"/>
      <c r="AB67" s="511"/>
      <c r="AC67" s="511"/>
      <c r="AD67" s="511"/>
      <c r="AE67" s="511"/>
      <c r="AF67" s="511"/>
      <c r="AG67" s="511"/>
      <c r="AH67" s="511"/>
      <c r="AI67" s="511"/>
      <c r="AJ67" s="511"/>
      <c r="AK67" s="511"/>
      <c r="AL67" s="511"/>
      <c r="AM67" s="511"/>
      <c r="AN67" s="511"/>
      <c r="AO67" s="511"/>
      <c r="AP67" s="511"/>
      <c r="AQ67" s="511"/>
      <c r="AR67" s="511"/>
      <c r="AS67" s="511"/>
      <c r="AT67" s="511"/>
      <c r="AU67" s="511"/>
      <c r="AV67" s="511"/>
      <c r="AW67" s="511"/>
      <c r="AX67" s="511"/>
      <c r="AY67" s="511"/>
      <c r="AZ67" s="511"/>
      <c r="BA67" s="511"/>
      <c r="BB67" s="511"/>
      <c r="BC67" s="511"/>
    </row>
    <row r="68" spans="1:55" ht="16.5" customHeight="1" x14ac:dyDescent="0.3">
      <c r="A68" s="511"/>
      <c r="B68" s="511"/>
      <c r="C68" s="511"/>
      <c r="D68" s="511"/>
      <c r="E68" s="511"/>
      <c r="F68" s="511"/>
      <c r="G68" s="511"/>
      <c r="H68" s="511"/>
      <c r="I68" s="511"/>
      <c r="J68" s="511"/>
      <c r="K68" s="511"/>
      <c r="L68" s="511"/>
      <c r="M68" s="511"/>
      <c r="N68" s="511"/>
      <c r="O68" s="511"/>
      <c r="P68" s="511"/>
      <c r="Q68" s="511"/>
      <c r="R68" s="511"/>
      <c r="S68" s="511"/>
      <c r="T68" s="511"/>
      <c r="U68" s="511"/>
      <c r="V68" s="511"/>
      <c r="W68" s="511"/>
      <c r="X68" s="511"/>
      <c r="Y68" s="511"/>
      <c r="Z68" s="511"/>
      <c r="AA68" s="511"/>
      <c r="AB68" s="511"/>
      <c r="AC68" s="511"/>
      <c r="AD68" s="511"/>
      <c r="AE68" s="511"/>
      <c r="AF68" s="511"/>
      <c r="AG68" s="511"/>
      <c r="AH68" s="511"/>
      <c r="AI68" s="511"/>
      <c r="AJ68" s="511"/>
      <c r="AK68" s="511"/>
      <c r="AL68" s="511"/>
      <c r="AM68" s="511"/>
      <c r="AN68" s="511"/>
      <c r="AO68" s="511"/>
      <c r="AP68" s="511"/>
      <c r="AQ68" s="511"/>
      <c r="AR68" s="511"/>
      <c r="AS68" s="511"/>
      <c r="AT68" s="511"/>
      <c r="AU68" s="511"/>
      <c r="AV68" s="511"/>
      <c r="AW68" s="511"/>
      <c r="AX68" s="511"/>
      <c r="AY68" s="511"/>
      <c r="AZ68" s="511"/>
      <c r="BA68" s="511"/>
      <c r="BB68" s="511"/>
      <c r="BC68" s="511"/>
    </row>
    <row r="69" spans="1:55" ht="16.5" customHeight="1" x14ac:dyDescent="0.3">
      <c r="A69" s="511"/>
      <c r="B69" s="511"/>
      <c r="C69" s="511"/>
      <c r="D69" s="511"/>
      <c r="E69" s="511"/>
      <c r="F69" s="511"/>
      <c r="G69" s="511"/>
      <c r="H69" s="511"/>
      <c r="I69" s="511"/>
      <c r="J69" s="511"/>
      <c r="K69" s="511"/>
      <c r="L69" s="511"/>
      <c r="M69" s="511"/>
      <c r="N69" s="511"/>
      <c r="O69" s="511"/>
      <c r="P69" s="511"/>
      <c r="Q69" s="511"/>
      <c r="R69" s="511"/>
      <c r="S69" s="511"/>
      <c r="T69" s="511"/>
      <c r="U69" s="511"/>
      <c r="V69" s="511"/>
      <c r="W69" s="511"/>
      <c r="X69" s="511"/>
      <c r="Y69" s="511"/>
      <c r="Z69" s="511"/>
      <c r="AA69" s="511"/>
      <c r="AB69" s="511"/>
      <c r="AC69" s="511"/>
      <c r="AD69" s="511"/>
      <c r="AE69" s="511"/>
      <c r="AF69" s="511"/>
      <c r="AG69" s="511"/>
      <c r="AH69" s="511"/>
      <c r="AI69" s="511"/>
      <c r="AJ69" s="511"/>
      <c r="AK69" s="511"/>
      <c r="AL69" s="511"/>
      <c r="AM69" s="511"/>
      <c r="AN69" s="511"/>
      <c r="AO69" s="511"/>
      <c r="AP69" s="511"/>
      <c r="AQ69" s="511"/>
      <c r="AR69" s="511"/>
      <c r="AS69" s="511"/>
      <c r="AT69" s="511"/>
      <c r="AU69" s="511"/>
      <c r="AV69" s="511"/>
      <c r="AW69" s="511"/>
      <c r="AX69" s="511"/>
      <c r="AY69" s="511"/>
      <c r="AZ69" s="511"/>
      <c r="BA69" s="511"/>
      <c r="BB69" s="511"/>
      <c r="BC69" s="511"/>
    </row>
    <row r="70" spans="1:55" ht="16.5" customHeight="1" x14ac:dyDescent="0.3">
      <c r="A70" s="511"/>
      <c r="B70" s="511"/>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511"/>
      <c r="AE70" s="511"/>
      <c r="AF70" s="511"/>
      <c r="AG70" s="511"/>
      <c r="AH70" s="511"/>
      <c r="AI70" s="511"/>
      <c r="AJ70" s="511"/>
      <c r="AK70" s="511"/>
      <c r="AL70" s="511"/>
      <c r="AM70" s="511"/>
      <c r="AN70" s="511"/>
      <c r="AO70" s="511"/>
      <c r="AP70" s="511"/>
      <c r="AQ70" s="511"/>
      <c r="AR70" s="511"/>
      <c r="AS70" s="511"/>
      <c r="AT70" s="511"/>
      <c r="AU70" s="511"/>
      <c r="AV70" s="511"/>
      <c r="AW70" s="511"/>
      <c r="AX70" s="511"/>
      <c r="AY70" s="511"/>
      <c r="AZ70" s="511"/>
      <c r="BA70" s="511"/>
      <c r="BB70" s="511"/>
      <c r="BC70" s="511"/>
    </row>
    <row r="71" spans="1:55" ht="16.5" customHeight="1" x14ac:dyDescent="0.3">
      <c r="A71" s="511"/>
      <c r="B71" s="511"/>
      <c r="C71" s="511"/>
      <c r="D71" s="511"/>
      <c r="E71" s="511"/>
      <c r="F71" s="511"/>
      <c r="G71" s="511"/>
      <c r="H71" s="511"/>
      <c r="I71" s="511"/>
      <c r="J71" s="511"/>
      <c r="K71" s="511"/>
      <c r="L71" s="511"/>
      <c r="M71" s="511"/>
      <c r="N71" s="511"/>
      <c r="O71" s="511"/>
      <c r="P71" s="511"/>
      <c r="Q71" s="511"/>
      <c r="R71" s="511"/>
      <c r="S71" s="511"/>
      <c r="T71" s="511"/>
      <c r="U71" s="511"/>
      <c r="V71" s="511"/>
      <c r="W71" s="511"/>
      <c r="X71" s="511"/>
      <c r="Y71" s="511"/>
      <c r="Z71" s="511"/>
      <c r="AA71" s="511"/>
      <c r="AB71" s="511"/>
      <c r="AC71" s="511"/>
      <c r="AD71" s="511"/>
      <c r="AE71" s="511"/>
      <c r="AF71" s="511"/>
      <c r="AG71" s="511"/>
      <c r="AH71" s="511"/>
      <c r="AI71" s="511"/>
      <c r="AJ71" s="511"/>
      <c r="AK71" s="511"/>
      <c r="AL71" s="511"/>
      <c r="AM71" s="511"/>
      <c r="AN71" s="511"/>
      <c r="AO71" s="511"/>
      <c r="AP71" s="511"/>
      <c r="AQ71" s="511"/>
      <c r="AR71" s="511"/>
      <c r="AS71" s="511"/>
      <c r="AT71" s="511"/>
      <c r="AU71" s="511"/>
      <c r="AV71" s="511"/>
      <c r="AW71" s="511"/>
      <c r="AX71" s="511"/>
      <c r="AY71" s="511"/>
      <c r="AZ71" s="511"/>
      <c r="BA71" s="511"/>
      <c r="BB71" s="511"/>
      <c r="BC71" s="511"/>
    </row>
    <row r="72" spans="1:55" ht="16.5" customHeight="1" x14ac:dyDescent="0.3">
      <c r="A72" s="511"/>
      <c r="B72" s="511"/>
      <c r="C72" s="511"/>
      <c r="D72" s="511"/>
      <c r="E72" s="511"/>
      <c r="F72" s="511"/>
      <c r="G72" s="511"/>
      <c r="H72" s="511"/>
      <c r="I72" s="511"/>
      <c r="J72" s="511"/>
      <c r="K72" s="511"/>
      <c r="L72" s="511"/>
      <c r="M72" s="511"/>
      <c r="N72" s="511"/>
      <c r="O72" s="511"/>
      <c r="P72" s="511"/>
      <c r="Q72" s="511"/>
      <c r="R72" s="511"/>
      <c r="S72" s="511"/>
      <c r="T72" s="511"/>
      <c r="U72" s="511"/>
      <c r="V72" s="511"/>
      <c r="W72" s="511"/>
      <c r="X72" s="511"/>
      <c r="Y72" s="511"/>
      <c r="Z72" s="511"/>
      <c r="AA72" s="511"/>
      <c r="AB72" s="511"/>
      <c r="AC72" s="511"/>
      <c r="AD72" s="511"/>
      <c r="AE72" s="511"/>
      <c r="AF72" s="511"/>
      <c r="AG72" s="511"/>
      <c r="AH72" s="511"/>
      <c r="AI72" s="511"/>
      <c r="AJ72" s="511"/>
      <c r="AK72" s="511"/>
      <c r="AL72" s="511"/>
      <c r="AM72" s="511"/>
      <c r="AN72" s="511"/>
      <c r="AO72" s="511"/>
      <c r="AP72" s="511"/>
      <c r="AQ72" s="511"/>
      <c r="AR72" s="511"/>
      <c r="AS72" s="511"/>
      <c r="AT72" s="511"/>
      <c r="AU72" s="511"/>
      <c r="AV72" s="511"/>
      <c r="AW72" s="511"/>
      <c r="AX72" s="511"/>
      <c r="AY72" s="511"/>
      <c r="AZ72" s="511"/>
      <c r="BA72" s="511"/>
      <c r="BB72" s="511"/>
      <c r="BC72" s="511"/>
    </row>
    <row r="73" spans="1:55" ht="16.5" customHeight="1" x14ac:dyDescent="0.3">
      <c r="A73" s="511"/>
      <c r="B73" s="511"/>
      <c r="C73" s="511"/>
      <c r="D73" s="511"/>
      <c r="E73" s="511"/>
      <c r="F73" s="511"/>
      <c r="G73" s="511"/>
      <c r="H73" s="511"/>
      <c r="I73" s="511"/>
      <c r="J73" s="511"/>
      <c r="K73" s="511"/>
      <c r="L73" s="511"/>
      <c r="M73" s="511"/>
      <c r="N73" s="511"/>
      <c r="O73" s="511"/>
      <c r="P73" s="511"/>
      <c r="Q73" s="511"/>
      <c r="R73" s="511"/>
      <c r="S73" s="511"/>
      <c r="T73" s="511"/>
      <c r="U73" s="511"/>
      <c r="V73" s="511"/>
      <c r="W73" s="511"/>
      <c r="X73" s="511"/>
      <c r="Y73" s="511"/>
      <c r="Z73" s="511"/>
      <c r="AA73" s="511"/>
      <c r="AB73" s="511"/>
      <c r="AC73" s="511"/>
      <c r="AD73" s="511"/>
      <c r="AE73" s="511"/>
      <c r="AF73" s="511"/>
      <c r="AG73" s="511"/>
      <c r="AH73" s="511"/>
      <c r="AI73" s="511"/>
      <c r="AJ73" s="511"/>
      <c r="AK73" s="511"/>
      <c r="AL73" s="511"/>
      <c r="AM73" s="511"/>
      <c r="AN73" s="511"/>
      <c r="AO73" s="511"/>
      <c r="AP73" s="511"/>
      <c r="AQ73" s="511"/>
      <c r="AR73" s="511"/>
      <c r="AS73" s="511"/>
      <c r="AT73" s="511"/>
      <c r="AU73" s="511"/>
      <c r="AV73" s="511"/>
      <c r="AW73" s="511"/>
      <c r="AX73" s="511"/>
      <c r="AY73" s="511"/>
      <c r="AZ73" s="511"/>
      <c r="BA73" s="511"/>
      <c r="BB73" s="511"/>
      <c r="BC73" s="511"/>
    </row>
    <row r="74" spans="1:55" ht="16.5" customHeight="1" x14ac:dyDescent="0.3">
      <c r="A74" s="511"/>
      <c r="B74" s="511"/>
      <c r="C74" s="511"/>
      <c r="D74" s="511"/>
      <c r="E74" s="511"/>
      <c r="F74" s="511"/>
      <c r="G74" s="511"/>
      <c r="H74" s="511"/>
      <c r="I74" s="511"/>
      <c r="J74" s="511"/>
      <c r="K74" s="511"/>
      <c r="L74" s="511"/>
      <c r="M74" s="511"/>
      <c r="N74" s="511"/>
      <c r="O74" s="511"/>
      <c r="P74" s="511"/>
      <c r="Q74" s="511"/>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c r="AO74" s="511"/>
      <c r="AP74" s="511"/>
      <c r="AQ74" s="511"/>
      <c r="AR74" s="511"/>
      <c r="AS74" s="511"/>
      <c r="AT74" s="511"/>
      <c r="AU74" s="511"/>
      <c r="AV74" s="511"/>
      <c r="AW74" s="511"/>
      <c r="AX74" s="511"/>
      <c r="AY74" s="511"/>
      <c r="AZ74" s="511"/>
      <c r="BA74" s="511"/>
      <c r="BB74" s="511"/>
      <c r="BC74" s="511"/>
    </row>
    <row r="75" spans="1:55" ht="16.5" customHeight="1" x14ac:dyDescent="0.3">
      <c r="A75" s="511"/>
      <c r="B75" s="511"/>
      <c r="C75" s="511"/>
      <c r="D75" s="511"/>
      <c r="E75" s="511"/>
      <c r="F75" s="511"/>
      <c r="G75" s="511"/>
      <c r="H75" s="511"/>
      <c r="I75" s="511"/>
      <c r="J75" s="511"/>
      <c r="K75" s="511"/>
      <c r="L75" s="511"/>
      <c r="M75" s="511"/>
      <c r="N75" s="511"/>
      <c r="O75" s="511"/>
      <c r="P75" s="511"/>
      <c r="Q75" s="511"/>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511"/>
      <c r="AV75" s="511"/>
      <c r="AW75" s="511"/>
      <c r="AX75" s="511"/>
      <c r="AY75" s="511"/>
      <c r="AZ75" s="511"/>
      <c r="BA75" s="511"/>
      <c r="BB75" s="511"/>
      <c r="BC75" s="511"/>
    </row>
    <row r="76" spans="1:55" ht="16.5" customHeight="1" x14ac:dyDescent="0.3">
      <c r="A76" s="511"/>
      <c r="B76" s="511"/>
      <c r="C76" s="511"/>
      <c r="D76" s="511"/>
      <c r="E76" s="511"/>
      <c r="F76" s="511"/>
      <c r="G76" s="511"/>
      <c r="H76" s="511"/>
      <c r="I76" s="511"/>
      <c r="J76" s="511"/>
      <c r="K76" s="511"/>
      <c r="L76" s="511"/>
      <c r="M76" s="511"/>
      <c r="N76" s="511"/>
      <c r="O76" s="511"/>
      <c r="P76" s="511"/>
      <c r="Q76" s="511"/>
      <c r="R76" s="511"/>
      <c r="S76" s="511"/>
      <c r="T76" s="511"/>
      <c r="U76" s="511"/>
      <c r="V76" s="511"/>
      <c r="W76" s="511"/>
      <c r="X76" s="511"/>
      <c r="Y76" s="511"/>
      <c r="Z76" s="511"/>
      <c r="AA76" s="511"/>
      <c r="AB76" s="511"/>
      <c r="AC76" s="511"/>
      <c r="AD76" s="511"/>
      <c r="AE76" s="511"/>
      <c r="AF76" s="511"/>
      <c r="AG76" s="511"/>
      <c r="AH76" s="511"/>
      <c r="AI76" s="511"/>
      <c r="AJ76" s="511"/>
      <c r="AK76" s="511"/>
      <c r="AL76" s="511"/>
      <c r="AM76" s="511"/>
      <c r="AN76" s="511"/>
      <c r="AO76" s="511"/>
      <c r="AP76" s="511"/>
      <c r="AQ76" s="511"/>
      <c r="AR76" s="511"/>
      <c r="AS76" s="511"/>
      <c r="AT76" s="511"/>
      <c r="AU76" s="511"/>
      <c r="AV76" s="511"/>
      <c r="AW76" s="511"/>
      <c r="AX76" s="511"/>
      <c r="AY76" s="511"/>
      <c r="AZ76" s="511"/>
      <c r="BA76" s="511"/>
      <c r="BB76" s="511"/>
      <c r="BC76" s="511"/>
    </row>
    <row r="77" spans="1:55" ht="16.5" customHeight="1" x14ac:dyDescent="0.3">
      <c r="A77" s="511"/>
      <c r="B77" s="511"/>
      <c r="C77" s="511"/>
      <c r="D77" s="511"/>
      <c r="E77" s="511"/>
      <c r="F77" s="511"/>
      <c r="G77" s="511"/>
      <c r="H77" s="511"/>
      <c r="I77" s="511"/>
      <c r="J77" s="511"/>
      <c r="K77" s="511"/>
      <c r="L77" s="511"/>
      <c r="M77" s="511"/>
      <c r="N77" s="511"/>
      <c r="O77" s="511"/>
      <c r="P77" s="511"/>
      <c r="Q77" s="511"/>
      <c r="R77" s="511"/>
      <c r="S77" s="511"/>
      <c r="T77" s="511"/>
      <c r="U77" s="511"/>
      <c r="V77" s="511"/>
      <c r="W77" s="511"/>
      <c r="X77" s="511"/>
      <c r="Y77" s="511"/>
      <c r="Z77" s="511"/>
      <c r="AA77" s="511"/>
      <c r="AB77" s="511"/>
      <c r="AC77" s="511"/>
      <c r="AD77" s="511"/>
      <c r="AE77" s="511"/>
      <c r="AF77" s="511"/>
      <c r="AG77" s="511"/>
      <c r="AH77" s="511"/>
      <c r="AI77" s="511"/>
      <c r="AJ77" s="511"/>
      <c r="AK77" s="511"/>
      <c r="AL77" s="511"/>
      <c r="AM77" s="511"/>
      <c r="AN77" s="511"/>
      <c r="AO77" s="511"/>
      <c r="AP77" s="511"/>
      <c r="AQ77" s="511"/>
      <c r="AR77" s="511"/>
      <c r="AS77" s="511"/>
      <c r="AT77" s="511"/>
      <c r="AU77" s="511"/>
      <c r="AV77" s="511"/>
      <c r="AW77" s="511"/>
      <c r="AX77" s="511"/>
      <c r="AY77" s="511"/>
      <c r="AZ77" s="511"/>
      <c r="BA77" s="511"/>
      <c r="BB77" s="511"/>
      <c r="BC77" s="511"/>
    </row>
    <row r="78" spans="1:55" ht="16.5" customHeight="1" x14ac:dyDescent="0.3">
      <c r="A78" s="511"/>
      <c r="B78" s="511"/>
      <c r="C78" s="511"/>
      <c r="D78" s="511"/>
      <c r="E78" s="511"/>
      <c r="F78" s="511"/>
      <c r="G78" s="511"/>
      <c r="H78" s="511"/>
      <c r="I78" s="511"/>
      <c r="J78" s="511"/>
      <c r="K78" s="511"/>
      <c r="L78" s="511"/>
      <c r="M78" s="511"/>
      <c r="N78" s="511"/>
      <c r="O78" s="511"/>
      <c r="P78" s="511"/>
      <c r="Q78" s="511"/>
      <c r="R78" s="511"/>
      <c r="S78" s="511"/>
      <c r="T78" s="511"/>
      <c r="U78" s="511"/>
      <c r="V78" s="511"/>
      <c r="W78" s="511"/>
      <c r="X78" s="511"/>
      <c r="Y78" s="511"/>
      <c r="Z78" s="511"/>
      <c r="AA78" s="511"/>
      <c r="AB78" s="511"/>
      <c r="AC78" s="511"/>
      <c r="AD78" s="511"/>
      <c r="AE78" s="511"/>
      <c r="AF78" s="511"/>
      <c r="AG78" s="511"/>
      <c r="AH78" s="511"/>
      <c r="AI78" s="511"/>
      <c r="AJ78" s="511"/>
      <c r="AK78" s="511"/>
      <c r="AL78" s="511"/>
      <c r="AM78" s="511"/>
      <c r="AN78" s="511"/>
      <c r="AO78" s="511"/>
      <c r="AP78" s="511"/>
      <c r="AQ78" s="511"/>
      <c r="AR78" s="511"/>
      <c r="AS78" s="511"/>
      <c r="AT78" s="511"/>
      <c r="AU78" s="511"/>
      <c r="AV78" s="511"/>
      <c r="AW78" s="511"/>
      <c r="AX78" s="511"/>
      <c r="AY78" s="511"/>
      <c r="AZ78" s="511"/>
      <c r="BA78" s="511"/>
      <c r="BB78" s="511"/>
      <c r="BC78" s="511"/>
    </row>
    <row r="79" spans="1:55" ht="16.5" customHeight="1" x14ac:dyDescent="0.3">
      <c r="A79" s="511"/>
      <c r="B79" s="511"/>
      <c r="C79" s="511"/>
      <c r="D79" s="511"/>
      <c r="E79" s="511"/>
      <c r="F79" s="511"/>
      <c r="G79" s="511"/>
      <c r="H79" s="511"/>
      <c r="I79" s="511"/>
      <c r="J79" s="511"/>
      <c r="K79" s="511"/>
      <c r="L79" s="511"/>
      <c r="M79" s="511"/>
      <c r="N79" s="511"/>
      <c r="O79" s="511"/>
      <c r="P79" s="511"/>
      <c r="Q79" s="511"/>
      <c r="R79" s="511"/>
      <c r="S79" s="511"/>
      <c r="T79" s="511"/>
      <c r="U79" s="511"/>
      <c r="V79" s="511"/>
      <c r="W79" s="511"/>
      <c r="X79" s="511"/>
      <c r="Y79" s="511"/>
      <c r="Z79" s="511"/>
      <c r="AA79" s="511"/>
      <c r="AB79" s="511"/>
      <c r="AC79" s="511"/>
      <c r="AD79" s="511"/>
      <c r="AE79" s="511"/>
      <c r="AF79" s="511"/>
      <c r="AG79" s="511"/>
      <c r="AH79" s="511"/>
      <c r="AI79" s="511"/>
      <c r="AJ79" s="511"/>
      <c r="AK79" s="511"/>
      <c r="AL79" s="511"/>
      <c r="AM79" s="511"/>
      <c r="AN79" s="511"/>
      <c r="AO79" s="511"/>
      <c r="AP79" s="511"/>
      <c r="AQ79" s="511"/>
      <c r="AR79" s="511"/>
      <c r="AS79" s="511"/>
      <c r="AT79" s="511"/>
      <c r="AU79" s="511"/>
      <c r="AV79" s="511"/>
      <c r="AW79" s="511"/>
      <c r="AX79" s="511"/>
      <c r="AY79" s="511"/>
      <c r="AZ79" s="511"/>
      <c r="BA79" s="511"/>
      <c r="BB79" s="511"/>
      <c r="BC79" s="511"/>
    </row>
    <row r="80" spans="1:55" ht="16.5" customHeight="1" x14ac:dyDescent="0.3">
      <c r="A80" s="511"/>
      <c r="B80" s="511"/>
      <c r="C80" s="511"/>
      <c r="D80" s="511"/>
      <c r="E80" s="511"/>
      <c r="F80" s="511"/>
      <c r="G80" s="511"/>
      <c r="H80" s="511"/>
      <c r="I80" s="511"/>
      <c r="J80" s="511"/>
      <c r="K80" s="511"/>
      <c r="L80" s="511"/>
      <c r="M80" s="511"/>
      <c r="N80" s="511"/>
      <c r="O80" s="511"/>
      <c r="P80" s="511"/>
      <c r="Q80" s="511"/>
      <c r="R80" s="511"/>
      <c r="S80" s="511"/>
      <c r="T80" s="511"/>
      <c r="U80" s="511"/>
      <c r="V80" s="511"/>
      <c r="W80" s="511"/>
      <c r="X80" s="511"/>
      <c r="Y80" s="511"/>
      <c r="Z80" s="511"/>
      <c r="AA80" s="511"/>
      <c r="AB80" s="511"/>
      <c r="AC80" s="511"/>
      <c r="AD80" s="511"/>
      <c r="AE80" s="511"/>
      <c r="AF80" s="511"/>
      <c r="AG80" s="511"/>
      <c r="AH80" s="511"/>
      <c r="AI80" s="511"/>
      <c r="AJ80" s="511"/>
      <c r="AK80" s="511"/>
      <c r="AL80" s="511"/>
      <c r="AM80" s="511"/>
      <c r="AN80" s="511"/>
      <c r="AO80" s="511"/>
      <c r="AP80" s="511"/>
      <c r="AQ80" s="511"/>
      <c r="AR80" s="511"/>
      <c r="AS80" s="511"/>
      <c r="AT80" s="511"/>
      <c r="AU80" s="511"/>
      <c r="AV80" s="511"/>
      <c r="AW80" s="511"/>
      <c r="AX80" s="511"/>
      <c r="AY80" s="511"/>
      <c r="AZ80" s="511"/>
      <c r="BA80" s="511"/>
      <c r="BB80" s="511"/>
      <c r="BC80" s="511"/>
    </row>
    <row r="81" spans="1:55" ht="16.5" customHeight="1" x14ac:dyDescent="0.3">
      <c r="A81" s="511"/>
      <c r="B81" s="511"/>
      <c r="C81" s="511"/>
      <c r="D81" s="511"/>
      <c r="E81" s="511"/>
      <c r="F81" s="511"/>
      <c r="G81" s="511"/>
      <c r="H81" s="511"/>
      <c r="I81" s="511"/>
      <c r="J81" s="511"/>
      <c r="K81" s="511"/>
      <c r="L81" s="511"/>
      <c r="M81" s="511"/>
      <c r="N81" s="511"/>
      <c r="O81" s="511"/>
      <c r="P81" s="511"/>
      <c r="Q81" s="511"/>
      <c r="R81" s="511"/>
      <c r="S81" s="511"/>
      <c r="T81" s="511"/>
      <c r="U81" s="511"/>
      <c r="V81" s="511"/>
      <c r="W81" s="511"/>
      <c r="X81" s="511"/>
      <c r="Y81" s="511"/>
      <c r="Z81" s="511"/>
      <c r="AA81" s="511"/>
      <c r="AB81" s="511"/>
      <c r="AC81" s="511"/>
      <c r="AD81" s="511"/>
      <c r="AE81" s="511"/>
      <c r="AF81" s="511"/>
      <c r="AG81" s="511"/>
      <c r="AH81" s="511"/>
      <c r="AI81" s="511"/>
      <c r="AJ81" s="511"/>
      <c r="AK81" s="511"/>
      <c r="AL81" s="511"/>
      <c r="AM81" s="511"/>
      <c r="AN81" s="511"/>
      <c r="AO81" s="511"/>
      <c r="AP81" s="511"/>
      <c r="AQ81" s="511"/>
      <c r="AR81" s="511"/>
      <c r="AS81" s="511"/>
      <c r="AT81" s="511"/>
      <c r="AU81" s="511"/>
      <c r="AV81" s="511"/>
      <c r="AW81" s="511"/>
      <c r="AX81" s="511"/>
      <c r="AY81" s="511"/>
      <c r="AZ81" s="511"/>
      <c r="BA81" s="511"/>
      <c r="BB81" s="511"/>
      <c r="BC81" s="511"/>
    </row>
    <row r="82" spans="1:55" ht="16.5" customHeight="1" x14ac:dyDescent="0.3">
      <c r="A82" s="511"/>
      <c r="B82" s="511"/>
      <c r="C82" s="511"/>
      <c r="D82" s="511"/>
      <c r="E82" s="511"/>
      <c r="F82" s="511"/>
      <c r="G82" s="511"/>
      <c r="H82" s="511"/>
      <c r="I82" s="511"/>
      <c r="J82" s="511"/>
      <c r="K82" s="511"/>
      <c r="L82" s="511"/>
      <c r="M82" s="511"/>
      <c r="N82" s="511"/>
      <c r="O82" s="511"/>
      <c r="P82" s="511"/>
      <c r="Q82" s="511"/>
      <c r="R82" s="511"/>
      <c r="S82" s="511"/>
      <c r="T82" s="511"/>
      <c r="U82" s="511"/>
      <c r="V82" s="511"/>
      <c r="W82" s="511"/>
      <c r="X82" s="511"/>
      <c r="Y82" s="511"/>
      <c r="Z82" s="511"/>
      <c r="AA82" s="511"/>
      <c r="AB82" s="511"/>
      <c r="AC82" s="511"/>
      <c r="AD82" s="511"/>
      <c r="AE82" s="511"/>
      <c r="AF82" s="511"/>
      <c r="AG82" s="511"/>
      <c r="AH82" s="511"/>
      <c r="AI82" s="511"/>
      <c r="AJ82" s="511"/>
      <c r="AK82" s="511"/>
      <c r="AL82" s="511"/>
      <c r="AM82" s="511"/>
      <c r="AN82" s="511"/>
      <c r="AO82" s="511"/>
      <c r="AP82" s="511"/>
      <c r="AQ82" s="511"/>
      <c r="AR82" s="511"/>
      <c r="AS82" s="511"/>
      <c r="AT82" s="511"/>
      <c r="AU82" s="511"/>
      <c r="AV82" s="511"/>
      <c r="AW82" s="511"/>
      <c r="AX82" s="511"/>
      <c r="AY82" s="511"/>
      <c r="AZ82" s="511"/>
      <c r="BA82" s="511"/>
      <c r="BB82" s="511"/>
      <c r="BC82" s="511"/>
    </row>
    <row r="83" spans="1:55" ht="16.5" customHeight="1" x14ac:dyDescent="0.3">
      <c r="A83" s="511"/>
      <c r="B83" s="511"/>
      <c r="C83" s="511"/>
      <c r="D83" s="511"/>
      <c r="E83" s="511"/>
      <c r="F83" s="511"/>
      <c r="G83" s="511"/>
      <c r="H83" s="511"/>
      <c r="I83" s="511"/>
      <c r="J83" s="511"/>
      <c r="K83" s="511"/>
      <c r="L83" s="511"/>
      <c r="M83" s="511"/>
      <c r="N83" s="511"/>
      <c r="O83" s="511"/>
      <c r="P83" s="511"/>
      <c r="Q83" s="511"/>
      <c r="R83" s="511"/>
      <c r="S83" s="511"/>
      <c r="T83" s="511"/>
      <c r="U83" s="511"/>
      <c r="V83" s="511"/>
      <c r="W83" s="511"/>
      <c r="X83" s="511"/>
      <c r="Y83" s="511"/>
      <c r="Z83" s="511"/>
      <c r="AA83" s="511"/>
      <c r="AB83" s="511"/>
      <c r="AC83" s="511"/>
      <c r="AD83" s="511"/>
      <c r="AE83" s="511"/>
      <c r="AF83" s="511"/>
      <c r="AG83" s="511"/>
      <c r="AH83" s="511"/>
      <c r="AI83" s="511"/>
      <c r="AJ83" s="511"/>
      <c r="AK83" s="511"/>
      <c r="AL83" s="511"/>
      <c r="AM83" s="511"/>
      <c r="AN83" s="511"/>
      <c r="AO83" s="511"/>
      <c r="AP83" s="511"/>
      <c r="AQ83" s="511"/>
      <c r="AR83" s="511"/>
      <c r="AS83" s="511"/>
      <c r="AT83" s="511"/>
      <c r="AU83" s="511"/>
      <c r="AV83" s="511"/>
      <c r="AW83" s="511"/>
      <c r="AX83" s="511"/>
      <c r="AY83" s="511"/>
      <c r="AZ83" s="511"/>
      <c r="BA83" s="511"/>
      <c r="BB83" s="511"/>
      <c r="BC83" s="511"/>
    </row>
    <row r="84" spans="1:55" ht="16.5" customHeight="1" x14ac:dyDescent="0.3">
      <c r="A84" s="511"/>
      <c r="B84" s="511"/>
      <c r="C84" s="511"/>
      <c r="D84" s="511"/>
      <c r="E84" s="511"/>
      <c r="F84" s="511"/>
      <c r="G84" s="511"/>
      <c r="H84" s="511"/>
      <c r="I84" s="511"/>
      <c r="J84" s="511"/>
      <c r="K84" s="511"/>
      <c r="L84" s="511"/>
      <c r="M84" s="511"/>
      <c r="N84" s="511"/>
      <c r="O84" s="511"/>
      <c r="P84" s="511"/>
      <c r="Q84" s="511"/>
      <c r="R84" s="511"/>
      <c r="S84" s="511"/>
      <c r="T84" s="511"/>
      <c r="U84" s="511"/>
      <c r="V84" s="511"/>
      <c r="W84" s="511"/>
      <c r="X84" s="511"/>
      <c r="Y84" s="511"/>
      <c r="Z84" s="511"/>
      <c r="AA84" s="511"/>
      <c r="AB84" s="511"/>
      <c r="AC84" s="511"/>
      <c r="AD84" s="511"/>
      <c r="AE84" s="511"/>
      <c r="AF84" s="511"/>
      <c r="AG84" s="511"/>
      <c r="AH84" s="511"/>
      <c r="AI84" s="511"/>
      <c r="AJ84" s="511"/>
      <c r="AK84" s="511"/>
      <c r="AL84" s="511"/>
      <c r="AM84" s="511"/>
      <c r="AN84" s="511"/>
      <c r="AO84" s="511"/>
      <c r="AP84" s="511"/>
      <c r="AQ84" s="511"/>
      <c r="AR84" s="511"/>
      <c r="AS84" s="511"/>
      <c r="AT84" s="511"/>
      <c r="AU84" s="511"/>
      <c r="AV84" s="511"/>
      <c r="AW84" s="511"/>
      <c r="AX84" s="511"/>
      <c r="AY84" s="511"/>
      <c r="AZ84" s="511"/>
      <c r="BA84" s="511"/>
      <c r="BB84" s="511"/>
      <c r="BC84" s="511"/>
    </row>
    <row r="85" spans="1:55" ht="16.5" customHeight="1" x14ac:dyDescent="0.3">
      <c r="A85" s="511"/>
      <c r="B85" s="511"/>
      <c r="C85" s="511"/>
      <c r="D85" s="511"/>
      <c r="E85" s="511"/>
      <c r="F85" s="511"/>
      <c r="G85" s="511"/>
      <c r="H85" s="511"/>
      <c r="I85" s="511"/>
      <c r="J85" s="511"/>
      <c r="K85" s="511"/>
      <c r="L85" s="511"/>
      <c r="M85" s="511"/>
      <c r="N85" s="511"/>
      <c r="O85" s="511"/>
      <c r="P85" s="511"/>
      <c r="Q85" s="511"/>
      <c r="R85" s="511"/>
      <c r="S85" s="511"/>
      <c r="T85" s="511"/>
      <c r="U85" s="511"/>
      <c r="V85" s="511"/>
      <c r="W85" s="511"/>
      <c r="X85" s="511"/>
      <c r="Y85" s="511"/>
      <c r="Z85" s="511"/>
      <c r="AA85" s="511"/>
      <c r="AB85" s="511"/>
      <c r="AC85" s="511"/>
      <c r="AD85" s="511"/>
      <c r="AE85" s="511"/>
      <c r="AF85" s="511"/>
      <c r="AG85" s="511"/>
      <c r="AH85" s="511"/>
      <c r="AI85" s="511"/>
      <c r="AJ85" s="511"/>
      <c r="AK85" s="511"/>
      <c r="AL85" s="511"/>
      <c r="AM85" s="511"/>
      <c r="AN85" s="511"/>
      <c r="AO85" s="511"/>
      <c r="AP85" s="511"/>
      <c r="AQ85" s="511"/>
      <c r="AR85" s="511"/>
      <c r="AS85" s="511"/>
      <c r="AT85" s="511"/>
      <c r="AU85" s="511"/>
      <c r="AV85" s="511"/>
      <c r="AW85" s="511"/>
      <c r="AX85" s="511"/>
      <c r="AY85" s="511"/>
      <c r="AZ85" s="511"/>
      <c r="BA85" s="511"/>
      <c r="BB85" s="511"/>
      <c r="BC85" s="511"/>
    </row>
    <row r="86" spans="1:55" ht="16.5" customHeight="1" x14ac:dyDescent="0.3">
      <c r="A86" s="511"/>
      <c r="B86" s="511"/>
      <c r="C86" s="511"/>
      <c r="D86" s="511"/>
      <c r="E86" s="511"/>
      <c r="F86" s="511"/>
      <c r="G86" s="511"/>
      <c r="H86" s="511"/>
      <c r="I86" s="511"/>
      <c r="J86" s="511"/>
      <c r="K86" s="511"/>
      <c r="L86" s="511"/>
      <c r="M86" s="511"/>
      <c r="N86" s="511"/>
      <c r="O86" s="511"/>
      <c r="P86" s="511"/>
      <c r="Q86" s="511"/>
      <c r="R86" s="511"/>
      <c r="S86" s="511"/>
      <c r="T86" s="511"/>
      <c r="U86" s="511"/>
      <c r="V86" s="511"/>
      <c r="W86" s="511"/>
      <c r="X86" s="511"/>
      <c r="Y86" s="511"/>
      <c r="Z86" s="511"/>
      <c r="AA86" s="511"/>
      <c r="AB86" s="511"/>
      <c r="AC86" s="511"/>
      <c r="AD86" s="511"/>
      <c r="AE86" s="511"/>
      <c r="AF86" s="511"/>
      <c r="AG86" s="511"/>
      <c r="AH86" s="511"/>
      <c r="AI86" s="511"/>
      <c r="AJ86" s="511"/>
      <c r="AK86" s="511"/>
      <c r="AL86" s="511"/>
      <c r="AM86" s="511"/>
      <c r="AN86" s="511"/>
      <c r="AO86" s="511"/>
      <c r="AP86" s="511"/>
      <c r="AQ86" s="511"/>
      <c r="AR86" s="511"/>
      <c r="AS86" s="511"/>
      <c r="AT86" s="511"/>
      <c r="AU86" s="511"/>
      <c r="AV86" s="511"/>
      <c r="AW86" s="511"/>
      <c r="AX86" s="511"/>
      <c r="AY86" s="511"/>
      <c r="AZ86" s="511"/>
      <c r="BA86" s="511"/>
      <c r="BB86" s="511"/>
      <c r="BC86" s="511"/>
    </row>
    <row r="87" spans="1:55" ht="16.5" customHeight="1" x14ac:dyDescent="0.3">
      <c r="A87" s="511"/>
      <c r="B87" s="511"/>
      <c r="C87" s="511"/>
      <c r="D87" s="511"/>
      <c r="E87" s="511"/>
      <c r="F87" s="511"/>
      <c r="G87" s="511"/>
      <c r="H87" s="511"/>
      <c r="I87" s="511"/>
      <c r="J87" s="511"/>
      <c r="K87" s="511"/>
      <c r="L87" s="511"/>
      <c r="M87" s="511"/>
      <c r="N87" s="511"/>
      <c r="O87" s="511"/>
      <c r="P87" s="511"/>
      <c r="Q87" s="511"/>
      <c r="R87" s="511"/>
      <c r="S87" s="511"/>
      <c r="T87" s="511"/>
      <c r="U87" s="511"/>
      <c r="V87" s="511"/>
      <c r="W87" s="511"/>
      <c r="X87" s="511"/>
      <c r="Y87" s="511"/>
      <c r="Z87" s="511"/>
      <c r="AA87" s="511"/>
      <c r="AB87" s="511"/>
      <c r="AC87" s="511"/>
      <c r="AD87" s="511"/>
      <c r="AE87" s="511"/>
      <c r="AF87" s="511"/>
      <c r="AG87" s="511"/>
      <c r="AH87" s="511"/>
      <c r="AI87" s="511"/>
      <c r="AJ87" s="511"/>
      <c r="AK87" s="511"/>
      <c r="AL87" s="511"/>
      <c r="AM87" s="511"/>
      <c r="AN87" s="511"/>
      <c r="AO87" s="511"/>
      <c r="AP87" s="511"/>
      <c r="AQ87" s="511"/>
      <c r="AR87" s="511"/>
      <c r="AS87" s="511"/>
      <c r="AT87" s="511"/>
      <c r="AU87" s="511"/>
      <c r="AV87" s="511"/>
      <c r="AW87" s="511"/>
      <c r="AX87" s="511"/>
      <c r="AY87" s="511"/>
      <c r="AZ87" s="511"/>
      <c r="BA87" s="511"/>
      <c r="BB87" s="511"/>
      <c r="BC87" s="511"/>
    </row>
    <row r="88" spans="1:55" ht="16.5" customHeight="1" x14ac:dyDescent="0.3">
      <c r="A88" s="511"/>
      <c r="B88" s="511"/>
      <c r="C88" s="511"/>
      <c r="D88" s="511"/>
      <c r="E88" s="511"/>
      <c r="F88" s="511"/>
      <c r="G88" s="511"/>
      <c r="H88" s="511"/>
      <c r="I88" s="511"/>
      <c r="J88" s="511"/>
      <c r="K88" s="511"/>
      <c r="L88" s="511"/>
      <c r="M88" s="511"/>
      <c r="N88" s="511"/>
      <c r="O88" s="511"/>
      <c r="P88" s="511"/>
      <c r="Q88" s="511"/>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c r="AO88" s="511"/>
      <c r="AP88" s="511"/>
      <c r="AQ88" s="511"/>
      <c r="AR88" s="511"/>
      <c r="AS88" s="511"/>
      <c r="AT88" s="511"/>
      <c r="AU88" s="511"/>
      <c r="AV88" s="511"/>
      <c r="AW88" s="511"/>
      <c r="AX88" s="511"/>
      <c r="AY88" s="511"/>
      <c r="AZ88" s="511"/>
      <c r="BA88" s="511"/>
      <c r="BB88" s="511"/>
      <c r="BC88" s="511"/>
    </row>
    <row r="89" spans="1:55" ht="16.5" customHeight="1" x14ac:dyDescent="0.3">
      <c r="A89" s="511"/>
      <c r="B89" s="511"/>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511"/>
      <c r="AE89" s="511"/>
      <c r="AF89" s="511"/>
      <c r="AG89" s="511"/>
      <c r="AH89" s="511"/>
      <c r="AI89" s="511"/>
      <c r="AJ89" s="511"/>
      <c r="AK89" s="511"/>
      <c r="AL89" s="511"/>
      <c r="AM89" s="511"/>
      <c r="AN89" s="511"/>
      <c r="AO89" s="511"/>
      <c r="AP89" s="511"/>
      <c r="AQ89" s="511"/>
      <c r="AR89" s="511"/>
      <c r="AS89" s="511"/>
      <c r="AT89" s="511"/>
      <c r="AU89" s="511"/>
      <c r="AV89" s="511"/>
      <c r="AW89" s="511"/>
      <c r="AX89" s="511"/>
      <c r="AY89" s="511"/>
      <c r="AZ89" s="511"/>
      <c r="BA89" s="511"/>
      <c r="BB89" s="511"/>
      <c r="BC89" s="511"/>
    </row>
    <row r="90" spans="1:55" ht="16.5" customHeight="1" x14ac:dyDescent="0.3">
      <c r="A90" s="511"/>
      <c r="B90" s="511"/>
      <c r="C90" s="511"/>
      <c r="D90" s="511"/>
      <c r="E90" s="511"/>
      <c r="F90" s="511"/>
      <c r="G90" s="511"/>
      <c r="H90" s="511"/>
      <c r="I90" s="511"/>
      <c r="J90" s="511"/>
      <c r="K90" s="511"/>
      <c r="L90" s="511"/>
      <c r="M90" s="511"/>
      <c r="N90" s="511"/>
      <c r="O90" s="511"/>
      <c r="P90" s="511"/>
      <c r="Q90" s="511"/>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1"/>
      <c r="AU90" s="511"/>
      <c r="AV90" s="511"/>
      <c r="AW90" s="511"/>
      <c r="AX90" s="511"/>
      <c r="AY90" s="511"/>
      <c r="AZ90" s="511"/>
      <c r="BA90" s="511"/>
      <c r="BB90" s="511"/>
      <c r="BC90" s="511"/>
    </row>
    <row r="91" spans="1:55" ht="16.5" customHeight="1" x14ac:dyDescent="0.3">
      <c r="A91" s="511"/>
      <c r="B91" s="511"/>
      <c r="C91" s="511"/>
      <c r="D91" s="511"/>
      <c r="E91" s="511"/>
      <c r="F91" s="511"/>
      <c r="G91" s="511"/>
      <c r="H91" s="511"/>
      <c r="I91" s="511"/>
      <c r="J91" s="511"/>
      <c r="K91" s="511"/>
      <c r="L91" s="511"/>
      <c r="M91" s="511"/>
      <c r="N91" s="511"/>
      <c r="O91" s="511"/>
      <c r="P91" s="511"/>
      <c r="Q91" s="511"/>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1"/>
      <c r="AU91" s="511"/>
      <c r="AV91" s="511"/>
      <c r="AW91" s="511"/>
      <c r="AX91" s="511"/>
      <c r="AY91" s="511"/>
      <c r="AZ91" s="511"/>
      <c r="BA91" s="511"/>
      <c r="BB91" s="511"/>
      <c r="BC91" s="511"/>
    </row>
    <row r="92" spans="1:55" ht="16.5" customHeight="1" x14ac:dyDescent="0.3">
      <c r="A92" s="511"/>
      <c r="B92" s="511"/>
      <c r="C92" s="511"/>
      <c r="D92" s="511"/>
      <c r="E92" s="511"/>
      <c r="F92" s="511"/>
      <c r="G92" s="511"/>
      <c r="H92" s="511"/>
      <c r="I92" s="511"/>
      <c r="J92" s="511"/>
      <c r="K92" s="511"/>
      <c r="L92" s="511"/>
      <c r="M92" s="511"/>
      <c r="N92" s="511"/>
      <c r="O92" s="511"/>
      <c r="P92" s="511"/>
      <c r="Q92" s="511"/>
      <c r="R92" s="511"/>
      <c r="S92" s="511"/>
      <c r="T92" s="511"/>
      <c r="U92" s="511"/>
      <c r="V92" s="511"/>
      <c r="W92" s="511"/>
      <c r="X92" s="511"/>
      <c r="Y92" s="511"/>
      <c r="Z92" s="511"/>
      <c r="AA92" s="511"/>
      <c r="AB92" s="511"/>
      <c r="AC92" s="511"/>
      <c r="AD92" s="511"/>
      <c r="AE92" s="511"/>
      <c r="AF92" s="511"/>
      <c r="AG92" s="511"/>
      <c r="AH92" s="511"/>
      <c r="AI92" s="511"/>
      <c r="AJ92" s="511"/>
      <c r="AK92" s="511"/>
      <c r="AL92" s="511"/>
      <c r="AM92" s="511"/>
      <c r="AN92" s="511"/>
      <c r="AO92" s="511"/>
      <c r="AP92" s="511"/>
      <c r="AQ92" s="511"/>
      <c r="AR92" s="511"/>
      <c r="AS92" s="511"/>
      <c r="AT92" s="511"/>
      <c r="AU92" s="511"/>
      <c r="AV92" s="511"/>
      <c r="AW92" s="511"/>
      <c r="AX92" s="511"/>
      <c r="AY92" s="511"/>
      <c r="AZ92" s="511"/>
      <c r="BA92" s="511"/>
      <c r="BB92" s="511"/>
      <c r="BC92" s="511"/>
    </row>
    <row r="93" spans="1:55" ht="16.5" customHeight="1" x14ac:dyDescent="0.3">
      <c r="A93" s="511"/>
      <c r="B93" s="511"/>
      <c r="C93" s="511"/>
      <c r="D93" s="511"/>
      <c r="E93" s="511"/>
      <c r="F93" s="511"/>
      <c r="G93" s="511"/>
      <c r="H93" s="511"/>
      <c r="I93" s="511"/>
      <c r="J93" s="511"/>
      <c r="K93" s="511"/>
      <c r="L93" s="511"/>
      <c r="M93" s="511"/>
      <c r="N93" s="511"/>
      <c r="O93" s="511"/>
      <c r="P93" s="511"/>
      <c r="Q93" s="511"/>
      <c r="R93" s="511"/>
      <c r="S93" s="511"/>
      <c r="T93" s="511"/>
      <c r="U93" s="511"/>
      <c r="V93" s="511"/>
      <c r="W93" s="511"/>
      <c r="X93" s="511"/>
      <c r="Y93" s="511"/>
      <c r="Z93" s="511"/>
      <c r="AA93" s="511"/>
      <c r="AB93" s="511"/>
      <c r="AC93" s="511"/>
      <c r="AD93" s="511"/>
      <c r="AE93" s="511"/>
      <c r="AF93" s="511"/>
      <c r="AG93" s="511"/>
      <c r="AH93" s="511"/>
      <c r="AI93" s="511"/>
      <c r="AJ93" s="511"/>
      <c r="AK93" s="511"/>
      <c r="AL93" s="511"/>
      <c r="AM93" s="511"/>
      <c r="AN93" s="511"/>
      <c r="AO93" s="511"/>
      <c r="AP93" s="511"/>
      <c r="AQ93" s="511"/>
      <c r="AR93" s="511"/>
      <c r="AS93" s="511"/>
      <c r="AT93" s="511"/>
      <c r="AU93" s="511"/>
      <c r="AV93" s="511"/>
      <c r="AW93" s="511"/>
      <c r="AX93" s="511"/>
      <c r="AY93" s="511"/>
      <c r="AZ93" s="511"/>
      <c r="BA93" s="511"/>
      <c r="BB93" s="511"/>
      <c r="BC93" s="511"/>
    </row>
    <row r="94" spans="1:55" ht="16.5" customHeight="1" x14ac:dyDescent="0.3">
      <c r="A94" s="511"/>
      <c r="B94" s="511"/>
      <c r="C94" s="511"/>
      <c r="D94" s="511"/>
      <c r="E94" s="511"/>
      <c r="F94" s="511"/>
      <c r="G94" s="511"/>
      <c r="H94" s="511"/>
      <c r="I94" s="511"/>
      <c r="J94" s="511"/>
      <c r="K94" s="511"/>
      <c r="L94" s="511"/>
      <c r="M94" s="511"/>
      <c r="N94" s="511"/>
      <c r="O94" s="511"/>
      <c r="P94" s="511"/>
      <c r="Q94" s="511"/>
      <c r="R94" s="511"/>
      <c r="S94" s="511"/>
      <c r="T94" s="511"/>
      <c r="U94" s="511"/>
      <c r="V94" s="511"/>
      <c r="W94" s="511"/>
      <c r="X94" s="511"/>
      <c r="Y94" s="511"/>
      <c r="Z94" s="511"/>
      <c r="AA94" s="511"/>
      <c r="AB94" s="511"/>
      <c r="AC94" s="511"/>
      <c r="AD94" s="511"/>
      <c r="AE94" s="511"/>
      <c r="AF94" s="511"/>
      <c r="AG94" s="511"/>
      <c r="AH94" s="511"/>
      <c r="AI94" s="511"/>
      <c r="AJ94" s="511"/>
      <c r="AK94" s="511"/>
      <c r="AL94" s="511"/>
      <c r="AM94" s="511"/>
      <c r="AN94" s="511"/>
      <c r="AO94" s="511"/>
      <c r="AP94" s="511"/>
      <c r="AQ94" s="511"/>
      <c r="AR94" s="511"/>
      <c r="AS94" s="511"/>
      <c r="AT94" s="511"/>
      <c r="AU94" s="511"/>
      <c r="AV94" s="511"/>
      <c r="AW94" s="511"/>
      <c r="AX94" s="511"/>
      <c r="AY94" s="511"/>
      <c r="AZ94" s="511"/>
      <c r="BA94" s="511"/>
      <c r="BB94" s="511"/>
      <c r="BC94" s="511"/>
    </row>
    <row r="95" spans="1:55" ht="16.5" customHeight="1" x14ac:dyDescent="0.3">
      <c r="A95" s="511"/>
      <c r="B95" s="511"/>
      <c r="C95" s="511"/>
      <c r="D95" s="511"/>
      <c r="E95" s="511"/>
      <c r="F95" s="511"/>
      <c r="G95" s="511"/>
      <c r="H95" s="511"/>
      <c r="I95" s="511"/>
      <c r="J95" s="511"/>
      <c r="K95" s="511"/>
      <c r="L95" s="511"/>
      <c r="M95" s="511"/>
      <c r="N95" s="511"/>
      <c r="O95" s="511"/>
      <c r="P95" s="511"/>
      <c r="Q95" s="511"/>
      <c r="R95" s="511"/>
      <c r="S95" s="511"/>
      <c r="T95" s="511"/>
      <c r="U95" s="511"/>
      <c r="V95" s="511"/>
      <c r="W95" s="511"/>
      <c r="X95" s="511"/>
      <c r="Y95" s="511"/>
      <c r="Z95" s="511"/>
      <c r="AA95" s="511"/>
      <c r="AB95" s="511"/>
      <c r="AC95" s="511"/>
      <c r="AD95" s="511"/>
      <c r="AE95" s="511"/>
      <c r="AF95" s="511"/>
      <c r="AG95" s="511"/>
      <c r="AH95" s="511"/>
      <c r="AI95" s="511"/>
      <c r="AJ95" s="511"/>
      <c r="AK95" s="511"/>
      <c r="AL95" s="511"/>
      <c r="AM95" s="511"/>
      <c r="AN95" s="511"/>
      <c r="AO95" s="511"/>
      <c r="AP95" s="511"/>
      <c r="AQ95" s="511"/>
      <c r="AR95" s="511"/>
      <c r="AS95" s="511"/>
      <c r="AT95" s="511"/>
      <c r="AU95" s="511"/>
      <c r="AV95" s="511"/>
      <c r="AW95" s="511"/>
      <c r="AX95" s="511"/>
      <c r="AY95" s="511"/>
      <c r="AZ95" s="511"/>
      <c r="BA95" s="511"/>
      <c r="BB95" s="511"/>
      <c r="BC95" s="511"/>
    </row>
    <row r="96" spans="1:55" ht="16.5" customHeight="1" x14ac:dyDescent="0.3">
      <c r="A96" s="511"/>
      <c r="B96" s="511"/>
      <c r="C96" s="511"/>
      <c r="D96" s="511"/>
      <c r="E96" s="511"/>
      <c r="F96" s="511"/>
      <c r="G96" s="511"/>
      <c r="H96" s="511"/>
      <c r="I96" s="511"/>
      <c r="J96" s="511"/>
      <c r="K96" s="511"/>
      <c r="L96" s="511"/>
      <c r="M96" s="511"/>
      <c r="N96" s="511"/>
      <c r="O96" s="511"/>
      <c r="P96" s="511"/>
      <c r="Q96" s="511"/>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511"/>
      <c r="AU96" s="511"/>
      <c r="AV96" s="511"/>
      <c r="AW96" s="511"/>
      <c r="AX96" s="511"/>
      <c r="AY96" s="511"/>
      <c r="AZ96" s="511"/>
      <c r="BA96" s="511"/>
      <c r="BB96" s="511"/>
      <c r="BC96" s="511"/>
    </row>
    <row r="97" spans="1:55" ht="16.5" customHeight="1" x14ac:dyDescent="0.3">
      <c r="A97" s="511"/>
      <c r="B97" s="511"/>
      <c r="C97" s="511"/>
      <c r="D97" s="511"/>
      <c r="E97" s="511"/>
      <c r="F97" s="511"/>
      <c r="G97" s="511"/>
      <c r="H97" s="511"/>
      <c r="I97" s="511"/>
      <c r="J97" s="511"/>
      <c r="K97" s="511"/>
      <c r="L97" s="511"/>
      <c r="M97" s="511"/>
      <c r="N97" s="511"/>
      <c r="O97" s="511"/>
      <c r="P97" s="511"/>
      <c r="Q97" s="511"/>
      <c r="R97" s="511"/>
      <c r="S97" s="511"/>
      <c r="T97" s="511"/>
      <c r="U97" s="511"/>
      <c r="V97" s="511"/>
      <c r="W97" s="511"/>
      <c r="X97" s="511"/>
      <c r="Y97" s="511"/>
      <c r="Z97" s="511"/>
      <c r="AA97" s="511"/>
      <c r="AB97" s="511"/>
      <c r="AC97" s="511"/>
      <c r="AD97" s="511"/>
      <c r="AE97" s="511"/>
      <c r="AF97" s="511"/>
      <c r="AG97" s="511"/>
      <c r="AH97" s="511"/>
      <c r="AI97" s="511"/>
      <c r="AJ97" s="511"/>
      <c r="AK97" s="511"/>
      <c r="AL97" s="511"/>
      <c r="AM97" s="511"/>
      <c r="AN97" s="511"/>
      <c r="AO97" s="511"/>
      <c r="AP97" s="511"/>
      <c r="AQ97" s="511"/>
      <c r="AR97" s="511"/>
      <c r="AS97" s="511"/>
      <c r="AT97" s="511"/>
      <c r="AU97" s="511"/>
      <c r="AV97" s="511"/>
      <c r="AW97" s="511"/>
      <c r="AX97" s="511"/>
      <c r="AY97" s="511"/>
      <c r="AZ97" s="511"/>
      <c r="BA97" s="511"/>
      <c r="BB97" s="511"/>
      <c r="BC97" s="511"/>
    </row>
    <row r="98" spans="1:55" ht="16.5" customHeight="1" x14ac:dyDescent="0.3">
      <c r="A98" s="511"/>
      <c r="B98" s="511"/>
      <c r="C98" s="511"/>
      <c r="D98" s="511"/>
      <c r="E98" s="511"/>
      <c r="F98" s="511"/>
      <c r="G98" s="511"/>
      <c r="H98" s="511"/>
      <c r="I98" s="511"/>
      <c r="J98" s="511"/>
      <c r="K98" s="511"/>
      <c r="L98" s="511"/>
      <c r="M98" s="511"/>
      <c r="N98" s="511"/>
      <c r="O98" s="511"/>
      <c r="P98" s="511"/>
      <c r="Q98" s="511"/>
      <c r="R98" s="511"/>
      <c r="S98" s="511"/>
      <c r="T98" s="511"/>
      <c r="U98" s="511"/>
      <c r="V98" s="511"/>
      <c r="W98" s="511"/>
      <c r="X98" s="511"/>
      <c r="Y98" s="511"/>
      <c r="Z98" s="511"/>
      <c r="AA98" s="511"/>
      <c r="AB98" s="511"/>
      <c r="AC98" s="511"/>
      <c r="AD98" s="511"/>
      <c r="AE98" s="511"/>
      <c r="AF98" s="511"/>
      <c r="AG98" s="511"/>
      <c r="AH98" s="511"/>
      <c r="AI98" s="511"/>
      <c r="AJ98" s="511"/>
      <c r="AK98" s="511"/>
      <c r="AL98" s="511"/>
      <c r="AM98" s="511"/>
      <c r="AN98" s="511"/>
      <c r="AO98" s="511"/>
      <c r="AP98" s="511"/>
      <c r="AQ98" s="511"/>
      <c r="AR98" s="511"/>
      <c r="AS98" s="511"/>
      <c r="AT98" s="511"/>
      <c r="AU98" s="511"/>
      <c r="AV98" s="511"/>
      <c r="AW98" s="511"/>
      <c r="AX98" s="511"/>
      <c r="AY98" s="511"/>
      <c r="AZ98" s="511"/>
      <c r="BA98" s="511"/>
      <c r="BB98" s="511"/>
      <c r="BC98" s="511"/>
    </row>
    <row r="99" spans="1:55" ht="16.5" customHeight="1" x14ac:dyDescent="0.3">
      <c r="A99" s="511"/>
      <c r="B99" s="511"/>
      <c r="C99" s="511"/>
      <c r="D99" s="511"/>
      <c r="E99" s="511"/>
      <c r="F99" s="511"/>
      <c r="G99" s="511"/>
      <c r="H99" s="511"/>
      <c r="I99" s="511"/>
      <c r="J99" s="511"/>
      <c r="K99" s="511"/>
      <c r="L99" s="511"/>
      <c r="M99" s="511"/>
      <c r="N99" s="511"/>
      <c r="O99" s="511"/>
      <c r="P99" s="511"/>
      <c r="Q99" s="511"/>
      <c r="R99" s="511"/>
      <c r="S99" s="511"/>
      <c r="T99" s="511"/>
      <c r="U99" s="511"/>
      <c r="V99" s="511"/>
      <c r="W99" s="511"/>
      <c r="X99" s="511"/>
      <c r="Y99" s="511"/>
      <c r="Z99" s="511"/>
      <c r="AA99" s="511"/>
      <c r="AB99" s="511"/>
      <c r="AC99" s="511"/>
      <c r="AD99" s="511"/>
      <c r="AE99" s="511"/>
      <c r="AF99" s="511"/>
      <c r="AG99" s="511"/>
      <c r="AH99" s="511"/>
      <c r="AI99" s="511"/>
      <c r="AJ99" s="511"/>
      <c r="AK99" s="511"/>
      <c r="AL99" s="511"/>
      <c r="AM99" s="511"/>
      <c r="AN99" s="511"/>
      <c r="AO99" s="511"/>
      <c r="AP99" s="511"/>
      <c r="AQ99" s="511"/>
      <c r="AR99" s="511"/>
      <c r="AS99" s="511"/>
      <c r="AT99" s="511"/>
      <c r="AU99" s="511"/>
      <c r="AV99" s="511"/>
      <c r="AW99" s="511"/>
      <c r="AX99" s="511"/>
      <c r="AY99" s="511"/>
      <c r="AZ99" s="511"/>
      <c r="BA99" s="511"/>
      <c r="BB99" s="511"/>
      <c r="BC99" s="511"/>
    </row>
    <row r="100" spans="1:55" ht="16.5" customHeight="1" x14ac:dyDescent="0.3">
      <c r="A100" s="511"/>
      <c r="B100" s="511"/>
      <c r="C100" s="511"/>
      <c r="D100" s="511"/>
      <c r="E100" s="511"/>
      <c r="F100" s="511"/>
      <c r="G100" s="511"/>
      <c r="H100" s="511"/>
      <c r="I100" s="511"/>
      <c r="J100" s="511"/>
      <c r="K100" s="511"/>
      <c r="L100" s="511"/>
      <c r="M100" s="511"/>
      <c r="N100" s="511"/>
      <c r="O100" s="511"/>
      <c r="P100" s="511"/>
      <c r="Q100" s="511"/>
      <c r="R100" s="511"/>
      <c r="S100" s="511"/>
      <c r="T100" s="511"/>
      <c r="U100" s="511"/>
      <c r="V100" s="511"/>
      <c r="W100" s="511"/>
      <c r="X100" s="511"/>
      <c r="Y100" s="511"/>
      <c r="Z100" s="511"/>
      <c r="AA100" s="511"/>
      <c r="AB100" s="511"/>
      <c r="AC100" s="511"/>
      <c r="AD100" s="511"/>
      <c r="AE100" s="511"/>
      <c r="AF100" s="511"/>
      <c r="AG100" s="511"/>
      <c r="AH100" s="511"/>
      <c r="AI100" s="511"/>
      <c r="AJ100" s="511"/>
      <c r="AK100" s="511"/>
      <c r="AL100" s="511"/>
      <c r="AM100" s="511"/>
      <c r="AN100" s="511"/>
      <c r="AO100" s="511"/>
      <c r="AP100" s="511"/>
      <c r="AQ100" s="511"/>
      <c r="AR100" s="511"/>
      <c r="AS100" s="511"/>
      <c r="AT100" s="511"/>
      <c r="AU100" s="511"/>
      <c r="AV100" s="511"/>
      <c r="AW100" s="511"/>
      <c r="AX100" s="511"/>
      <c r="AY100" s="511"/>
      <c r="AZ100" s="511"/>
      <c r="BA100" s="511"/>
      <c r="BB100" s="511"/>
      <c r="BC100" s="511"/>
    </row>
    <row r="101" spans="1:55" ht="16.5" customHeight="1" x14ac:dyDescent="0.3">
      <c r="A101" s="511"/>
      <c r="B101" s="511"/>
      <c r="C101" s="511"/>
      <c r="D101" s="511"/>
      <c r="E101" s="511"/>
      <c r="F101" s="511"/>
      <c r="G101" s="511"/>
      <c r="H101" s="511"/>
      <c r="I101" s="511"/>
      <c r="J101" s="511"/>
      <c r="K101" s="511"/>
      <c r="L101" s="511"/>
      <c r="M101" s="511"/>
      <c r="N101" s="511"/>
      <c r="O101" s="511"/>
      <c r="P101" s="511"/>
      <c r="Q101" s="511"/>
      <c r="R101" s="511"/>
      <c r="S101" s="511"/>
      <c r="T101" s="511"/>
      <c r="U101" s="511"/>
      <c r="V101" s="511"/>
      <c r="W101" s="511"/>
      <c r="X101" s="511"/>
      <c r="Y101" s="511"/>
      <c r="Z101" s="511"/>
      <c r="AA101" s="511"/>
      <c r="AB101" s="511"/>
      <c r="AC101" s="511"/>
      <c r="AD101" s="511"/>
      <c r="AE101" s="511"/>
      <c r="AF101" s="511"/>
      <c r="AG101" s="511"/>
      <c r="AH101" s="511"/>
      <c r="AI101" s="511"/>
      <c r="AJ101" s="511"/>
      <c r="AK101" s="511"/>
      <c r="AL101" s="511"/>
      <c r="AM101" s="511"/>
      <c r="AN101" s="511"/>
      <c r="AO101" s="511"/>
      <c r="AP101" s="511"/>
      <c r="AQ101" s="511"/>
      <c r="AR101" s="511"/>
      <c r="AS101" s="511"/>
      <c r="AT101" s="511"/>
      <c r="AU101" s="511"/>
      <c r="AV101" s="511"/>
      <c r="AW101" s="511"/>
      <c r="AX101" s="511"/>
      <c r="AY101" s="511"/>
      <c r="AZ101" s="511"/>
      <c r="BA101" s="511"/>
      <c r="BB101" s="511"/>
      <c r="BC101" s="511"/>
    </row>
    <row r="102" spans="1:55" ht="16.5" customHeight="1" x14ac:dyDescent="0.3">
      <c r="A102" s="511"/>
      <c r="B102" s="511"/>
      <c r="C102" s="511"/>
      <c r="D102" s="511"/>
      <c r="E102" s="511"/>
      <c r="F102" s="511"/>
      <c r="G102" s="511"/>
      <c r="H102" s="511"/>
      <c r="I102" s="511"/>
      <c r="J102" s="511"/>
      <c r="K102" s="511"/>
      <c r="L102" s="511"/>
      <c r="M102" s="511"/>
      <c r="N102" s="511"/>
      <c r="O102" s="511"/>
      <c r="P102" s="511"/>
      <c r="Q102" s="511"/>
      <c r="R102" s="511"/>
      <c r="S102" s="511"/>
      <c r="T102" s="511"/>
      <c r="U102" s="511"/>
      <c r="V102" s="511"/>
      <c r="W102" s="511"/>
      <c r="X102" s="511"/>
      <c r="Y102" s="511"/>
      <c r="Z102" s="511"/>
      <c r="AA102" s="511"/>
      <c r="AB102" s="511"/>
      <c r="AC102" s="511"/>
      <c r="AD102" s="511"/>
      <c r="AE102" s="511"/>
      <c r="AF102" s="511"/>
      <c r="AG102" s="511"/>
      <c r="AH102" s="511"/>
      <c r="AI102" s="511"/>
      <c r="AJ102" s="511"/>
      <c r="AK102" s="511"/>
      <c r="AL102" s="511"/>
      <c r="AM102" s="511"/>
      <c r="AN102" s="511"/>
      <c r="AO102" s="511"/>
      <c r="AP102" s="511"/>
      <c r="AQ102" s="511"/>
      <c r="AR102" s="511"/>
      <c r="AS102" s="511"/>
      <c r="AT102" s="511"/>
      <c r="AU102" s="511"/>
      <c r="AV102" s="511"/>
      <c r="AW102" s="511"/>
      <c r="AX102" s="511"/>
      <c r="AY102" s="511"/>
      <c r="AZ102" s="511"/>
      <c r="BA102" s="511"/>
      <c r="BB102" s="511"/>
      <c r="BC102" s="511"/>
    </row>
    <row r="103" spans="1:55" ht="16.5" customHeight="1" x14ac:dyDescent="0.3">
      <c r="A103" s="511"/>
      <c r="B103" s="511"/>
      <c r="C103" s="511"/>
      <c r="D103" s="511"/>
      <c r="E103" s="511"/>
      <c r="F103" s="511"/>
      <c r="G103" s="511"/>
      <c r="H103" s="511"/>
      <c r="I103" s="511"/>
      <c r="J103" s="511"/>
      <c r="K103" s="511"/>
      <c r="L103" s="511"/>
      <c r="M103" s="511"/>
      <c r="N103" s="511"/>
      <c r="O103" s="511"/>
      <c r="P103" s="511"/>
      <c r="Q103" s="511"/>
      <c r="R103" s="511"/>
      <c r="S103" s="511"/>
      <c r="T103" s="511"/>
      <c r="U103" s="511"/>
      <c r="V103" s="511"/>
      <c r="W103" s="511"/>
      <c r="X103" s="511"/>
      <c r="Y103" s="511"/>
      <c r="Z103" s="511"/>
      <c r="AA103" s="511"/>
      <c r="AB103" s="511"/>
      <c r="AC103" s="511"/>
      <c r="AD103" s="511"/>
      <c r="AE103" s="511"/>
      <c r="AF103" s="511"/>
      <c r="AG103" s="511"/>
      <c r="AH103" s="511"/>
      <c r="AI103" s="511"/>
      <c r="AJ103" s="511"/>
      <c r="AK103" s="511"/>
      <c r="AL103" s="511"/>
      <c r="AM103" s="511"/>
      <c r="AN103" s="511"/>
      <c r="AO103" s="511"/>
      <c r="AP103" s="511"/>
      <c r="AQ103" s="511"/>
      <c r="AR103" s="511"/>
      <c r="AS103" s="511"/>
      <c r="AT103" s="511"/>
      <c r="AU103" s="511"/>
      <c r="AV103" s="511"/>
      <c r="AW103" s="511"/>
      <c r="AX103" s="511"/>
      <c r="AY103" s="511"/>
      <c r="AZ103" s="511"/>
      <c r="BA103" s="511"/>
      <c r="BB103" s="511"/>
      <c r="BC103" s="511"/>
    </row>
    <row r="104" spans="1:55" ht="16.5" customHeight="1" x14ac:dyDescent="0.3">
      <c r="A104" s="511"/>
      <c r="B104" s="511"/>
      <c r="C104" s="511"/>
      <c r="D104" s="511"/>
      <c r="E104" s="511"/>
      <c r="F104" s="511"/>
      <c r="G104" s="511"/>
      <c r="H104" s="511"/>
      <c r="I104" s="511"/>
      <c r="J104" s="511"/>
      <c r="K104" s="511"/>
      <c r="L104" s="511"/>
      <c r="M104" s="511"/>
      <c r="N104" s="511"/>
      <c r="O104" s="511"/>
      <c r="P104" s="511"/>
      <c r="Q104" s="511"/>
      <c r="R104" s="511"/>
      <c r="S104" s="511"/>
      <c r="T104" s="511"/>
      <c r="U104" s="511"/>
      <c r="V104" s="511"/>
      <c r="W104" s="511"/>
      <c r="X104" s="511"/>
      <c r="Y104" s="511"/>
      <c r="Z104" s="511"/>
      <c r="AA104" s="511"/>
      <c r="AB104" s="511"/>
      <c r="AC104" s="511"/>
      <c r="AD104" s="511"/>
      <c r="AE104" s="511"/>
      <c r="AF104" s="511"/>
      <c r="AG104" s="511"/>
      <c r="AH104" s="511"/>
      <c r="AI104" s="511"/>
      <c r="AJ104" s="511"/>
      <c r="AK104" s="511"/>
      <c r="AL104" s="511"/>
      <c r="AM104" s="511"/>
      <c r="AN104" s="511"/>
      <c r="AO104" s="511"/>
      <c r="AP104" s="511"/>
      <c r="AQ104" s="511"/>
      <c r="AR104" s="511"/>
      <c r="AS104" s="511"/>
      <c r="AT104" s="511"/>
      <c r="AU104" s="511"/>
      <c r="AV104" s="511"/>
      <c r="AW104" s="511"/>
      <c r="AX104" s="511"/>
      <c r="AY104" s="511"/>
      <c r="AZ104" s="511"/>
      <c r="BA104" s="511"/>
      <c r="BB104" s="511"/>
      <c r="BC104" s="511"/>
    </row>
    <row r="105" spans="1:55" ht="16.5" customHeight="1" x14ac:dyDescent="0.3">
      <c r="A105" s="511"/>
      <c r="B105" s="511"/>
      <c r="C105" s="511"/>
      <c r="D105" s="511"/>
      <c r="E105" s="511"/>
      <c r="F105" s="511"/>
      <c r="G105" s="511"/>
      <c r="H105" s="511"/>
      <c r="I105" s="511"/>
      <c r="J105" s="511"/>
      <c r="K105" s="511"/>
      <c r="L105" s="511"/>
      <c r="M105" s="511"/>
      <c r="N105" s="511"/>
      <c r="O105" s="511"/>
      <c r="P105" s="511"/>
      <c r="Q105" s="511"/>
      <c r="R105" s="511"/>
      <c r="S105" s="511"/>
      <c r="T105" s="511"/>
      <c r="U105" s="511"/>
      <c r="V105" s="511"/>
      <c r="W105" s="511"/>
      <c r="X105" s="511"/>
      <c r="Y105" s="511"/>
      <c r="Z105" s="511"/>
      <c r="AA105" s="511"/>
      <c r="AB105" s="511"/>
      <c r="AC105" s="511"/>
      <c r="AD105" s="511"/>
      <c r="AE105" s="511"/>
      <c r="AF105" s="511"/>
      <c r="AG105" s="511"/>
      <c r="AH105" s="511"/>
      <c r="AI105" s="511"/>
      <c r="AJ105" s="511"/>
      <c r="AK105" s="511"/>
      <c r="AL105" s="511"/>
      <c r="AM105" s="511"/>
      <c r="AN105" s="511"/>
      <c r="AO105" s="511"/>
      <c r="AP105" s="511"/>
      <c r="AQ105" s="511"/>
      <c r="AR105" s="511"/>
      <c r="AS105" s="511"/>
      <c r="AT105" s="511"/>
      <c r="AU105" s="511"/>
      <c r="AV105" s="511"/>
      <c r="AW105" s="511"/>
      <c r="AX105" s="511"/>
      <c r="AY105" s="511"/>
      <c r="AZ105" s="511"/>
      <c r="BA105" s="511"/>
      <c r="BB105" s="511"/>
      <c r="BC105" s="511"/>
    </row>
    <row r="106" spans="1:55" ht="16.5" customHeight="1" x14ac:dyDescent="0.3">
      <c r="A106" s="511"/>
      <c r="B106" s="511"/>
      <c r="C106" s="511"/>
      <c r="D106" s="511"/>
      <c r="E106" s="511"/>
      <c r="F106" s="511"/>
      <c r="G106" s="511"/>
      <c r="H106" s="511"/>
      <c r="I106" s="511"/>
      <c r="J106" s="511"/>
      <c r="K106" s="511"/>
      <c r="L106" s="511"/>
      <c r="M106" s="511"/>
      <c r="N106" s="511"/>
      <c r="O106" s="511"/>
      <c r="P106" s="511"/>
      <c r="Q106" s="511"/>
      <c r="R106" s="511"/>
      <c r="S106" s="511"/>
      <c r="T106" s="511"/>
      <c r="U106" s="511"/>
      <c r="V106" s="511"/>
      <c r="W106" s="511"/>
      <c r="X106" s="511"/>
      <c r="Y106" s="511"/>
      <c r="Z106" s="511"/>
      <c r="AA106" s="511"/>
      <c r="AB106" s="511"/>
      <c r="AC106" s="511"/>
      <c r="AD106" s="511"/>
      <c r="AE106" s="511"/>
      <c r="AF106" s="511"/>
      <c r="AG106" s="511"/>
      <c r="AH106" s="511"/>
      <c r="AI106" s="511"/>
      <c r="AJ106" s="511"/>
      <c r="AK106" s="511"/>
      <c r="AL106" s="511"/>
      <c r="AM106" s="511"/>
      <c r="AN106" s="511"/>
      <c r="AO106" s="511"/>
      <c r="AP106" s="511"/>
      <c r="AQ106" s="511"/>
      <c r="AR106" s="511"/>
      <c r="AS106" s="511"/>
      <c r="AT106" s="511"/>
      <c r="AU106" s="511"/>
      <c r="AV106" s="511"/>
      <c r="AW106" s="511"/>
      <c r="AX106" s="511"/>
      <c r="AY106" s="511"/>
      <c r="AZ106" s="511"/>
      <c r="BA106" s="511"/>
      <c r="BB106" s="511"/>
      <c r="BC106" s="511"/>
    </row>
    <row r="107" spans="1:55" ht="16.5" customHeight="1" x14ac:dyDescent="0.3">
      <c r="A107" s="511"/>
      <c r="B107" s="511"/>
      <c r="C107" s="511"/>
      <c r="D107" s="511"/>
      <c r="E107" s="511"/>
      <c r="F107" s="511"/>
      <c r="G107" s="511"/>
      <c r="H107" s="511"/>
      <c r="I107" s="511"/>
      <c r="J107" s="511"/>
      <c r="K107" s="511"/>
      <c r="L107" s="511"/>
      <c r="M107" s="511"/>
      <c r="N107" s="511"/>
      <c r="O107" s="511"/>
      <c r="P107" s="511"/>
      <c r="Q107" s="511"/>
      <c r="R107" s="511"/>
      <c r="S107" s="511"/>
      <c r="T107" s="511"/>
      <c r="U107" s="511"/>
      <c r="V107" s="511"/>
      <c r="W107" s="511"/>
      <c r="X107" s="511"/>
      <c r="Y107" s="511"/>
      <c r="Z107" s="511"/>
      <c r="AA107" s="511"/>
      <c r="AB107" s="511"/>
      <c r="AC107" s="511"/>
      <c r="AD107" s="511"/>
      <c r="AE107" s="511"/>
      <c r="AF107" s="511"/>
      <c r="AG107" s="511"/>
      <c r="AH107" s="511"/>
      <c r="AI107" s="511"/>
      <c r="AJ107" s="511"/>
      <c r="AK107" s="511"/>
      <c r="AL107" s="511"/>
      <c r="AM107" s="511"/>
      <c r="AN107" s="511"/>
      <c r="AO107" s="511"/>
      <c r="AP107" s="511"/>
      <c r="AQ107" s="511"/>
      <c r="AR107" s="511"/>
      <c r="AS107" s="511"/>
      <c r="AT107" s="511"/>
      <c r="AU107" s="511"/>
      <c r="AV107" s="511"/>
      <c r="AW107" s="511"/>
      <c r="AX107" s="511"/>
      <c r="AY107" s="511"/>
      <c r="AZ107" s="511"/>
      <c r="BA107" s="511"/>
      <c r="BB107" s="511"/>
      <c r="BC107" s="511"/>
    </row>
    <row r="108" spans="1:55" ht="16.5" customHeight="1" x14ac:dyDescent="0.3">
      <c r="A108" s="511"/>
      <c r="B108" s="511"/>
      <c r="C108" s="511"/>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511"/>
      <c r="AE108" s="511"/>
      <c r="AF108" s="511"/>
      <c r="AG108" s="511"/>
      <c r="AH108" s="511"/>
      <c r="AI108" s="511"/>
      <c r="AJ108" s="511"/>
      <c r="AK108" s="511"/>
      <c r="AL108" s="511"/>
      <c r="AM108" s="511"/>
      <c r="AN108" s="511"/>
      <c r="AO108" s="511"/>
      <c r="AP108" s="511"/>
      <c r="AQ108" s="511"/>
      <c r="AR108" s="511"/>
      <c r="AS108" s="511"/>
      <c r="AT108" s="511"/>
      <c r="AU108" s="511"/>
      <c r="AV108" s="511"/>
      <c r="AW108" s="511"/>
      <c r="AX108" s="511"/>
      <c r="AY108" s="511"/>
      <c r="AZ108" s="511"/>
      <c r="BA108" s="511"/>
      <c r="BB108" s="511"/>
      <c r="BC108" s="511"/>
    </row>
    <row r="109" spans="1:55" ht="16.5" customHeight="1" x14ac:dyDescent="0.3">
      <c r="A109" s="511"/>
      <c r="B109" s="511"/>
      <c r="C109" s="511"/>
      <c r="D109" s="511"/>
      <c r="E109" s="511"/>
      <c r="F109" s="511"/>
      <c r="G109" s="511"/>
      <c r="H109" s="511"/>
      <c r="I109" s="511"/>
      <c r="J109" s="511"/>
      <c r="K109" s="511"/>
      <c r="L109" s="511"/>
      <c r="M109" s="511"/>
      <c r="N109" s="511"/>
      <c r="O109" s="511"/>
      <c r="P109" s="511"/>
      <c r="Q109" s="511"/>
      <c r="R109" s="511"/>
      <c r="S109" s="511"/>
      <c r="T109" s="511"/>
      <c r="U109" s="511"/>
      <c r="V109" s="511"/>
      <c r="W109" s="511"/>
      <c r="X109" s="511"/>
      <c r="Y109" s="511"/>
      <c r="Z109" s="511"/>
      <c r="AA109" s="511"/>
      <c r="AB109" s="511"/>
      <c r="AC109" s="511"/>
      <c r="AD109" s="511"/>
      <c r="AE109" s="511"/>
      <c r="AF109" s="511"/>
      <c r="AG109" s="511"/>
      <c r="AH109" s="511"/>
      <c r="AI109" s="511"/>
      <c r="AJ109" s="511"/>
      <c r="AK109" s="511"/>
      <c r="AL109" s="511"/>
      <c r="AM109" s="511"/>
      <c r="AN109" s="511"/>
      <c r="AO109" s="511"/>
      <c r="AP109" s="511"/>
      <c r="AQ109" s="511"/>
      <c r="AR109" s="511"/>
      <c r="AS109" s="511"/>
      <c r="AT109" s="511"/>
      <c r="AU109" s="511"/>
      <c r="AV109" s="511"/>
      <c r="AW109" s="511"/>
      <c r="AX109" s="511"/>
      <c r="AY109" s="511"/>
      <c r="AZ109" s="511"/>
      <c r="BA109" s="511"/>
      <c r="BB109" s="511"/>
      <c r="BC109" s="511"/>
    </row>
    <row r="110" spans="1:55" ht="16.5" customHeight="1" x14ac:dyDescent="0.3">
      <c r="A110" s="511"/>
      <c r="B110" s="511"/>
      <c r="C110" s="511"/>
      <c r="D110" s="511"/>
      <c r="E110" s="511"/>
      <c r="F110" s="511"/>
      <c r="G110" s="511"/>
      <c r="H110" s="511"/>
      <c r="I110" s="511"/>
      <c r="J110" s="511"/>
      <c r="K110" s="511"/>
      <c r="L110" s="511"/>
      <c r="M110" s="511"/>
      <c r="N110" s="511"/>
      <c r="O110" s="511"/>
      <c r="P110" s="511"/>
      <c r="Q110" s="511"/>
      <c r="R110" s="511"/>
      <c r="S110" s="511"/>
      <c r="T110" s="511"/>
      <c r="U110" s="511"/>
      <c r="V110" s="511"/>
      <c r="W110" s="511"/>
      <c r="X110" s="511"/>
      <c r="Y110" s="511"/>
      <c r="Z110" s="511"/>
      <c r="AA110" s="511"/>
      <c r="AB110" s="511"/>
      <c r="AC110" s="511"/>
      <c r="AD110" s="511"/>
      <c r="AE110" s="511"/>
      <c r="AF110" s="511"/>
      <c r="AG110" s="511"/>
      <c r="AH110" s="511"/>
      <c r="AI110" s="511"/>
      <c r="AJ110" s="511"/>
      <c r="AK110" s="511"/>
      <c r="AL110" s="511"/>
      <c r="AM110" s="511"/>
      <c r="AN110" s="511"/>
      <c r="AO110" s="511"/>
      <c r="AP110" s="511"/>
      <c r="AQ110" s="511"/>
      <c r="AR110" s="511"/>
      <c r="AS110" s="511"/>
      <c r="AT110" s="511"/>
      <c r="AU110" s="511"/>
      <c r="AV110" s="511"/>
      <c r="AW110" s="511"/>
      <c r="AX110" s="511"/>
      <c r="AY110" s="511"/>
      <c r="AZ110" s="511"/>
      <c r="BA110" s="511"/>
      <c r="BB110" s="511"/>
      <c r="BC110" s="511"/>
    </row>
    <row r="111" spans="1:55" ht="16.5" customHeight="1" x14ac:dyDescent="0.3">
      <c r="A111" s="511"/>
      <c r="B111" s="511"/>
      <c r="C111" s="511"/>
      <c r="D111" s="511"/>
      <c r="E111" s="511"/>
      <c r="F111" s="511"/>
      <c r="G111" s="511"/>
      <c r="H111" s="511"/>
      <c r="I111" s="511"/>
      <c r="J111" s="511"/>
      <c r="K111" s="511"/>
      <c r="L111" s="511"/>
      <c r="M111" s="511"/>
      <c r="N111" s="511"/>
      <c r="O111" s="511"/>
      <c r="P111" s="511"/>
      <c r="Q111" s="511"/>
      <c r="R111" s="511"/>
      <c r="S111" s="511"/>
      <c r="T111" s="511"/>
      <c r="U111" s="511"/>
      <c r="V111" s="511"/>
      <c r="W111" s="511"/>
      <c r="X111" s="511"/>
      <c r="Y111" s="511"/>
      <c r="Z111" s="511"/>
      <c r="AA111" s="511"/>
      <c r="AB111" s="511"/>
      <c r="AC111" s="511"/>
      <c r="AD111" s="511"/>
      <c r="AE111" s="511"/>
      <c r="AF111" s="511"/>
      <c r="AG111" s="511"/>
      <c r="AH111" s="511"/>
      <c r="AI111" s="511"/>
      <c r="AJ111" s="511"/>
      <c r="AK111" s="511"/>
      <c r="AL111" s="511"/>
      <c r="AM111" s="511"/>
      <c r="AN111" s="511"/>
      <c r="AO111" s="511"/>
      <c r="AP111" s="511"/>
      <c r="AQ111" s="511"/>
      <c r="AR111" s="511"/>
      <c r="AS111" s="511"/>
      <c r="AT111" s="511"/>
      <c r="AU111" s="511"/>
      <c r="AV111" s="511"/>
      <c r="AW111" s="511"/>
      <c r="AX111" s="511"/>
      <c r="AY111" s="511"/>
      <c r="AZ111" s="511"/>
      <c r="BA111" s="511"/>
      <c r="BB111" s="511"/>
      <c r="BC111" s="511"/>
    </row>
    <row r="112" spans="1:55" ht="16.5" customHeight="1" x14ac:dyDescent="0.3">
      <c r="A112" s="511"/>
      <c r="B112" s="511"/>
      <c r="C112" s="511"/>
      <c r="D112" s="511"/>
      <c r="E112" s="511"/>
      <c r="F112" s="511"/>
      <c r="G112" s="511"/>
      <c r="H112" s="511"/>
      <c r="I112" s="511"/>
      <c r="J112" s="511"/>
      <c r="K112" s="511"/>
      <c r="L112" s="511"/>
      <c r="M112" s="511"/>
      <c r="N112" s="511"/>
      <c r="O112" s="511"/>
      <c r="P112" s="511"/>
      <c r="Q112" s="511"/>
      <c r="R112" s="511"/>
      <c r="S112" s="511"/>
      <c r="T112" s="511"/>
      <c r="U112" s="511"/>
      <c r="V112" s="511"/>
      <c r="W112" s="511"/>
      <c r="X112" s="511"/>
      <c r="Y112" s="511"/>
      <c r="Z112" s="511"/>
      <c r="AA112" s="511"/>
      <c r="AB112" s="511"/>
      <c r="AC112" s="511"/>
      <c r="AD112" s="511"/>
      <c r="AE112" s="511"/>
      <c r="AF112" s="511"/>
      <c r="AG112" s="511"/>
      <c r="AH112" s="511"/>
      <c r="AI112" s="511"/>
      <c r="AJ112" s="511"/>
      <c r="AK112" s="511"/>
      <c r="AL112" s="511"/>
      <c r="AM112" s="511"/>
      <c r="AN112" s="511"/>
      <c r="AO112" s="511"/>
      <c r="AP112" s="511"/>
      <c r="AQ112" s="511"/>
      <c r="AR112" s="511"/>
      <c r="AS112" s="511"/>
      <c r="AT112" s="511"/>
      <c r="AU112" s="511"/>
      <c r="AV112" s="511"/>
      <c r="AW112" s="511"/>
      <c r="AX112" s="511"/>
      <c r="AY112" s="511"/>
      <c r="AZ112" s="511"/>
      <c r="BA112" s="511"/>
      <c r="BB112" s="511"/>
      <c r="BC112" s="511"/>
    </row>
    <row r="113" spans="1:55" ht="16.5" customHeight="1" x14ac:dyDescent="0.3">
      <c r="A113" s="511"/>
      <c r="B113" s="511"/>
      <c r="C113" s="511"/>
      <c r="D113" s="511"/>
      <c r="E113" s="511"/>
      <c r="F113" s="511"/>
      <c r="G113" s="511"/>
      <c r="H113" s="511"/>
      <c r="I113" s="511"/>
      <c r="J113" s="511"/>
      <c r="K113" s="511"/>
      <c r="L113" s="511"/>
      <c r="M113" s="511"/>
      <c r="N113" s="511"/>
      <c r="O113" s="511"/>
      <c r="P113" s="511"/>
      <c r="Q113" s="511"/>
      <c r="R113" s="511"/>
      <c r="S113" s="511"/>
      <c r="T113" s="511"/>
      <c r="U113" s="511"/>
      <c r="V113" s="511"/>
      <c r="W113" s="511"/>
      <c r="X113" s="511"/>
      <c r="Y113" s="511"/>
      <c r="Z113" s="511"/>
      <c r="AA113" s="511"/>
      <c r="AB113" s="511"/>
      <c r="AC113" s="511"/>
      <c r="AD113" s="511"/>
      <c r="AE113" s="511"/>
      <c r="AF113" s="511"/>
      <c r="AG113" s="511"/>
      <c r="AH113" s="511"/>
      <c r="AI113" s="511"/>
      <c r="AJ113" s="511"/>
      <c r="AK113" s="511"/>
      <c r="AL113" s="511"/>
      <c r="AM113" s="511"/>
      <c r="AN113" s="511"/>
      <c r="AO113" s="511"/>
      <c r="AP113" s="511"/>
      <c r="AQ113" s="511"/>
      <c r="AR113" s="511"/>
      <c r="AS113" s="511"/>
      <c r="AT113" s="511"/>
      <c r="AU113" s="511"/>
      <c r="AV113" s="511"/>
      <c r="AW113" s="511"/>
      <c r="AX113" s="511"/>
      <c r="AY113" s="511"/>
      <c r="AZ113" s="511"/>
      <c r="BA113" s="511"/>
      <c r="BB113" s="511"/>
      <c r="BC113" s="511"/>
    </row>
    <row r="114" spans="1:55" ht="16.5" customHeight="1" x14ac:dyDescent="0.3">
      <c r="A114" s="511"/>
      <c r="B114" s="511"/>
      <c r="C114" s="511"/>
      <c r="D114" s="511"/>
      <c r="E114" s="511"/>
      <c r="F114" s="511"/>
      <c r="G114" s="511"/>
      <c r="H114" s="511"/>
      <c r="I114" s="511"/>
      <c r="J114" s="511"/>
      <c r="K114" s="511"/>
      <c r="L114" s="511"/>
      <c r="M114" s="511"/>
      <c r="N114" s="511"/>
      <c r="O114" s="511"/>
      <c r="P114" s="511"/>
      <c r="Q114" s="511"/>
      <c r="R114" s="511"/>
      <c r="S114" s="511"/>
      <c r="T114" s="511"/>
      <c r="U114" s="511"/>
      <c r="V114" s="511"/>
      <c r="W114" s="511"/>
      <c r="X114" s="511"/>
      <c r="Y114" s="511"/>
      <c r="Z114" s="511"/>
      <c r="AA114" s="511"/>
      <c r="AB114" s="511"/>
      <c r="AC114" s="511"/>
      <c r="AD114" s="511"/>
      <c r="AE114" s="511"/>
      <c r="AF114" s="511"/>
      <c r="AG114" s="511"/>
      <c r="AH114" s="511"/>
      <c r="AI114" s="511"/>
      <c r="AJ114" s="511"/>
      <c r="AK114" s="511"/>
      <c r="AL114" s="511"/>
      <c r="AM114" s="511"/>
      <c r="AN114" s="511"/>
      <c r="AO114" s="511"/>
      <c r="AP114" s="511"/>
      <c r="AQ114" s="511"/>
      <c r="AR114" s="511"/>
      <c r="AS114" s="511"/>
      <c r="AT114" s="511"/>
      <c r="AU114" s="511"/>
      <c r="AV114" s="511"/>
      <c r="AW114" s="511"/>
      <c r="AX114" s="511"/>
      <c r="AY114" s="511"/>
      <c r="AZ114" s="511"/>
      <c r="BA114" s="511"/>
      <c r="BB114" s="511"/>
      <c r="BC114" s="511"/>
    </row>
    <row r="115" spans="1:55" ht="16.5" customHeight="1" x14ac:dyDescent="0.3">
      <c r="A115" s="511"/>
      <c r="B115" s="511"/>
      <c r="C115" s="511"/>
      <c r="D115" s="511"/>
      <c r="E115" s="511"/>
      <c r="F115" s="511"/>
      <c r="G115" s="511"/>
      <c r="H115" s="511"/>
      <c r="I115" s="511"/>
      <c r="J115" s="511"/>
      <c r="K115" s="511"/>
      <c r="L115" s="511"/>
      <c r="M115" s="511"/>
      <c r="N115" s="511"/>
      <c r="O115" s="511"/>
      <c r="P115" s="511"/>
      <c r="Q115" s="511"/>
      <c r="R115" s="511"/>
      <c r="S115" s="511"/>
      <c r="T115" s="511"/>
      <c r="U115" s="511"/>
      <c r="V115" s="511"/>
      <c r="W115" s="511"/>
      <c r="X115" s="511"/>
      <c r="Y115" s="511"/>
      <c r="Z115" s="511"/>
      <c r="AA115" s="511"/>
      <c r="AB115" s="511"/>
      <c r="AC115" s="511"/>
      <c r="AD115" s="511"/>
      <c r="AE115" s="511"/>
      <c r="AF115" s="511"/>
      <c r="AG115" s="511"/>
      <c r="AH115" s="511"/>
      <c r="AI115" s="511"/>
      <c r="AJ115" s="511"/>
      <c r="AK115" s="511"/>
      <c r="AL115" s="511"/>
      <c r="AM115" s="511"/>
      <c r="AN115" s="511"/>
      <c r="AO115" s="511"/>
      <c r="AP115" s="511"/>
      <c r="AQ115" s="511"/>
      <c r="AR115" s="511"/>
      <c r="AS115" s="511"/>
      <c r="AT115" s="511"/>
      <c r="AU115" s="511"/>
      <c r="AV115" s="511"/>
      <c r="AW115" s="511"/>
      <c r="AX115" s="511"/>
      <c r="AY115" s="511"/>
      <c r="AZ115" s="511"/>
      <c r="BA115" s="511"/>
      <c r="BB115" s="511"/>
      <c r="BC115" s="511"/>
    </row>
    <row r="116" spans="1:55" ht="16.5" customHeight="1" x14ac:dyDescent="0.3">
      <c r="A116" s="511"/>
      <c r="B116" s="511"/>
      <c r="C116" s="511"/>
      <c r="D116" s="511"/>
      <c r="E116" s="511"/>
      <c r="F116" s="511"/>
      <c r="G116" s="511"/>
      <c r="H116" s="511"/>
      <c r="I116" s="511"/>
      <c r="J116" s="511"/>
      <c r="K116" s="511"/>
      <c r="L116" s="511"/>
      <c r="M116" s="511"/>
      <c r="N116" s="511"/>
      <c r="O116" s="511"/>
      <c r="P116" s="511"/>
      <c r="Q116" s="511"/>
      <c r="R116" s="511"/>
      <c r="S116" s="511"/>
      <c r="T116" s="511"/>
      <c r="U116" s="511"/>
      <c r="V116" s="511"/>
      <c r="W116" s="511"/>
      <c r="X116" s="511"/>
      <c r="Y116" s="511"/>
      <c r="Z116" s="511"/>
      <c r="AA116" s="511"/>
      <c r="AB116" s="511"/>
      <c r="AC116" s="511"/>
      <c r="AD116" s="511"/>
      <c r="AE116" s="511"/>
      <c r="AF116" s="511"/>
      <c r="AG116" s="511"/>
      <c r="AH116" s="511"/>
      <c r="AI116" s="511"/>
      <c r="AJ116" s="511"/>
      <c r="AK116" s="511"/>
      <c r="AL116" s="511"/>
      <c r="AM116" s="511"/>
      <c r="AN116" s="511"/>
      <c r="AO116" s="511"/>
      <c r="AP116" s="511"/>
      <c r="AQ116" s="511"/>
      <c r="AR116" s="511"/>
      <c r="AS116" s="511"/>
      <c r="AT116" s="511"/>
      <c r="AU116" s="511"/>
      <c r="AV116" s="511"/>
      <c r="AW116" s="511"/>
      <c r="AX116" s="511"/>
      <c r="AY116" s="511"/>
      <c r="AZ116" s="511"/>
      <c r="BA116" s="511"/>
      <c r="BB116" s="511"/>
      <c r="BC116" s="511"/>
    </row>
    <row r="117" spans="1:55" ht="16.5" customHeight="1" x14ac:dyDescent="0.3">
      <c r="A117" s="511"/>
      <c r="B117" s="511"/>
      <c r="C117" s="511"/>
      <c r="D117" s="511"/>
      <c r="E117" s="511"/>
      <c r="F117" s="511"/>
      <c r="G117" s="511"/>
      <c r="H117" s="511"/>
      <c r="I117" s="511"/>
      <c r="J117" s="511"/>
      <c r="K117" s="511"/>
      <c r="L117" s="511"/>
      <c r="M117" s="511"/>
      <c r="N117" s="511"/>
      <c r="O117" s="511"/>
      <c r="P117" s="511"/>
      <c r="Q117" s="511"/>
      <c r="R117" s="511"/>
      <c r="S117" s="511"/>
      <c r="T117" s="511"/>
      <c r="U117" s="511"/>
      <c r="V117" s="511"/>
      <c r="W117" s="511"/>
      <c r="X117" s="511"/>
      <c r="Y117" s="511"/>
      <c r="Z117" s="511"/>
      <c r="AA117" s="511"/>
      <c r="AB117" s="511"/>
      <c r="AC117" s="511"/>
      <c r="AD117" s="511"/>
      <c r="AE117" s="511"/>
      <c r="AF117" s="511"/>
      <c r="AG117" s="511"/>
      <c r="AH117" s="511"/>
      <c r="AI117" s="511"/>
      <c r="AJ117" s="511"/>
      <c r="AK117" s="511"/>
      <c r="AL117" s="511"/>
      <c r="AM117" s="511"/>
      <c r="AN117" s="511"/>
      <c r="AO117" s="511"/>
      <c r="AP117" s="511"/>
      <c r="AQ117" s="511"/>
      <c r="AR117" s="511"/>
      <c r="AS117" s="511"/>
      <c r="AT117" s="511"/>
      <c r="AU117" s="511"/>
      <c r="AV117" s="511"/>
      <c r="AW117" s="511"/>
      <c r="AX117" s="511"/>
      <c r="AY117" s="511"/>
      <c r="AZ117" s="511"/>
      <c r="BA117" s="511"/>
      <c r="BB117" s="511"/>
      <c r="BC117" s="511"/>
    </row>
    <row r="118" spans="1:55" ht="16.5" customHeight="1" x14ac:dyDescent="0.3">
      <c r="A118" s="511"/>
      <c r="B118" s="511"/>
      <c r="C118" s="511"/>
      <c r="D118" s="511"/>
      <c r="E118" s="511"/>
      <c r="F118" s="511"/>
      <c r="G118" s="511"/>
      <c r="H118" s="511"/>
      <c r="I118" s="511"/>
      <c r="J118" s="511"/>
      <c r="K118" s="511"/>
      <c r="L118" s="511"/>
      <c r="M118" s="511"/>
      <c r="N118" s="511"/>
      <c r="O118" s="511"/>
      <c r="P118" s="511"/>
      <c r="Q118" s="511"/>
      <c r="R118" s="511"/>
      <c r="S118" s="511"/>
      <c r="T118" s="511"/>
      <c r="U118" s="511"/>
      <c r="V118" s="511"/>
      <c r="W118" s="511"/>
      <c r="X118" s="511"/>
      <c r="Y118" s="511"/>
      <c r="Z118" s="511"/>
      <c r="AA118" s="511"/>
      <c r="AB118" s="511"/>
      <c r="AC118" s="511"/>
      <c r="AD118" s="511"/>
      <c r="AE118" s="511"/>
      <c r="AF118" s="511"/>
      <c r="AG118" s="511"/>
      <c r="AH118" s="511"/>
      <c r="AI118" s="511"/>
      <c r="AJ118" s="511"/>
      <c r="AK118" s="511"/>
      <c r="AL118" s="511"/>
      <c r="AM118" s="511"/>
      <c r="AN118" s="511"/>
      <c r="AO118" s="511"/>
      <c r="AP118" s="511"/>
      <c r="AQ118" s="511"/>
      <c r="AR118" s="511"/>
      <c r="AS118" s="511"/>
      <c r="AT118" s="511"/>
      <c r="AU118" s="511"/>
      <c r="AV118" s="511"/>
      <c r="AW118" s="511"/>
      <c r="AX118" s="511"/>
      <c r="AY118" s="511"/>
      <c r="AZ118" s="511"/>
      <c r="BA118" s="511"/>
      <c r="BB118" s="511"/>
      <c r="BC118" s="511"/>
    </row>
    <row r="119" spans="1:55" ht="16.5" customHeight="1" x14ac:dyDescent="0.3">
      <c r="A119" s="511"/>
      <c r="B119" s="511"/>
      <c r="C119" s="511"/>
      <c r="D119" s="511"/>
      <c r="E119" s="511"/>
      <c r="F119" s="511"/>
      <c r="G119" s="511"/>
      <c r="H119" s="511"/>
      <c r="I119" s="511"/>
      <c r="J119" s="511"/>
      <c r="K119" s="511"/>
      <c r="L119" s="511"/>
      <c r="M119" s="511"/>
      <c r="N119" s="511"/>
      <c r="O119" s="511"/>
      <c r="P119" s="511"/>
      <c r="Q119" s="511"/>
      <c r="R119" s="511"/>
      <c r="S119" s="511"/>
      <c r="T119" s="511"/>
      <c r="U119" s="511"/>
      <c r="V119" s="511"/>
      <c r="W119" s="511"/>
      <c r="X119" s="511"/>
      <c r="Y119" s="511"/>
      <c r="Z119" s="511"/>
      <c r="AA119" s="511"/>
      <c r="AB119" s="511"/>
      <c r="AC119" s="511"/>
      <c r="AD119" s="511"/>
      <c r="AE119" s="511"/>
      <c r="AF119" s="511"/>
      <c r="AG119" s="511"/>
      <c r="AH119" s="511"/>
      <c r="AI119" s="511"/>
      <c r="AJ119" s="511"/>
      <c r="AK119" s="511"/>
      <c r="AL119" s="511"/>
      <c r="AM119" s="511"/>
      <c r="AN119" s="511"/>
      <c r="AO119" s="511"/>
      <c r="AP119" s="511"/>
      <c r="AQ119" s="511"/>
      <c r="AR119" s="511"/>
      <c r="AS119" s="511"/>
      <c r="AT119" s="511"/>
      <c r="AU119" s="511"/>
      <c r="AV119" s="511"/>
      <c r="AW119" s="511"/>
      <c r="AX119" s="511"/>
      <c r="AY119" s="511"/>
      <c r="AZ119" s="511"/>
      <c r="BA119" s="511"/>
      <c r="BB119" s="511"/>
      <c r="BC119" s="511"/>
    </row>
    <row r="120" spans="1:55" ht="16.5" customHeight="1" x14ac:dyDescent="0.3">
      <c r="A120" s="511"/>
      <c r="B120" s="511"/>
      <c r="C120" s="511"/>
      <c r="D120" s="511"/>
      <c r="E120" s="511"/>
      <c r="F120" s="511"/>
      <c r="G120" s="511"/>
      <c r="H120" s="511"/>
      <c r="I120" s="511"/>
      <c r="J120" s="511"/>
      <c r="K120" s="511"/>
      <c r="L120" s="511"/>
      <c r="M120" s="511"/>
      <c r="N120" s="511"/>
      <c r="O120" s="511"/>
      <c r="P120" s="511"/>
      <c r="Q120" s="511"/>
      <c r="R120" s="511"/>
      <c r="S120" s="511"/>
      <c r="T120" s="511"/>
      <c r="U120" s="511"/>
      <c r="V120" s="511"/>
      <c r="W120" s="511"/>
      <c r="X120" s="511"/>
      <c r="Y120" s="511"/>
      <c r="Z120" s="511"/>
      <c r="AA120" s="511"/>
      <c r="AB120" s="511"/>
      <c r="AC120" s="511"/>
      <c r="AD120" s="511"/>
      <c r="AE120" s="511"/>
      <c r="AF120" s="511"/>
      <c r="AG120" s="511"/>
      <c r="AH120" s="511"/>
      <c r="AI120" s="511"/>
      <c r="AJ120" s="511"/>
      <c r="AK120" s="511"/>
      <c r="AL120" s="511"/>
      <c r="AM120" s="511"/>
      <c r="AN120" s="511"/>
      <c r="AO120" s="511"/>
      <c r="AP120" s="511"/>
      <c r="AQ120" s="511"/>
      <c r="AR120" s="511"/>
      <c r="AS120" s="511"/>
      <c r="AT120" s="511"/>
      <c r="AU120" s="511"/>
      <c r="AV120" s="511"/>
      <c r="AW120" s="511"/>
      <c r="AX120" s="511"/>
      <c r="AY120" s="511"/>
      <c r="AZ120" s="511"/>
      <c r="BA120" s="511"/>
      <c r="BB120" s="511"/>
      <c r="BC120" s="511"/>
    </row>
    <row r="121" spans="1:55" ht="16.5" customHeight="1" x14ac:dyDescent="0.3">
      <c r="A121" s="511"/>
      <c r="B121" s="511"/>
      <c r="C121" s="511"/>
      <c r="D121" s="511"/>
      <c r="E121" s="511"/>
      <c r="F121" s="511"/>
      <c r="G121" s="511"/>
      <c r="H121" s="511"/>
      <c r="I121" s="511"/>
      <c r="J121" s="511"/>
      <c r="K121" s="511"/>
      <c r="L121" s="511"/>
      <c r="M121" s="511"/>
      <c r="N121" s="511"/>
      <c r="O121" s="511"/>
      <c r="P121" s="511"/>
      <c r="Q121" s="511"/>
      <c r="R121" s="511"/>
      <c r="S121" s="511"/>
      <c r="T121" s="511"/>
      <c r="U121" s="511"/>
      <c r="V121" s="511"/>
      <c r="W121" s="511"/>
      <c r="X121" s="511"/>
      <c r="Y121" s="511"/>
      <c r="Z121" s="511"/>
      <c r="AA121" s="511"/>
      <c r="AB121" s="511"/>
      <c r="AC121" s="511"/>
      <c r="AD121" s="511"/>
      <c r="AE121" s="511"/>
      <c r="AF121" s="511"/>
      <c r="AG121" s="511"/>
      <c r="AH121" s="511"/>
      <c r="AI121" s="511"/>
      <c r="AJ121" s="511"/>
      <c r="AK121" s="511"/>
      <c r="AL121" s="511"/>
      <c r="AM121" s="511"/>
      <c r="AN121" s="511"/>
      <c r="AO121" s="511"/>
      <c r="AP121" s="511"/>
      <c r="AQ121" s="511"/>
      <c r="AR121" s="511"/>
      <c r="AS121" s="511"/>
      <c r="AT121" s="511"/>
      <c r="AU121" s="511"/>
      <c r="AV121" s="511"/>
      <c r="AW121" s="511"/>
      <c r="AX121" s="511"/>
      <c r="AY121" s="511"/>
      <c r="AZ121" s="511"/>
      <c r="BA121" s="511"/>
      <c r="BB121" s="511"/>
      <c r="BC121" s="511"/>
    </row>
    <row r="122" spans="1:55" ht="16.5" customHeight="1" x14ac:dyDescent="0.3">
      <c r="A122" s="511"/>
      <c r="B122" s="511"/>
      <c r="C122" s="511"/>
      <c r="D122" s="511"/>
      <c r="E122" s="511"/>
      <c r="F122" s="511"/>
      <c r="G122" s="511"/>
      <c r="H122" s="511"/>
      <c r="I122" s="511"/>
      <c r="J122" s="511"/>
      <c r="K122" s="511"/>
      <c r="L122" s="511"/>
      <c r="M122" s="511"/>
      <c r="N122" s="511"/>
      <c r="O122" s="511"/>
      <c r="P122" s="511"/>
      <c r="Q122" s="511"/>
      <c r="R122" s="511"/>
      <c r="S122" s="511"/>
      <c r="T122" s="511"/>
      <c r="U122" s="511"/>
      <c r="V122" s="511"/>
      <c r="W122" s="511"/>
      <c r="X122" s="511"/>
      <c r="Y122" s="511"/>
      <c r="Z122" s="511"/>
      <c r="AA122" s="511"/>
      <c r="AB122" s="511"/>
      <c r="AC122" s="511"/>
      <c r="AD122" s="511"/>
      <c r="AE122" s="511"/>
      <c r="AF122" s="511"/>
      <c r="AG122" s="511"/>
      <c r="AH122" s="511"/>
      <c r="AI122" s="511"/>
      <c r="AJ122" s="511"/>
      <c r="AK122" s="511"/>
      <c r="AL122" s="511"/>
      <c r="AM122" s="511"/>
      <c r="AN122" s="511"/>
      <c r="AO122" s="511"/>
      <c r="AP122" s="511"/>
      <c r="AQ122" s="511"/>
      <c r="AR122" s="511"/>
      <c r="AS122" s="511"/>
      <c r="AT122" s="511"/>
      <c r="AU122" s="511"/>
      <c r="AV122" s="511"/>
      <c r="AW122" s="511"/>
      <c r="AX122" s="511"/>
      <c r="AY122" s="511"/>
      <c r="AZ122" s="511"/>
      <c r="BA122" s="511"/>
      <c r="BB122" s="511"/>
      <c r="BC122" s="511"/>
    </row>
    <row r="123" spans="1:55" ht="16.5" customHeight="1" x14ac:dyDescent="0.3">
      <c r="A123" s="511"/>
      <c r="B123" s="511"/>
      <c r="C123" s="511"/>
      <c r="D123" s="511"/>
      <c r="E123" s="511"/>
      <c r="F123" s="511"/>
      <c r="G123" s="511"/>
      <c r="H123" s="511"/>
      <c r="I123" s="511"/>
      <c r="J123" s="511"/>
      <c r="K123" s="511"/>
      <c r="L123" s="511"/>
      <c r="M123" s="511"/>
      <c r="N123" s="511"/>
      <c r="O123" s="511"/>
      <c r="P123" s="511"/>
      <c r="Q123" s="511"/>
      <c r="R123" s="511"/>
      <c r="S123" s="511"/>
      <c r="T123" s="511"/>
      <c r="U123" s="511"/>
      <c r="V123" s="511"/>
      <c r="W123" s="511"/>
      <c r="X123" s="511"/>
      <c r="Y123" s="511"/>
      <c r="Z123" s="511"/>
      <c r="AA123" s="511"/>
      <c r="AB123" s="511"/>
      <c r="AC123" s="511"/>
      <c r="AD123" s="511"/>
      <c r="AE123" s="511"/>
      <c r="AF123" s="511"/>
      <c r="AG123" s="511"/>
      <c r="AH123" s="511"/>
      <c r="AI123" s="511"/>
      <c r="AJ123" s="511"/>
      <c r="AK123" s="511"/>
      <c r="AL123" s="511"/>
      <c r="AM123" s="511"/>
      <c r="AN123" s="511"/>
      <c r="AO123" s="511"/>
      <c r="AP123" s="511"/>
      <c r="AQ123" s="511"/>
      <c r="AR123" s="511"/>
      <c r="AS123" s="511"/>
      <c r="AT123" s="511"/>
      <c r="AU123" s="511"/>
      <c r="AV123" s="511"/>
      <c r="AW123" s="511"/>
      <c r="AX123" s="511"/>
      <c r="AY123" s="511"/>
      <c r="AZ123" s="511"/>
      <c r="BA123" s="511"/>
      <c r="BB123" s="511"/>
      <c r="BC123" s="511"/>
    </row>
    <row r="124" spans="1:55" ht="16.5" customHeight="1" x14ac:dyDescent="0.3">
      <c r="A124" s="511"/>
      <c r="B124" s="511"/>
      <c r="C124" s="511"/>
      <c r="D124" s="511"/>
      <c r="E124" s="511"/>
      <c r="F124" s="511"/>
      <c r="G124" s="511"/>
      <c r="H124" s="511"/>
      <c r="I124" s="511"/>
      <c r="J124" s="511"/>
      <c r="K124" s="511"/>
      <c r="L124" s="511"/>
      <c r="M124" s="511"/>
      <c r="N124" s="511"/>
      <c r="O124" s="511"/>
      <c r="P124" s="511"/>
      <c r="Q124" s="511"/>
      <c r="R124" s="511"/>
      <c r="S124" s="511"/>
      <c r="T124" s="511"/>
      <c r="U124" s="511"/>
      <c r="V124" s="511"/>
      <c r="W124" s="511"/>
      <c r="X124" s="511"/>
      <c r="Y124" s="511"/>
      <c r="Z124" s="511"/>
      <c r="AA124" s="511"/>
      <c r="AB124" s="511"/>
      <c r="AC124" s="511"/>
      <c r="AD124" s="511"/>
      <c r="AE124" s="511"/>
      <c r="AF124" s="511"/>
      <c r="AG124" s="511"/>
      <c r="AH124" s="511"/>
      <c r="AI124" s="511"/>
      <c r="AJ124" s="511"/>
      <c r="AK124" s="511"/>
      <c r="AL124" s="511"/>
      <c r="AM124" s="511"/>
      <c r="AN124" s="511"/>
      <c r="AO124" s="511"/>
      <c r="AP124" s="511"/>
      <c r="AQ124" s="511"/>
      <c r="AR124" s="511"/>
      <c r="AS124" s="511"/>
      <c r="AT124" s="511"/>
      <c r="AU124" s="511"/>
      <c r="AV124" s="511"/>
      <c r="AW124" s="511"/>
      <c r="AX124" s="511"/>
      <c r="AY124" s="511"/>
      <c r="AZ124" s="511"/>
      <c r="BA124" s="511"/>
      <c r="BB124" s="511"/>
      <c r="BC124" s="511"/>
    </row>
    <row r="125" spans="1:55" ht="16.5" customHeight="1" x14ac:dyDescent="0.3">
      <c r="A125" s="511"/>
      <c r="B125" s="511"/>
      <c r="C125" s="511"/>
      <c r="D125" s="511"/>
      <c r="E125" s="511"/>
      <c r="F125" s="511"/>
      <c r="G125" s="511"/>
      <c r="H125" s="511"/>
      <c r="I125" s="511"/>
      <c r="J125" s="511"/>
      <c r="K125" s="511"/>
      <c r="L125" s="511"/>
      <c r="M125" s="511"/>
      <c r="N125" s="511"/>
      <c r="O125" s="511"/>
      <c r="P125" s="511"/>
      <c r="Q125" s="511"/>
      <c r="R125" s="511"/>
      <c r="S125" s="511"/>
      <c r="T125" s="511"/>
      <c r="U125" s="511"/>
      <c r="V125" s="511"/>
      <c r="W125" s="511"/>
      <c r="X125" s="511"/>
      <c r="Y125" s="511"/>
      <c r="Z125" s="511"/>
      <c r="AA125" s="511"/>
      <c r="AB125" s="511"/>
      <c r="AC125" s="511"/>
      <c r="AD125" s="511"/>
      <c r="AE125" s="511"/>
      <c r="AF125" s="511"/>
      <c r="AG125" s="511"/>
      <c r="AH125" s="511"/>
      <c r="AI125" s="511"/>
      <c r="AJ125" s="511"/>
      <c r="AK125" s="511"/>
      <c r="AL125" s="511"/>
      <c r="AM125" s="511"/>
      <c r="AN125" s="511"/>
      <c r="AO125" s="511"/>
      <c r="AP125" s="511"/>
      <c r="AQ125" s="511"/>
      <c r="AR125" s="511"/>
      <c r="AS125" s="511"/>
      <c r="AT125" s="511"/>
      <c r="AU125" s="511"/>
      <c r="AV125" s="511"/>
      <c r="AW125" s="511"/>
      <c r="AX125" s="511"/>
      <c r="AY125" s="511"/>
      <c r="AZ125" s="511"/>
      <c r="BA125" s="511"/>
      <c r="BB125" s="511"/>
      <c r="BC125" s="511"/>
    </row>
    <row r="126" spans="1:55" ht="16.5" customHeight="1" x14ac:dyDescent="0.3">
      <c r="A126" s="511"/>
      <c r="B126" s="511"/>
      <c r="C126" s="511"/>
      <c r="D126" s="511"/>
      <c r="E126" s="511"/>
      <c r="F126" s="511"/>
      <c r="G126" s="511"/>
      <c r="H126" s="511"/>
      <c r="I126" s="511"/>
      <c r="J126" s="511"/>
      <c r="K126" s="511"/>
      <c r="L126" s="511"/>
      <c r="M126" s="511"/>
      <c r="N126" s="511"/>
      <c r="O126" s="511"/>
      <c r="P126" s="511"/>
      <c r="Q126" s="511"/>
      <c r="R126" s="511"/>
      <c r="S126" s="511"/>
      <c r="T126" s="511"/>
      <c r="U126" s="511"/>
      <c r="V126" s="511"/>
      <c r="W126" s="511"/>
      <c r="X126" s="511"/>
      <c r="Y126" s="511"/>
      <c r="Z126" s="511"/>
      <c r="AA126" s="511"/>
      <c r="AB126" s="511"/>
      <c r="AC126" s="511"/>
      <c r="AD126" s="511"/>
      <c r="AE126" s="511"/>
      <c r="AF126" s="511"/>
      <c r="AG126" s="511"/>
      <c r="AH126" s="511"/>
      <c r="AI126" s="511"/>
      <c r="AJ126" s="511"/>
      <c r="AK126" s="511"/>
      <c r="AL126" s="511"/>
      <c r="AM126" s="511"/>
      <c r="AN126" s="511"/>
      <c r="AO126" s="511"/>
      <c r="AP126" s="511"/>
      <c r="AQ126" s="511"/>
      <c r="AR126" s="511"/>
      <c r="AS126" s="511"/>
      <c r="AT126" s="511"/>
      <c r="AU126" s="511"/>
      <c r="AV126" s="511"/>
      <c r="AW126" s="511"/>
      <c r="AX126" s="511"/>
      <c r="AY126" s="511"/>
      <c r="AZ126" s="511"/>
      <c r="BA126" s="511"/>
      <c r="BB126" s="511"/>
      <c r="BC126" s="511"/>
    </row>
    <row r="127" spans="1:55" ht="16.5" customHeight="1" x14ac:dyDescent="0.3">
      <c r="A127" s="511"/>
      <c r="B127" s="511"/>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511"/>
      <c r="AE127" s="511"/>
      <c r="AF127" s="511"/>
      <c r="AG127" s="511"/>
      <c r="AH127" s="511"/>
      <c r="AI127" s="511"/>
      <c r="AJ127" s="511"/>
      <c r="AK127" s="511"/>
      <c r="AL127" s="511"/>
      <c r="AM127" s="511"/>
      <c r="AN127" s="511"/>
      <c r="AO127" s="511"/>
      <c r="AP127" s="511"/>
      <c r="AQ127" s="511"/>
      <c r="AR127" s="511"/>
      <c r="AS127" s="511"/>
      <c r="AT127" s="511"/>
      <c r="AU127" s="511"/>
      <c r="AV127" s="511"/>
      <c r="AW127" s="511"/>
      <c r="AX127" s="511"/>
      <c r="AY127" s="511"/>
      <c r="AZ127" s="511"/>
      <c r="BA127" s="511"/>
      <c r="BB127" s="511"/>
      <c r="BC127" s="511"/>
    </row>
    <row r="128" spans="1:55" ht="16.5" customHeight="1" x14ac:dyDescent="0.3">
      <c r="A128" s="511"/>
      <c r="B128" s="511"/>
      <c r="C128" s="511"/>
      <c r="D128" s="511"/>
      <c r="E128" s="511"/>
      <c r="F128" s="511"/>
      <c r="G128" s="511"/>
      <c r="H128" s="511"/>
      <c r="I128" s="511"/>
      <c r="J128" s="511"/>
      <c r="K128" s="511"/>
      <c r="L128" s="511"/>
      <c r="M128" s="511"/>
      <c r="N128" s="511"/>
      <c r="O128" s="511"/>
      <c r="P128" s="511"/>
      <c r="Q128" s="511"/>
      <c r="R128" s="511"/>
      <c r="S128" s="511"/>
      <c r="T128" s="511"/>
      <c r="U128" s="511"/>
      <c r="V128" s="511"/>
      <c r="W128" s="511"/>
      <c r="X128" s="511"/>
      <c r="Y128" s="511"/>
      <c r="Z128" s="511"/>
      <c r="AA128" s="511"/>
      <c r="AB128" s="511"/>
      <c r="AC128" s="511"/>
      <c r="AD128" s="511"/>
      <c r="AE128" s="511"/>
      <c r="AF128" s="511"/>
      <c r="AG128" s="511"/>
      <c r="AH128" s="511"/>
      <c r="AI128" s="511"/>
      <c r="AJ128" s="511"/>
      <c r="AK128" s="511"/>
      <c r="AL128" s="511"/>
      <c r="AM128" s="511"/>
      <c r="AN128" s="511"/>
      <c r="AO128" s="511"/>
      <c r="AP128" s="511"/>
      <c r="AQ128" s="511"/>
      <c r="AR128" s="511"/>
      <c r="AS128" s="511"/>
      <c r="AT128" s="511"/>
      <c r="AU128" s="511"/>
      <c r="AV128" s="511"/>
      <c r="AW128" s="511"/>
      <c r="AX128" s="511"/>
      <c r="AY128" s="511"/>
      <c r="AZ128" s="511"/>
      <c r="BA128" s="511"/>
      <c r="BB128" s="511"/>
      <c r="BC128" s="511"/>
    </row>
    <row r="129" spans="1:55" ht="16.5" customHeight="1" x14ac:dyDescent="0.3">
      <c r="A129" s="511"/>
      <c r="B129" s="511"/>
      <c r="C129" s="511"/>
      <c r="D129" s="511"/>
      <c r="E129" s="511"/>
      <c r="F129" s="511"/>
      <c r="G129" s="511"/>
      <c r="H129" s="511"/>
      <c r="I129" s="511"/>
      <c r="J129" s="511"/>
      <c r="K129" s="511"/>
      <c r="L129" s="511"/>
      <c r="M129" s="511"/>
      <c r="N129" s="511"/>
      <c r="O129" s="511"/>
      <c r="P129" s="511"/>
      <c r="Q129" s="511"/>
      <c r="R129" s="511"/>
      <c r="S129" s="511"/>
      <c r="T129" s="511"/>
      <c r="U129" s="511"/>
      <c r="V129" s="511"/>
      <c r="W129" s="511"/>
      <c r="X129" s="511"/>
      <c r="Y129" s="511"/>
      <c r="Z129" s="511"/>
      <c r="AA129" s="511"/>
      <c r="AB129" s="511"/>
      <c r="AC129" s="511"/>
      <c r="AD129" s="511"/>
      <c r="AE129" s="511"/>
      <c r="AF129" s="511"/>
      <c r="AG129" s="511"/>
      <c r="AH129" s="511"/>
      <c r="AI129" s="511"/>
      <c r="AJ129" s="511"/>
      <c r="AK129" s="511"/>
      <c r="AL129" s="511"/>
      <c r="AM129" s="511"/>
      <c r="AN129" s="511"/>
      <c r="AO129" s="511"/>
      <c r="AP129" s="511"/>
      <c r="AQ129" s="511"/>
      <c r="AR129" s="511"/>
      <c r="AS129" s="511"/>
      <c r="AT129" s="511"/>
      <c r="AU129" s="511"/>
      <c r="AV129" s="511"/>
      <c r="AW129" s="511"/>
      <c r="AX129" s="511"/>
      <c r="AY129" s="511"/>
      <c r="AZ129" s="511"/>
      <c r="BA129" s="511"/>
      <c r="BB129" s="511"/>
      <c r="BC129" s="511"/>
    </row>
    <row r="130" spans="1:55" ht="16.5" customHeight="1" x14ac:dyDescent="0.3">
      <c r="A130" s="511"/>
      <c r="B130" s="511"/>
      <c r="C130" s="511"/>
      <c r="D130" s="511"/>
      <c r="E130" s="511"/>
      <c r="F130" s="511"/>
      <c r="G130" s="511"/>
      <c r="H130" s="511"/>
      <c r="I130" s="511"/>
      <c r="J130" s="511"/>
      <c r="K130" s="511"/>
      <c r="L130" s="511"/>
      <c r="M130" s="511"/>
      <c r="N130" s="511"/>
      <c r="O130" s="511"/>
      <c r="P130" s="511"/>
      <c r="Q130" s="511"/>
      <c r="R130" s="511"/>
      <c r="S130" s="511"/>
      <c r="T130" s="511"/>
      <c r="U130" s="511"/>
      <c r="V130" s="511"/>
      <c r="W130" s="511"/>
      <c r="X130" s="511"/>
      <c r="Y130" s="511"/>
      <c r="Z130" s="511"/>
      <c r="AA130" s="511"/>
      <c r="AB130" s="511"/>
      <c r="AC130" s="511"/>
      <c r="AD130" s="511"/>
      <c r="AE130" s="511"/>
      <c r="AF130" s="511"/>
      <c r="AG130" s="511"/>
      <c r="AH130" s="511"/>
      <c r="AI130" s="511"/>
      <c r="AJ130" s="511"/>
      <c r="AK130" s="511"/>
      <c r="AL130" s="511"/>
      <c r="AM130" s="511"/>
      <c r="AN130" s="511"/>
      <c r="AO130" s="511"/>
      <c r="AP130" s="511"/>
      <c r="AQ130" s="511"/>
      <c r="AR130" s="511"/>
      <c r="AS130" s="511"/>
      <c r="AT130" s="511"/>
      <c r="AU130" s="511"/>
      <c r="AV130" s="511"/>
      <c r="AW130" s="511"/>
      <c r="AX130" s="511"/>
      <c r="AY130" s="511"/>
      <c r="AZ130" s="511"/>
      <c r="BA130" s="511"/>
      <c r="BB130" s="511"/>
      <c r="BC130" s="511"/>
    </row>
    <row r="131" spans="1:55" ht="16.5" customHeight="1" x14ac:dyDescent="0.3">
      <c r="A131" s="511"/>
      <c r="B131" s="511"/>
      <c r="C131" s="511"/>
      <c r="D131" s="511"/>
      <c r="E131" s="511"/>
      <c r="F131" s="511"/>
      <c r="G131" s="511"/>
      <c r="H131" s="511"/>
      <c r="I131" s="511"/>
      <c r="J131" s="511"/>
      <c r="K131" s="511"/>
      <c r="L131" s="511"/>
      <c r="M131" s="511"/>
      <c r="N131" s="511"/>
      <c r="O131" s="511"/>
      <c r="P131" s="511"/>
      <c r="Q131" s="511"/>
      <c r="R131" s="511"/>
      <c r="S131" s="511"/>
      <c r="T131" s="511"/>
      <c r="U131" s="511"/>
      <c r="V131" s="511"/>
      <c r="W131" s="511"/>
      <c r="X131" s="511"/>
      <c r="Y131" s="511"/>
      <c r="Z131" s="511"/>
      <c r="AA131" s="511"/>
      <c r="AB131" s="511"/>
      <c r="AC131" s="511"/>
      <c r="AD131" s="511"/>
      <c r="AE131" s="511"/>
      <c r="AF131" s="511"/>
      <c r="AG131" s="511"/>
      <c r="AH131" s="511"/>
      <c r="AI131" s="511"/>
      <c r="AJ131" s="511"/>
      <c r="AK131" s="511"/>
      <c r="AL131" s="511"/>
      <c r="AM131" s="511"/>
      <c r="AN131" s="511"/>
      <c r="AO131" s="511"/>
      <c r="AP131" s="511"/>
      <c r="AQ131" s="511"/>
      <c r="AR131" s="511"/>
      <c r="AS131" s="511"/>
      <c r="AT131" s="511"/>
      <c r="AU131" s="511"/>
      <c r="AV131" s="511"/>
      <c r="AW131" s="511"/>
      <c r="AX131" s="511"/>
      <c r="AY131" s="511"/>
      <c r="AZ131" s="511"/>
      <c r="BA131" s="511"/>
      <c r="BB131" s="511"/>
      <c r="BC131" s="511"/>
    </row>
    <row r="132" spans="1:55" ht="16.5" customHeight="1" x14ac:dyDescent="0.3">
      <c r="A132" s="511"/>
      <c r="B132" s="511"/>
      <c r="C132" s="511"/>
      <c r="D132" s="511"/>
      <c r="E132" s="511"/>
      <c r="F132" s="511"/>
      <c r="G132" s="511"/>
      <c r="H132" s="511"/>
      <c r="I132" s="511"/>
      <c r="J132" s="511"/>
      <c r="K132" s="511"/>
      <c r="L132" s="511"/>
      <c r="M132" s="511"/>
      <c r="N132" s="511"/>
      <c r="O132" s="511"/>
      <c r="P132" s="511"/>
      <c r="Q132" s="511"/>
      <c r="R132" s="511"/>
      <c r="S132" s="511"/>
      <c r="T132" s="511"/>
      <c r="U132" s="511"/>
      <c r="V132" s="511"/>
      <c r="W132" s="511"/>
      <c r="X132" s="511"/>
      <c r="Y132" s="511"/>
      <c r="Z132" s="511"/>
      <c r="AA132" s="511"/>
      <c r="AB132" s="511"/>
      <c r="AC132" s="511"/>
      <c r="AD132" s="511"/>
      <c r="AE132" s="511"/>
      <c r="AF132" s="511"/>
      <c r="AG132" s="511"/>
      <c r="AH132" s="511"/>
      <c r="AI132" s="511"/>
      <c r="AJ132" s="511"/>
      <c r="AK132" s="511"/>
      <c r="AL132" s="511"/>
      <c r="AM132" s="511"/>
      <c r="AN132" s="511"/>
      <c r="AO132" s="511"/>
      <c r="AP132" s="511"/>
      <c r="AQ132" s="511"/>
      <c r="AR132" s="511"/>
      <c r="AS132" s="511"/>
      <c r="AT132" s="511"/>
      <c r="AU132" s="511"/>
      <c r="AV132" s="511"/>
      <c r="AW132" s="511"/>
      <c r="AX132" s="511"/>
      <c r="AY132" s="511"/>
      <c r="AZ132" s="511"/>
      <c r="BA132" s="511"/>
      <c r="BB132" s="511"/>
      <c r="BC132" s="511"/>
    </row>
    <row r="133" spans="1:55" ht="16.5" customHeight="1" x14ac:dyDescent="0.3">
      <c r="A133" s="511"/>
      <c r="B133" s="511"/>
      <c r="C133" s="511"/>
      <c r="D133" s="511"/>
      <c r="E133" s="511"/>
      <c r="F133" s="511"/>
      <c r="G133" s="511"/>
      <c r="H133" s="511"/>
      <c r="I133" s="511"/>
      <c r="J133" s="511"/>
      <c r="K133" s="511"/>
      <c r="L133" s="511"/>
      <c r="M133" s="511"/>
      <c r="N133" s="511"/>
      <c r="O133" s="511"/>
      <c r="P133" s="511"/>
      <c r="Q133" s="511"/>
      <c r="R133" s="511"/>
      <c r="S133" s="511"/>
      <c r="T133" s="511"/>
      <c r="U133" s="511"/>
      <c r="V133" s="511"/>
      <c r="W133" s="511"/>
      <c r="X133" s="511"/>
      <c r="Y133" s="511"/>
      <c r="Z133" s="511"/>
      <c r="AA133" s="511"/>
      <c r="AB133" s="511"/>
      <c r="AC133" s="511"/>
      <c r="AD133" s="511"/>
      <c r="AE133" s="511"/>
      <c r="AF133" s="511"/>
      <c r="AG133" s="511"/>
      <c r="AH133" s="511"/>
      <c r="AI133" s="511"/>
      <c r="AJ133" s="511"/>
      <c r="AK133" s="511"/>
      <c r="AL133" s="511"/>
      <c r="AM133" s="511"/>
      <c r="AN133" s="511"/>
      <c r="AO133" s="511"/>
      <c r="AP133" s="511"/>
      <c r="AQ133" s="511"/>
      <c r="AR133" s="511"/>
      <c r="AS133" s="511"/>
      <c r="AT133" s="511"/>
      <c r="AU133" s="511"/>
      <c r="AV133" s="511"/>
      <c r="AW133" s="511"/>
      <c r="AX133" s="511"/>
      <c r="AY133" s="511"/>
      <c r="AZ133" s="511"/>
      <c r="BA133" s="511"/>
      <c r="BB133" s="511"/>
      <c r="BC133" s="511"/>
    </row>
    <row r="134" spans="1:55" ht="16.5" customHeight="1" x14ac:dyDescent="0.3">
      <c r="A134" s="511"/>
      <c r="B134" s="511"/>
      <c r="C134" s="511"/>
      <c r="D134" s="511"/>
      <c r="E134" s="511"/>
      <c r="F134" s="511"/>
      <c r="G134" s="511"/>
      <c r="H134" s="511"/>
      <c r="I134" s="511"/>
      <c r="J134" s="511"/>
      <c r="K134" s="511"/>
      <c r="L134" s="511"/>
      <c r="M134" s="511"/>
      <c r="N134" s="511"/>
      <c r="O134" s="511"/>
      <c r="P134" s="511"/>
      <c r="Q134" s="511"/>
      <c r="R134" s="511"/>
      <c r="S134" s="511"/>
      <c r="T134" s="511"/>
      <c r="U134" s="511"/>
      <c r="V134" s="511"/>
      <c r="W134" s="511"/>
      <c r="X134" s="511"/>
      <c r="Y134" s="511"/>
      <c r="Z134" s="511"/>
      <c r="AA134" s="511"/>
      <c r="AB134" s="511"/>
      <c r="AC134" s="511"/>
      <c r="AD134" s="511"/>
      <c r="AE134" s="511"/>
      <c r="AF134" s="511"/>
      <c r="AG134" s="511"/>
      <c r="AH134" s="511"/>
      <c r="AI134" s="511"/>
      <c r="AJ134" s="511"/>
      <c r="AK134" s="511"/>
      <c r="AL134" s="511"/>
      <c r="AM134" s="511"/>
      <c r="AN134" s="511"/>
      <c r="AO134" s="511"/>
      <c r="AP134" s="511"/>
      <c r="AQ134" s="511"/>
      <c r="AR134" s="511"/>
      <c r="AS134" s="511"/>
      <c r="AT134" s="511"/>
      <c r="AU134" s="511"/>
      <c r="AV134" s="511"/>
      <c r="AW134" s="511"/>
      <c r="AX134" s="511"/>
      <c r="AY134" s="511"/>
      <c r="AZ134" s="511"/>
      <c r="BA134" s="511"/>
      <c r="BB134" s="511"/>
      <c r="BC134" s="511"/>
    </row>
    <row r="135" spans="1:55" ht="16.5" customHeight="1" x14ac:dyDescent="0.3">
      <c r="A135" s="511"/>
      <c r="B135" s="511"/>
      <c r="C135" s="511"/>
      <c r="D135" s="511"/>
      <c r="E135" s="511"/>
      <c r="F135" s="511"/>
      <c r="G135" s="511"/>
      <c r="H135" s="511"/>
      <c r="I135" s="511"/>
      <c r="J135" s="511"/>
      <c r="K135" s="511"/>
      <c r="L135" s="511"/>
      <c r="M135" s="511"/>
      <c r="N135" s="511"/>
      <c r="O135" s="511"/>
      <c r="P135" s="511"/>
      <c r="Q135" s="511"/>
      <c r="R135" s="511"/>
      <c r="S135" s="511"/>
      <c r="T135" s="511"/>
      <c r="U135" s="511"/>
      <c r="V135" s="511"/>
      <c r="W135" s="511"/>
      <c r="X135" s="511"/>
      <c r="Y135" s="511"/>
      <c r="Z135" s="511"/>
      <c r="AA135" s="511"/>
      <c r="AB135" s="511"/>
      <c r="AC135" s="511"/>
      <c r="AD135" s="511"/>
      <c r="AE135" s="511"/>
      <c r="AF135" s="511"/>
      <c r="AG135" s="511"/>
      <c r="AH135" s="511"/>
      <c r="AI135" s="511"/>
      <c r="AJ135" s="511"/>
      <c r="AK135" s="511"/>
      <c r="AL135" s="511"/>
      <c r="AM135" s="511"/>
      <c r="AN135" s="511"/>
      <c r="AO135" s="511"/>
      <c r="AP135" s="511"/>
      <c r="AQ135" s="511"/>
      <c r="AR135" s="511"/>
      <c r="AS135" s="511"/>
      <c r="AT135" s="511"/>
      <c r="AU135" s="511"/>
      <c r="AV135" s="511"/>
      <c r="AW135" s="511"/>
      <c r="AX135" s="511"/>
      <c r="AY135" s="511"/>
      <c r="AZ135" s="511"/>
      <c r="BA135" s="511"/>
      <c r="BB135" s="511"/>
      <c r="BC135" s="511"/>
    </row>
    <row r="136" spans="1:55" ht="16.5" customHeight="1" x14ac:dyDescent="0.3">
      <c r="A136" s="511"/>
      <c r="B136" s="511"/>
      <c r="C136" s="511"/>
      <c r="D136" s="511"/>
      <c r="E136" s="511"/>
      <c r="F136" s="511"/>
      <c r="G136" s="511"/>
      <c r="H136" s="511"/>
      <c r="I136" s="511"/>
      <c r="J136" s="511"/>
      <c r="K136" s="511"/>
      <c r="L136" s="511"/>
      <c r="M136" s="511"/>
      <c r="N136" s="511"/>
      <c r="O136" s="511"/>
      <c r="P136" s="511"/>
      <c r="Q136" s="511"/>
      <c r="R136" s="511"/>
      <c r="S136" s="511"/>
      <c r="T136" s="511"/>
      <c r="U136" s="511"/>
      <c r="V136" s="511"/>
      <c r="W136" s="511"/>
      <c r="X136" s="511"/>
      <c r="Y136" s="511"/>
      <c r="Z136" s="511"/>
      <c r="AA136" s="511"/>
      <c r="AB136" s="511"/>
      <c r="AC136" s="511"/>
      <c r="AD136" s="511"/>
      <c r="AE136" s="511"/>
      <c r="AF136" s="511"/>
      <c r="AG136" s="511"/>
      <c r="AH136" s="511"/>
      <c r="AI136" s="511"/>
      <c r="AJ136" s="511"/>
      <c r="AK136" s="511"/>
      <c r="AL136" s="511"/>
      <c r="AM136" s="511"/>
      <c r="AN136" s="511"/>
      <c r="AO136" s="511"/>
      <c r="AP136" s="511"/>
      <c r="AQ136" s="511"/>
      <c r="AR136" s="511"/>
      <c r="AS136" s="511"/>
      <c r="AT136" s="511"/>
      <c r="AU136" s="511"/>
      <c r="AV136" s="511"/>
      <c r="AW136" s="511"/>
      <c r="AX136" s="511"/>
      <c r="AY136" s="511"/>
      <c r="AZ136" s="511"/>
      <c r="BA136" s="511"/>
      <c r="BB136" s="511"/>
      <c r="BC136" s="511"/>
    </row>
    <row r="137" spans="1:55" ht="16.5" customHeight="1" x14ac:dyDescent="0.3">
      <c r="A137" s="511"/>
      <c r="B137" s="511"/>
      <c r="C137" s="511"/>
      <c r="D137" s="511"/>
      <c r="E137" s="511"/>
      <c r="F137" s="511"/>
      <c r="G137" s="511"/>
      <c r="H137" s="511"/>
      <c r="I137" s="511"/>
      <c r="J137" s="511"/>
      <c r="K137" s="511"/>
      <c r="L137" s="511"/>
      <c r="M137" s="511"/>
      <c r="N137" s="511"/>
      <c r="O137" s="511"/>
      <c r="P137" s="511"/>
      <c r="Q137" s="511"/>
      <c r="R137" s="511"/>
      <c r="S137" s="511"/>
      <c r="T137" s="511"/>
      <c r="U137" s="511"/>
      <c r="V137" s="511"/>
      <c r="W137" s="511"/>
      <c r="X137" s="511"/>
      <c r="Y137" s="511"/>
      <c r="Z137" s="511"/>
      <c r="AA137" s="511"/>
      <c r="AB137" s="511"/>
      <c r="AC137" s="511"/>
      <c r="AD137" s="511"/>
      <c r="AE137" s="511"/>
      <c r="AF137" s="511"/>
      <c r="AG137" s="511"/>
      <c r="AH137" s="511"/>
      <c r="AI137" s="511"/>
      <c r="AJ137" s="511"/>
      <c r="AK137" s="511"/>
      <c r="AL137" s="511"/>
      <c r="AM137" s="511"/>
      <c r="AN137" s="511"/>
      <c r="AO137" s="511"/>
      <c r="AP137" s="511"/>
      <c r="AQ137" s="511"/>
      <c r="AR137" s="511"/>
      <c r="AS137" s="511"/>
      <c r="AT137" s="511"/>
      <c r="AU137" s="511"/>
      <c r="AV137" s="511"/>
      <c r="AW137" s="511"/>
      <c r="AX137" s="511"/>
      <c r="AY137" s="511"/>
      <c r="AZ137" s="511"/>
      <c r="BA137" s="511"/>
      <c r="BB137" s="511"/>
      <c r="BC137" s="511"/>
    </row>
    <row r="138" spans="1:55" ht="16.5" customHeight="1" x14ac:dyDescent="0.3">
      <c r="A138" s="511"/>
      <c r="B138" s="511"/>
      <c r="C138" s="511"/>
      <c r="D138" s="511"/>
      <c r="E138" s="511"/>
      <c r="F138" s="511"/>
      <c r="G138" s="511"/>
      <c r="H138" s="511"/>
      <c r="I138" s="511"/>
      <c r="J138" s="511"/>
      <c r="K138" s="511"/>
      <c r="L138" s="511"/>
      <c r="M138" s="511"/>
      <c r="N138" s="511"/>
      <c r="O138" s="511"/>
      <c r="P138" s="511"/>
      <c r="Q138" s="511"/>
      <c r="R138" s="511"/>
      <c r="S138" s="511"/>
      <c r="T138" s="511"/>
      <c r="U138" s="511"/>
      <c r="V138" s="511"/>
      <c r="W138" s="511"/>
      <c r="X138" s="511"/>
      <c r="Y138" s="511"/>
      <c r="Z138" s="511"/>
      <c r="AA138" s="511"/>
      <c r="AB138" s="511"/>
      <c r="AC138" s="511"/>
      <c r="AD138" s="511"/>
      <c r="AE138" s="511"/>
      <c r="AF138" s="511"/>
      <c r="AG138" s="511"/>
      <c r="AH138" s="511"/>
      <c r="AI138" s="511"/>
      <c r="AJ138" s="511"/>
      <c r="AK138" s="511"/>
      <c r="AL138" s="511"/>
      <c r="AM138" s="511"/>
      <c r="AN138" s="511"/>
      <c r="AO138" s="511"/>
      <c r="AP138" s="511"/>
      <c r="AQ138" s="511"/>
      <c r="AR138" s="511"/>
      <c r="AS138" s="511"/>
      <c r="AT138" s="511"/>
      <c r="AU138" s="511"/>
      <c r="AV138" s="511"/>
      <c r="AW138" s="511"/>
      <c r="AX138" s="511"/>
      <c r="AY138" s="511"/>
      <c r="AZ138" s="511"/>
      <c r="BA138" s="511"/>
      <c r="BB138" s="511"/>
      <c r="BC138" s="511"/>
    </row>
    <row r="139" spans="1:55" ht="16.5" customHeight="1" x14ac:dyDescent="0.3">
      <c r="A139" s="511"/>
      <c r="B139" s="511"/>
      <c r="C139" s="511"/>
      <c r="D139" s="511"/>
      <c r="E139" s="511"/>
      <c r="F139" s="511"/>
      <c r="G139" s="511"/>
      <c r="H139" s="511"/>
      <c r="I139" s="511"/>
      <c r="J139" s="511"/>
      <c r="K139" s="511"/>
      <c r="L139" s="511"/>
      <c r="M139" s="511"/>
      <c r="N139" s="511"/>
      <c r="O139" s="511"/>
      <c r="P139" s="511"/>
      <c r="Q139" s="511"/>
      <c r="R139" s="511"/>
      <c r="S139" s="511"/>
      <c r="T139" s="511"/>
      <c r="U139" s="511"/>
      <c r="V139" s="511"/>
      <c r="W139" s="511"/>
      <c r="X139" s="511"/>
      <c r="Y139" s="511"/>
      <c r="Z139" s="511"/>
      <c r="AA139" s="511"/>
      <c r="AB139" s="511"/>
      <c r="AC139" s="511"/>
      <c r="AD139" s="511"/>
      <c r="AE139" s="511"/>
      <c r="AF139" s="511"/>
      <c r="AG139" s="511"/>
      <c r="AH139" s="511"/>
      <c r="AI139" s="511"/>
      <c r="AJ139" s="511"/>
      <c r="AK139" s="511"/>
      <c r="AL139" s="511"/>
      <c r="AM139" s="511"/>
      <c r="AN139" s="511"/>
      <c r="AO139" s="511"/>
      <c r="AP139" s="511"/>
      <c r="AQ139" s="511"/>
      <c r="AR139" s="511"/>
      <c r="AS139" s="511"/>
      <c r="AT139" s="511"/>
      <c r="AU139" s="511"/>
      <c r="AV139" s="511"/>
      <c r="AW139" s="511"/>
      <c r="AX139" s="511"/>
      <c r="AY139" s="511"/>
      <c r="AZ139" s="511"/>
      <c r="BA139" s="511"/>
      <c r="BB139" s="511"/>
      <c r="BC139" s="511"/>
    </row>
    <row r="140" spans="1:55" ht="16.5" customHeight="1" x14ac:dyDescent="0.3">
      <c r="A140" s="511"/>
      <c r="B140" s="511"/>
      <c r="C140" s="511"/>
      <c r="D140" s="511"/>
      <c r="E140" s="511"/>
      <c r="F140" s="511"/>
      <c r="G140" s="511"/>
      <c r="H140" s="511"/>
      <c r="I140" s="511"/>
      <c r="J140" s="511"/>
      <c r="K140" s="511"/>
      <c r="L140" s="511"/>
      <c r="M140" s="511"/>
      <c r="N140" s="511"/>
      <c r="O140" s="511"/>
      <c r="P140" s="511"/>
      <c r="Q140" s="511"/>
      <c r="R140" s="511"/>
      <c r="S140" s="511"/>
      <c r="T140" s="511"/>
      <c r="U140" s="511"/>
      <c r="V140" s="511"/>
      <c r="W140" s="511"/>
      <c r="X140" s="511"/>
      <c r="Y140" s="511"/>
      <c r="Z140" s="511"/>
      <c r="AA140" s="511"/>
      <c r="AB140" s="511"/>
      <c r="AC140" s="511"/>
      <c r="AD140" s="511"/>
      <c r="AE140" s="511"/>
      <c r="AF140" s="511"/>
      <c r="AG140" s="511"/>
      <c r="AH140" s="511"/>
      <c r="AI140" s="511"/>
      <c r="AJ140" s="511"/>
      <c r="AK140" s="511"/>
      <c r="AL140" s="511"/>
      <c r="AM140" s="511"/>
      <c r="AN140" s="511"/>
      <c r="AO140" s="511"/>
      <c r="AP140" s="511"/>
      <c r="AQ140" s="511"/>
      <c r="AR140" s="511"/>
      <c r="AS140" s="511"/>
      <c r="AT140" s="511"/>
      <c r="AU140" s="511"/>
      <c r="AV140" s="511"/>
      <c r="AW140" s="511"/>
      <c r="AX140" s="511"/>
      <c r="AY140" s="511"/>
      <c r="AZ140" s="511"/>
      <c r="BA140" s="511"/>
      <c r="BB140" s="511"/>
      <c r="BC140" s="511"/>
    </row>
    <row r="141" spans="1:55" ht="16.5" customHeight="1" x14ac:dyDescent="0.3">
      <c r="A141" s="511"/>
      <c r="B141" s="511"/>
      <c r="C141" s="511"/>
      <c r="D141" s="511"/>
      <c r="E141" s="511"/>
      <c r="F141" s="511"/>
      <c r="G141" s="511"/>
      <c r="H141" s="511"/>
      <c r="I141" s="511"/>
      <c r="J141" s="511"/>
      <c r="K141" s="511"/>
      <c r="L141" s="511"/>
      <c r="M141" s="511"/>
      <c r="N141" s="511"/>
      <c r="O141" s="511"/>
      <c r="P141" s="511"/>
      <c r="Q141" s="511"/>
      <c r="R141" s="511"/>
      <c r="S141" s="511"/>
      <c r="T141" s="511"/>
      <c r="U141" s="511"/>
      <c r="V141" s="511"/>
      <c r="W141" s="511"/>
      <c r="X141" s="511"/>
      <c r="Y141" s="511"/>
      <c r="Z141" s="511"/>
      <c r="AA141" s="511"/>
      <c r="AB141" s="511"/>
      <c r="AC141" s="511"/>
      <c r="AD141" s="511"/>
      <c r="AE141" s="511"/>
      <c r="AF141" s="511"/>
      <c r="AG141" s="511"/>
      <c r="AH141" s="511"/>
      <c r="AI141" s="511"/>
      <c r="AJ141" s="511"/>
      <c r="AK141" s="511"/>
      <c r="AL141" s="511"/>
      <c r="AM141" s="511"/>
      <c r="AN141" s="511"/>
      <c r="AO141" s="511"/>
      <c r="AP141" s="511"/>
      <c r="AQ141" s="511"/>
      <c r="AR141" s="511"/>
      <c r="AS141" s="511"/>
      <c r="AT141" s="511"/>
      <c r="AU141" s="511"/>
      <c r="AV141" s="511"/>
      <c r="AW141" s="511"/>
      <c r="AX141" s="511"/>
      <c r="AY141" s="511"/>
      <c r="AZ141" s="511"/>
      <c r="BA141" s="511"/>
      <c r="BB141" s="511"/>
      <c r="BC141" s="511"/>
    </row>
    <row r="142" spans="1:55" ht="16.5" customHeight="1" x14ac:dyDescent="0.3">
      <c r="A142" s="511"/>
      <c r="B142" s="511"/>
      <c r="C142" s="511"/>
      <c r="D142" s="511"/>
      <c r="E142" s="511"/>
      <c r="F142" s="511"/>
      <c r="G142" s="511"/>
      <c r="H142" s="511"/>
      <c r="I142" s="511"/>
      <c r="J142" s="511"/>
      <c r="K142" s="511"/>
      <c r="L142" s="511"/>
      <c r="M142" s="511"/>
      <c r="N142" s="511"/>
      <c r="O142" s="511"/>
      <c r="P142" s="511"/>
      <c r="Q142" s="511"/>
      <c r="R142" s="511"/>
      <c r="S142" s="511"/>
      <c r="T142" s="511"/>
      <c r="U142" s="511"/>
      <c r="V142" s="511"/>
      <c r="W142" s="511"/>
      <c r="X142" s="511"/>
      <c r="Y142" s="511"/>
      <c r="Z142" s="511"/>
      <c r="AA142" s="511"/>
      <c r="AB142" s="511"/>
      <c r="AC142" s="511"/>
      <c r="AD142" s="511"/>
      <c r="AE142" s="511"/>
      <c r="AF142" s="511"/>
      <c r="AG142" s="511"/>
      <c r="AH142" s="511"/>
      <c r="AI142" s="511"/>
      <c r="AJ142" s="511"/>
      <c r="AK142" s="511"/>
      <c r="AL142" s="511"/>
      <c r="AM142" s="511"/>
      <c r="AN142" s="511"/>
      <c r="AO142" s="511"/>
      <c r="AP142" s="511"/>
      <c r="AQ142" s="511"/>
      <c r="AR142" s="511"/>
      <c r="AS142" s="511"/>
      <c r="AT142" s="511"/>
      <c r="AU142" s="511"/>
      <c r="AV142" s="511"/>
      <c r="AW142" s="511"/>
      <c r="AX142" s="511"/>
      <c r="AY142" s="511"/>
      <c r="AZ142" s="511"/>
      <c r="BA142" s="511"/>
      <c r="BB142" s="511"/>
      <c r="BC142" s="511"/>
    </row>
    <row r="143" spans="1:55" ht="16.5" customHeight="1" x14ac:dyDescent="0.3">
      <c r="A143" s="511"/>
      <c r="B143" s="511"/>
      <c r="C143" s="511"/>
      <c r="D143" s="511"/>
      <c r="E143" s="511"/>
      <c r="F143" s="511"/>
      <c r="G143" s="511"/>
      <c r="H143" s="511"/>
      <c r="I143" s="511"/>
      <c r="J143" s="511"/>
      <c r="K143" s="511"/>
      <c r="L143" s="511"/>
      <c r="M143" s="511"/>
      <c r="N143" s="511"/>
      <c r="O143" s="511"/>
      <c r="P143" s="511"/>
      <c r="Q143" s="511"/>
      <c r="R143" s="511"/>
      <c r="S143" s="511"/>
      <c r="T143" s="511"/>
      <c r="U143" s="511"/>
      <c r="V143" s="511"/>
      <c r="W143" s="511"/>
      <c r="X143" s="511"/>
      <c r="Y143" s="511"/>
      <c r="Z143" s="511"/>
      <c r="AA143" s="511"/>
      <c r="AB143" s="511"/>
      <c r="AC143" s="511"/>
      <c r="AD143" s="511"/>
      <c r="AE143" s="511"/>
      <c r="AF143" s="511"/>
      <c r="AG143" s="511"/>
      <c r="AH143" s="511"/>
      <c r="AI143" s="511"/>
      <c r="AJ143" s="511"/>
      <c r="AK143" s="511"/>
      <c r="AL143" s="511"/>
      <c r="AM143" s="511"/>
      <c r="AN143" s="511"/>
      <c r="AO143" s="511"/>
      <c r="AP143" s="511"/>
      <c r="AQ143" s="511"/>
      <c r="AR143" s="511"/>
      <c r="AS143" s="511"/>
      <c r="AT143" s="511"/>
      <c r="AU143" s="511"/>
      <c r="AV143" s="511"/>
      <c r="AW143" s="511"/>
      <c r="AX143" s="511"/>
      <c r="AY143" s="511"/>
      <c r="AZ143" s="511"/>
      <c r="BA143" s="511"/>
      <c r="BB143" s="511"/>
      <c r="BC143" s="511"/>
    </row>
    <row r="144" spans="1:55" ht="16.5" customHeight="1" x14ac:dyDescent="0.3">
      <c r="A144" s="511"/>
      <c r="B144" s="511"/>
      <c r="C144" s="511"/>
      <c r="D144" s="511"/>
      <c r="E144" s="511"/>
      <c r="F144" s="511"/>
      <c r="G144" s="511"/>
      <c r="H144" s="511"/>
      <c r="I144" s="511"/>
      <c r="J144" s="511"/>
      <c r="K144" s="511"/>
      <c r="L144" s="511"/>
      <c r="M144" s="511"/>
      <c r="N144" s="511"/>
      <c r="O144" s="511"/>
      <c r="P144" s="511"/>
      <c r="Q144" s="511"/>
      <c r="R144" s="511"/>
      <c r="S144" s="511"/>
      <c r="T144" s="511"/>
      <c r="U144" s="511"/>
      <c r="V144" s="511"/>
      <c r="W144" s="511"/>
      <c r="X144" s="511"/>
      <c r="Y144" s="511"/>
      <c r="Z144" s="511"/>
      <c r="AA144" s="511"/>
      <c r="AB144" s="511"/>
      <c r="AC144" s="511"/>
      <c r="AD144" s="511"/>
      <c r="AE144" s="511"/>
      <c r="AF144" s="511"/>
      <c r="AG144" s="511"/>
      <c r="AH144" s="511"/>
      <c r="AI144" s="511"/>
      <c r="AJ144" s="511"/>
      <c r="AK144" s="511"/>
      <c r="AL144" s="511"/>
      <c r="AM144" s="511"/>
      <c r="AN144" s="511"/>
      <c r="AO144" s="511"/>
      <c r="AP144" s="511"/>
      <c r="AQ144" s="511"/>
      <c r="AR144" s="511"/>
      <c r="AS144" s="511"/>
      <c r="AT144" s="511"/>
      <c r="AU144" s="511"/>
      <c r="AV144" s="511"/>
      <c r="AW144" s="511"/>
      <c r="AX144" s="511"/>
      <c r="AY144" s="511"/>
      <c r="AZ144" s="511"/>
      <c r="BA144" s="511"/>
      <c r="BB144" s="511"/>
      <c r="BC144" s="511"/>
    </row>
    <row r="145" spans="1:55" ht="16.5" customHeight="1" x14ac:dyDescent="0.3">
      <c r="A145" s="511"/>
      <c r="B145" s="511"/>
      <c r="C145" s="511"/>
      <c r="D145" s="511"/>
      <c r="E145" s="511"/>
      <c r="F145" s="511"/>
      <c r="G145" s="511"/>
      <c r="H145" s="511"/>
      <c r="I145" s="511"/>
      <c r="J145" s="511"/>
      <c r="K145" s="511"/>
      <c r="L145" s="511"/>
      <c r="M145" s="511"/>
      <c r="N145" s="511"/>
      <c r="O145" s="511"/>
      <c r="P145" s="511"/>
      <c r="Q145" s="511"/>
      <c r="R145" s="511"/>
      <c r="S145" s="511"/>
      <c r="T145" s="511"/>
      <c r="U145" s="511"/>
      <c r="V145" s="511"/>
      <c r="W145" s="511"/>
      <c r="X145" s="511"/>
      <c r="Y145" s="511"/>
      <c r="Z145" s="511"/>
      <c r="AA145" s="511"/>
      <c r="AB145" s="511"/>
      <c r="AC145" s="511"/>
      <c r="AD145" s="511"/>
      <c r="AE145" s="511"/>
      <c r="AF145" s="511"/>
      <c r="AG145" s="511"/>
      <c r="AH145" s="511"/>
      <c r="AI145" s="511"/>
      <c r="AJ145" s="511"/>
      <c r="AK145" s="511"/>
      <c r="AL145" s="511"/>
      <c r="AM145" s="511"/>
      <c r="AN145" s="511"/>
      <c r="AO145" s="511"/>
      <c r="AP145" s="511"/>
      <c r="AQ145" s="511"/>
      <c r="AR145" s="511"/>
      <c r="AS145" s="511"/>
      <c r="AT145" s="511"/>
      <c r="AU145" s="511"/>
      <c r="AV145" s="511"/>
      <c r="AW145" s="511"/>
      <c r="AX145" s="511"/>
      <c r="AY145" s="511"/>
      <c r="AZ145" s="511"/>
      <c r="BA145" s="511"/>
      <c r="BB145" s="511"/>
      <c r="BC145" s="511"/>
    </row>
    <row r="146" spans="1:55" ht="16.5" customHeight="1" x14ac:dyDescent="0.3">
      <c r="A146" s="511"/>
      <c r="B146" s="511"/>
      <c r="C146" s="511"/>
      <c r="D146" s="511"/>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c r="AA146" s="511"/>
      <c r="AB146" s="511"/>
      <c r="AC146" s="511"/>
      <c r="AD146" s="511"/>
      <c r="AE146" s="511"/>
      <c r="AF146" s="511"/>
      <c r="AG146" s="511"/>
      <c r="AH146" s="511"/>
      <c r="AI146" s="511"/>
      <c r="AJ146" s="511"/>
      <c r="AK146" s="511"/>
      <c r="AL146" s="511"/>
      <c r="AM146" s="511"/>
      <c r="AN146" s="511"/>
      <c r="AO146" s="511"/>
      <c r="AP146" s="511"/>
      <c r="AQ146" s="511"/>
      <c r="AR146" s="511"/>
      <c r="AS146" s="511"/>
      <c r="AT146" s="511"/>
      <c r="AU146" s="511"/>
      <c r="AV146" s="511"/>
      <c r="AW146" s="511"/>
      <c r="AX146" s="511"/>
      <c r="AY146" s="511"/>
      <c r="AZ146" s="511"/>
      <c r="BA146" s="511"/>
      <c r="BB146" s="511"/>
      <c r="BC146" s="511"/>
    </row>
    <row r="147" spans="1:55" ht="16.5" customHeight="1" x14ac:dyDescent="0.3">
      <c r="A147" s="511"/>
      <c r="B147" s="511"/>
      <c r="C147" s="511"/>
      <c r="D147" s="511"/>
      <c r="E147" s="511"/>
      <c r="F147" s="511"/>
      <c r="G147" s="511"/>
      <c r="H147" s="511"/>
      <c r="I147" s="511"/>
      <c r="J147" s="511"/>
      <c r="K147" s="511"/>
      <c r="L147" s="511"/>
      <c r="M147" s="511"/>
      <c r="N147" s="511"/>
      <c r="O147" s="511"/>
      <c r="P147" s="511"/>
      <c r="Q147" s="511"/>
      <c r="R147" s="511"/>
      <c r="S147" s="511"/>
      <c r="T147" s="511"/>
      <c r="U147" s="511"/>
      <c r="V147" s="511"/>
      <c r="W147" s="511"/>
      <c r="X147" s="511"/>
      <c r="Y147" s="511"/>
      <c r="Z147" s="511"/>
      <c r="AA147" s="511"/>
      <c r="AB147" s="511"/>
      <c r="AC147" s="511"/>
      <c r="AD147" s="511"/>
      <c r="AE147" s="511"/>
      <c r="AF147" s="511"/>
      <c r="AG147" s="511"/>
      <c r="AH147" s="511"/>
      <c r="AI147" s="511"/>
      <c r="AJ147" s="511"/>
      <c r="AK147" s="511"/>
      <c r="AL147" s="511"/>
      <c r="AM147" s="511"/>
      <c r="AN147" s="511"/>
      <c r="AO147" s="511"/>
      <c r="AP147" s="511"/>
      <c r="AQ147" s="511"/>
      <c r="AR147" s="511"/>
      <c r="AS147" s="511"/>
      <c r="AT147" s="511"/>
      <c r="AU147" s="511"/>
      <c r="AV147" s="511"/>
      <c r="AW147" s="511"/>
      <c r="AX147" s="511"/>
      <c r="AY147" s="511"/>
      <c r="AZ147" s="511"/>
      <c r="BA147" s="511"/>
      <c r="BB147" s="511"/>
      <c r="BC147" s="511"/>
    </row>
    <row r="148" spans="1:55" ht="16.5" customHeight="1" x14ac:dyDescent="0.3">
      <c r="A148" s="511"/>
      <c r="B148" s="511"/>
      <c r="C148" s="511"/>
      <c r="D148" s="511"/>
      <c r="E148" s="511"/>
      <c r="F148" s="511"/>
      <c r="G148" s="511"/>
      <c r="H148" s="511"/>
      <c r="I148" s="511"/>
      <c r="J148" s="511"/>
      <c r="K148" s="511"/>
      <c r="L148" s="511"/>
      <c r="M148" s="511"/>
      <c r="N148" s="511"/>
      <c r="O148" s="511"/>
      <c r="P148" s="511"/>
      <c r="Q148" s="511"/>
      <c r="R148" s="511"/>
      <c r="S148" s="511"/>
      <c r="T148" s="511"/>
      <c r="U148" s="511"/>
      <c r="V148" s="511"/>
      <c r="W148" s="511"/>
      <c r="X148" s="511"/>
      <c r="Y148" s="511"/>
      <c r="Z148" s="511"/>
      <c r="AA148" s="511"/>
      <c r="AB148" s="511"/>
      <c r="AC148" s="511"/>
      <c r="AD148" s="511"/>
      <c r="AE148" s="511"/>
      <c r="AF148" s="511"/>
      <c r="AG148" s="511"/>
      <c r="AH148" s="511"/>
      <c r="AI148" s="511"/>
      <c r="AJ148" s="511"/>
      <c r="AK148" s="511"/>
      <c r="AL148" s="511"/>
      <c r="AM148" s="511"/>
      <c r="AN148" s="511"/>
      <c r="AO148" s="511"/>
      <c r="AP148" s="511"/>
      <c r="AQ148" s="511"/>
      <c r="AR148" s="511"/>
      <c r="AS148" s="511"/>
      <c r="AT148" s="511"/>
      <c r="AU148" s="511"/>
      <c r="AV148" s="511"/>
      <c r="AW148" s="511"/>
      <c r="AX148" s="511"/>
      <c r="AY148" s="511"/>
      <c r="AZ148" s="511"/>
      <c r="BA148" s="511"/>
      <c r="BB148" s="511"/>
      <c r="BC148" s="511"/>
    </row>
    <row r="149" spans="1:55" ht="16.5" customHeight="1" x14ac:dyDescent="0.3">
      <c r="A149" s="511"/>
      <c r="B149" s="511"/>
      <c r="C149" s="511"/>
      <c r="D149" s="511"/>
      <c r="E149" s="511"/>
      <c r="F149" s="511"/>
      <c r="G149" s="511"/>
      <c r="H149" s="511"/>
      <c r="I149" s="511"/>
      <c r="J149" s="511"/>
      <c r="K149" s="511"/>
      <c r="L149" s="511"/>
      <c r="M149" s="511"/>
      <c r="N149" s="511"/>
      <c r="O149" s="511"/>
      <c r="P149" s="511"/>
      <c r="Q149" s="511"/>
      <c r="R149" s="511"/>
      <c r="S149" s="511"/>
      <c r="T149" s="511"/>
      <c r="U149" s="511"/>
      <c r="V149" s="511"/>
      <c r="W149" s="511"/>
      <c r="X149" s="511"/>
      <c r="Y149" s="511"/>
      <c r="Z149" s="511"/>
      <c r="AA149" s="511"/>
      <c r="AB149" s="511"/>
      <c r="AC149" s="511"/>
      <c r="AD149" s="511"/>
      <c r="AE149" s="511"/>
      <c r="AF149" s="511"/>
      <c r="AG149" s="511"/>
      <c r="AH149" s="511"/>
      <c r="AI149" s="511"/>
      <c r="AJ149" s="511"/>
      <c r="AK149" s="511"/>
      <c r="AL149" s="511"/>
      <c r="AM149" s="511"/>
      <c r="AN149" s="511"/>
      <c r="AO149" s="511"/>
      <c r="AP149" s="511"/>
      <c r="AQ149" s="511"/>
      <c r="AR149" s="511"/>
      <c r="AS149" s="511"/>
      <c r="AT149" s="511"/>
      <c r="AU149" s="511"/>
      <c r="AV149" s="511"/>
      <c r="AW149" s="511"/>
      <c r="AX149" s="511"/>
      <c r="AY149" s="511"/>
      <c r="AZ149" s="511"/>
      <c r="BA149" s="511"/>
      <c r="BB149" s="511"/>
      <c r="BC149" s="511"/>
    </row>
    <row r="150" spans="1:55" ht="16.5" customHeight="1" x14ac:dyDescent="0.3">
      <c r="A150" s="511"/>
      <c r="B150" s="511"/>
      <c r="C150" s="511"/>
      <c r="D150" s="511"/>
      <c r="E150" s="511"/>
      <c r="F150" s="511"/>
      <c r="G150" s="511"/>
      <c r="H150" s="511"/>
      <c r="I150" s="511"/>
      <c r="J150" s="511"/>
      <c r="K150" s="511"/>
      <c r="L150" s="511"/>
      <c r="M150" s="511"/>
      <c r="N150" s="511"/>
      <c r="O150" s="511"/>
      <c r="P150" s="511"/>
      <c r="Q150" s="511"/>
      <c r="R150" s="511"/>
      <c r="S150" s="511"/>
      <c r="T150" s="511"/>
      <c r="U150" s="511"/>
      <c r="V150" s="511"/>
      <c r="W150" s="511"/>
      <c r="X150" s="511"/>
      <c r="Y150" s="511"/>
      <c r="Z150" s="511"/>
      <c r="AA150" s="511"/>
      <c r="AB150" s="511"/>
      <c r="AC150" s="511"/>
      <c r="AD150" s="511"/>
      <c r="AE150" s="511"/>
      <c r="AF150" s="511"/>
      <c r="AG150" s="511"/>
      <c r="AH150" s="511"/>
      <c r="AI150" s="511"/>
      <c r="AJ150" s="511"/>
      <c r="AK150" s="511"/>
      <c r="AL150" s="511"/>
      <c r="AM150" s="511"/>
      <c r="AN150" s="511"/>
      <c r="AO150" s="511"/>
      <c r="AP150" s="511"/>
      <c r="AQ150" s="511"/>
      <c r="AR150" s="511"/>
      <c r="AS150" s="511"/>
      <c r="AT150" s="511"/>
      <c r="AU150" s="511"/>
      <c r="AV150" s="511"/>
      <c r="AW150" s="511"/>
      <c r="AX150" s="511"/>
      <c r="AY150" s="511"/>
      <c r="AZ150" s="511"/>
      <c r="BA150" s="511"/>
      <c r="BB150" s="511"/>
      <c r="BC150" s="511"/>
    </row>
    <row r="151" spans="1:55" ht="16.5" customHeight="1" x14ac:dyDescent="0.3">
      <c r="A151" s="511"/>
      <c r="B151" s="511"/>
      <c r="C151" s="511"/>
      <c r="D151" s="511"/>
      <c r="E151" s="511"/>
      <c r="F151" s="511"/>
      <c r="G151" s="511"/>
      <c r="H151" s="511"/>
      <c r="I151" s="511"/>
      <c r="J151" s="511"/>
      <c r="K151" s="511"/>
      <c r="L151" s="511"/>
      <c r="M151" s="511"/>
      <c r="N151" s="511"/>
      <c r="O151" s="511"/>
      <c r="P151" s="511"/>
      <c r="Q151" s="511"/>
      <c r="R151" s="511"/>
      <c r="S151" s="511"/>
      <c r="T151" s="511"/>
      <c r="U151" s="511"/>
      <c r="V151" s="511"/>
      <c r="W151" s="511"/>
      <c r="X151" s="511"/>
      <c r="Y151" s="511"/>
      <c r="Z151" s="511"/>
      <c r="AA151" s="511"/>
      <c r="AB151" s="511"/>
      <c r="AC151" s="511"/>
      <c r="AD151" s="511"/>
      <c r="AE151" s="511"/>
      <c r="AF151" s="511"/>
      <c r="AG151" s="511"/>
      <c r="AH151" s="511"/>
      <c r="AI151" s="511"/>
      <c r="AJ151" s="511"/>
      <c r="AK151" s="511"/>
      <c r="AL151" s="511"/>
      <c r="AM151" s="511"/>
      <c r="AN151" s="511"/>
      <c r="AO151" s="511"/>
      <c r="AP151" s="511"/>
      <c r="AQ151" s="511"/>
      <c r="AR151" s="511"/>
      <c r="AS151" s="511"/>
      <c r="AT151" s="511"/>
      <c r="AU151" s="511"/>
      <c r="AV151" s="511"/>
      <c r="AW151" s="511"/>
      <c r="AX151" s="511"/>
      <c r="AY151" s="511"/>
      <c r="AZ151" s="511"/>
      <c r="BA151" s="511"/>
      <c r="BB151" s="511"/>
      <c r="BC151" s="511"/>
    </row>
    <row r="152" spans="1:55" ht="16.5" customHeight="1" x14ac:dyDescent="0.3">
      <c r="A152" s="511"/>
      <c r="B152" s="511"/>
      <c r="C152" s="511"/>
      <c r="D152" s="511"/>
      <c r="E152" s="511"/>
      <c r="F152" s="511"/>
      <c r="G152" s="511"/>
      <c r="H152" s="511"/>
      <c r="I152" s="511"/>
      <c r="J152" s="511"/>
      <c r="K152" s="511"/>
      <c r="L152" s="511"/>
      <c r="M152" s="511"/>
      <c r="N152" s="511"/>
      <c r="O152" s="511"/>
      <c r="P152" s="511"/>
      <c r="Q152" s="511"/>
      <c r="R152" s="511"/>
      <c r="S152" s="511"/>
      <c r="T152" s="511"/>
      <c r="U152" s="511"/>
      <c r="V152" s="511"/>
      <c r="W152" s="511"/>
      <c r="X152" s="511"/>
      <c r="Y152" s="511"/>
      <c r="Z152" s="511"/>
      <c r="AA152" s="511"/>
      <c r="AB152" s="511"/>
      <c r="AC152" s="511"/>
      <c r="AD152" s="511"/>
      <c r="AE152" s="511"/>
      <c r="AF152" s="511"/>
      <c r="AG152" s="511"/>
      <c r="AH152" s="511"/>
      <c r="AI152" s="511"/>
      <c r="AJ152" s="511"/>
      <c r="AK152" s="511"/>
      <c r="AL152" s="511"/>
      <c r="AM152" s="511"/>
      <c r="AN152" s="511"/>
      <c r="AO152" s="511"/>
      <c r="AP152" s="511"/>
      <c r="AQ152" s="511"/>
      <c r="AR152" s="511"/>
      <c r="AS152" s="511"/>
      <c r="AT152" s="511"/>
      <c r="AU152" s="511"/>
      <c r="AV152" s="511"/>
      <c r="AW152" s="511"/>
      <c r="AX152" s="511"/>
      <c r="AY152" s="511"/>
      <c r="AZ152" s="511"/>
      <c r="BA152" s="511"/>
      <c r="BB152" s="511"/>
      <c r="BC152" s="511"/>
    </row>
    <row r="153" spans="1:55" ht="16.5" customHeight="1" x14ac:dyDescent="0.3">
      <c r="A153" s="511"/>
      <c r="B153" s="511"/>
      <c r="C153" s="511"/>
      <c r="D153" s="511"/>
      <c r="E153" s="511"/>
      <c r="F153" s="511"/>
      <c r="G153" s="511"/>
      <c r="H153" s="511"/>
      <c r="I153" s="511"/>
      <c r="J153" s="511"/>
      <c r="K153" s="511"/>
      <c r="L153" s="511"/>
      <c r="M153" s="511"/>
      <c r="N153" s="511"/>
      <c r="O153" s="511"/>
      <c r="P153" s="511"/>
      <c r="Q153" s="511"/>
      <c r="R153" s="511"/>
      <c r="S153" s="511"/>
      <c r="T153" s="511"/>
      <c r="U153" s="511"/>
      <c r="V153" s="511"/>
      <c r="W153" s="511"/>
      <c r="X153" s="511"/>
      <c r="Y153" s="511"/>
      <c r="Z153" s="511"/>
      <c r="AA153" s="511"/>
      <c r="AB153" s="511"/>
      <c r="AC153" s="511"/>
      <c r="AD153" s="511"/>
      <c r="AE153" s="511"/>
      <c r="AF153" s="511"/>
      <c r="AG153" s="511"/>
      <c r="AH153" s="511"/>
      <c r="AI153" s="511"/>
      <c r="AJ153" s="511"/>
      <c r="AK153" s="511"/>
      <c r="AL153" s="511"/>
      <c r="AM153" s="511"/>
      <c r="AN153" s="511"/>
      <c r="AO153" s="511"/>
      <c r="AP153" s="511"/>
      <c r="AQ153" s="511"/>
      <c r="AR153" s="511"/>
      <c r="AS153" s="511"/>
      <c r="AT153" s="511"/>
      <c r="AU153" s="511"/>
      <c r="AV153" s="511"/>
      <c r="AW153" s="511"/>
      <c r="AX153" s="511"/>
      <c r="AY153" s="511"/>
      <c r="AZ153" s="511"/>
      <c r="BA153" s="511"/>
      <c r="BB153" s="511"/>
      <c r="BC153" s="511"/>
    </row>
    <row r="154" spans="1:55" ht="16.5" customHeight="1" x14ac:dyDescent="0.3">
      <c r="A154" s="511"/>
      <c r="B154" s="511"/>
      <c r="C154" s="511"/>
      <c r="D154" s="511"/>
      <c r="E154" s="511"/>
      <c r="F154" s="511"/>
      <c r="G154" s="511"/>
      <c r="H154" s="511"/>
      <c r="I154" s="511"/>
      <c r="J154" s="511"/>
      <c r="K154" s="511"/>
      <c r="L154" s="511"/>
      <c r="M154" s="511"/>
      <c r="N154" s="511"/>
      <c r="O154" s="511"/>
      <c r="P154" s="511"/>
      <c r="Q154" s="511"/>
      <c r="R154" s="511"/>
      <c r="S154" s="511"/>
      <c r="T154" s="511"/>
      <c r="U154" s="511"/>
      <c r="V154" s="511"/>
      <c r="W154" s="511"/>
      <c r="X154" s="511"/>
      <c r="Y154" s="511"/>
      <c r="Z154" s="511"/>
      <c r="AA154" s="511"/>
      <c r="AB154" s="511"/>
      <c r="AC154" s="511"/>
      <c r="AD154" s="511"/>
      <c r="AE154" s="511"/>
      <c r="AF154" s="511"/>
      <c r="AG154" s="511"/>
      <c r="AH154" s="511"/>
      <c r="AI154" s="511"/>
      <c r="AJ154" s="511"/>
      <c r="AK154" s="511"/>
      <c r="AL154" s="511"/>
      <c r="AM154" s="511"/>
      <c r="AN154" s="511"/>
      <c r="AO154" s="511"/>
      <c r="AP154" s="511"/>
      <c r="AQ154" s="511"/>
      <c r="AR154" s="511"/>
      <c r="AS154" s="511"/>
      <c r="AT154" s="511"/>
      <c r="AU154" s="511"/>
      <c r="AV154" s="511"/>
      <c r="AW154" s="511"/>
      <c r="AX154" s="511"/>
      <c r="AY154" s="511"/>
      <c r="AZ154" s="511"/>
      <c r="BA154" s="511"/>
      <c r="BB154" s="511"/>
      <c r="BC154" s="511"/>
    </row>
    <row r="155" spans="1:55" ht="16.5" customHeight="1" x14ac:dyDescent="0.3">
      <c r="A155" s="511"/>
      <c r="B155" s="511"/>
      <c r="C155" s="511"/>
      <c r="D155" s="511"/>
      <c r="E155" s="511"/>
      <c r="F155" s="511"/>
      <c r="G155" s="511"/>
      <c r="H155" s="511"/>
      <c r="I155" s="511"/>
      <c r="J155" s="511"/>
      <c r="K155" s="511"/>
      <c r="L155" s="511"/>
      <c r="M155" s="511"/>
      <c r="N155" s="511"/>
      <c r="O155" s="511"/>
      <c r="P155" s="511"/>
      <c r="Q155" s="511"/>
      <c r="R155" s="511"/>
      <c r="S155" s="511"/>
      <c r="T155" s="511"/>
      <c r="U155" s="511"/>
      <c r="V155" s="511"/>
      <c r="W155" s="511"/>
      <c r="X155" s="511"/>
      <c r="Y155" s="511"/>
      <c r="Z155" s="511"/>
      <c r="AA155" s="511"/>
      <c r="AB155" s="511"/>
      <c r="AC155" s="511"/>
      <c r="AD155" s="511"/>
      <c r="AE155" s="511"/>
      <c r="AF155" s="511"/>
      <c r="AG155" s="511"/>
      <c r="AH155" s="511"/>
      <c r="AI155" s="511"/>
      <c r="AJ155" s="511"/>
      <c r="AK155" s="511"/>
      <c r="AL155" s="511"/>
      <c r="AM155" s="511"/>
      <c r="AN155" s="511"/>
      <c r="AO155" s="511"/>
      <c r="AP155" s="511"/>
      <c r="AQ155" s="511"/>
      <c r="AR155" s="511"/>
      <c r="AS155" s="511"/>
      <c r="AT155" s="511"/>
      <c r="AU155" s="511"/>
      <c r="AV155" s="511"/>
      <c r="AW155" s="511"/>
      <c r="AX155" s="511"/>
      <c r="AY155" s="511"/>
      <c r="AZ155" s="511"/>
      <c r="BA155" s="511"/>
      <c r="BB155" s="511"/>
      <c r="BC155" s="511"/>
    </row>
    <row r="156" spans="1:55" ht="16.5" customHeight="1" x14ac:dyDescent="0.3">
      <c r="A156" s="511"/>
      <c r="B156" s="511"/>
      <c r="C156" s="511"/>
      <c r="D156" s="511"/>
      <c r="E156" s="511"/>
      <c r="F156" s="511"/>
      <c r="G156" s="511"/>
      <c r="H156" s="511"/>
      <c r="I156" s="511"/>
      <c r="J156" s="511"/>
      <c r="K156" s="511"/>
      <c r="L156" s="511"/>
      <c r="M156" s="511"/>
      <c r="N156" s="511"/>
      <c r="O156" s="511"/>
      <c r="P156" s="511"/>
      <c r="Q156" s="511"/>
      <c r="R156" s="511"/>
      <c r="S156" s="511"/>
      <c r="T156" s="511"/>
      <c r="U156" s="511"/>
      <c r="V156" s="511"/>
      <c r="W156" s="511"/>
      <c r="X156" s="511"/>
      <c r="Y156" s="511"/>
      <c r="Z156" s="511"/>
      <c r="AA156" s="511"/>
      <c r="AB156" s="511"/>
      <c r="AC156" s="511"/>
      <c r="AD156" s="511"/>
      <c r="AE156" s="511"/>
      <c r="AF156" s="511"/>
      <c r="AG156" s="511"/>
      <c r="AH156" s="511"/>
      <c r="AI156" s="511"/>
      <c r="AJ156" s="511"/>
      <c r="AK156" s="511"/>
      <c r="AL156" s="511"/>
      <c r="AM156" s="511"/>
      <c r="AN156" s="511"/>
      <c r="AO156" s="511"/>
      <c r="AP156" s="511"/>
      <c r="AQ156" s="511"/>
      <c r="AR156" s="511"/>
      <c r="AS156" s="511"/>
      <c r="AT156" s="511"/>
      <c r="AU156" s="511"/>
      <c r="AV156" s="511"/>
      <c r="AW156" s="511"/>
      <c r="AX156" s="511"/>
      <c r="AY156" s="511"/>
      <c r="AZ156" s="511"/>
      <c r="BA156" s="511"/>
      <c r="BB156" s="511"/>
      <c r="BC156" s="511"/>
    </row>
    <row r="157" spans="1:55" ht="16.5" customHeight="1" x14ac:dyDescent="0.3">
      <c r="A157" s="511"/>
      <c r="B157" s="511"/>
      <c r="C157" s="511"/>
      <c r="D157" s="511"/>
      <c r="E157" s="511"/>
      <c r="F157" s="511"/>
      <c r="G157" s="511"/>
      <c r="H157" s="511"/>
      <c r="I157" s="511"/>
      <c r="J157" s="511"/>
      <c r="K157" s="511"/>
      <c r="L157" s="511"/>
      <c r="M157" s="511"/>
      <c r="N157" s="511"/>
      <c r="O157" s="511"/>
      <c r="P157" s="511"/>
      <c r="Q157" s="511"/>
      <c r="R157" s="511"/>
      <c r="S157" s="511"/>
      <c r="T157" s="511"/>
      <c r="U157" s="511"/>
      <c r="V157" s="511"/>
      <c r="W157" s="511"/>
      <c r="X157" s="511"/>
      <c r="Y157" s="511"/>
      <c r="Z157" s="511"/>
      <c r="AA157" s="511"/>
      <c r="AB157" s="511"/>
      <c r="AC157" s="511"/>
      <c r="AD157" s="511"/>
      <c r="AE157" s="511"/>
      <c r="AF157" s="511"/>
      <c r="AG157" s="511"/>
      <c r="AH157" s="511"/>
      <c r="AI157" s="511"/>
      <c r="AJ157" s="511"/>
      <c r="AK157" s="511"/>
      <c r="AL157" s="511"/>
      <c r="AM157" s="511"/>
      <c r="AN157" s="511"/>
      <c r="AO157" s="511"/>
      <c r="AP157" s="511"/>
      <c r="AQ157" s="511"/>
      <c r="AR157" s="511"/>
      <c r="AS157" s="511"/>
      <c r="AT157" s="511"/>
      <c r="AU157" s="511"/>
      <c r="AV157" s="511"/>
      <c r="AW157" s="511"/>
      <c r="AX157" s="511"/>
      <c r="AY157" s="511"/>
      <c r="AZ157" s="511"/>
      <c r="BA157" s="511"/>
      <c r="BB157" s="511"/>
      <c r="BC157" s="511"/>
    </row>
    <row r="158" spans="1:55" ht="16.5" customHeight="1" x14ac:dyDescent="0.3">
      <c r="A158" s="511"/>
      <c r="B158" s="511"/>
      <c r="C158" s="511"/>
      <c r="D158" s="511"/>
      <c r="E158" s="511"/>
      <c r="F158" s="511"/>
      <c r="G158" s="511"/>
      <c r="H158" s="511"/>
      <c r="I158" s="511"/>
      <c r="J158" s="511"/>
      <c r="K158" s="511"/>
      <c r="L158" s="511"/>
      <c r="M158" s="511"/>
      <c r="N158" s="511"/>
      <c r="O158" s="511"/>
      <c r="P158" s="511"/>
      <c r="Q158" s="511"/>
      <c r="R158" s="511"/>
      <c r="S158" s="511"/>
      <c r="T158" s="511"/>
      <c r="U158" s="511"/>
      <c r="V158" s="511"/>
      <c r="W158" s="511"/>
      <c r="X158" s="511"/>
      <c r="Y158" s="511"/>
      <c r="Z158" s="511"/>
      <c r="AA158" s="511"/>
      <c r="AB158" s="511"/>
      <c r="AC158" s="511"/>
      <c r="AD158" s="511"/>
      <c r="AE158" s="511"/>
      <c r="AF158" s="511"/>
      <c r="AG158" s="511"/>
      <c r="AH158" s="511"/>
      <c r="AI158" s="511"/>
      <c r="AJ158" s="511"/>
      <c r="AK158" s="511"/>
      <c r="AL158" s="511"/>
      <c r="AM158" s="511"/>
      <c r="AN158" s="511"/>
      <c r="AO158" s="511"/>
      <c r="AP158" s="511"/>
      <c r="AQ158" s="511"/>
      <c r="AR158" s="511"/>
      <c r="AS158" s="511"/>
      <c r="AT158" s="511"/>
      <c r="AU158" s="511"/>
      <c r="AV158" s="511"/>
      <c r="AW158" s="511"/>
      <c r="AX158" s="511"/>
      <c r="AY158" s="511"/>
      <c r="AZ158" s="511"/>
      <c r="BA158" s="511"/>
      <c r="BB158" s="511"/>
      <c r="BC158" s="511"/>
    </row>
    <row r="159" spans="1:55" ht="16.5" customHeight="1" x14ac:dyDescent="0.3">
      <c r="A159" s="511"/>
      <c r="B159" s="511"/>
      <c r="C159" s="511"/>
      <c r="D159" s="511"/>
      <c r="E159" s="511"/>
      <c r="F159" s="511"/>
      <c r="G159" s="511"/>
      <c r="H159" s="511"/>
      <c r="I159" s="511"/>
      <c r="J159" s="511"/>
      <c r="K159" s="511"/>
      <c r="L159" s="511"/>
      <c r="M159" s="511"/>
      <c r="N159" s="511"/>
      <c r="O159" s="511"/>
      <c r="P159" s="511"/>
      <c r="Q159" s="511"/>
      <c r="R159" s="511"/>
      <c r="S159" s="511"/>
      <c r="T159" s="511"/>
      <c r="U159" s="511"/>
      <c r="V159" s="511"/>
      <c r="W159" s="511"/>
      <c r="X159" s="511"/>
      <c r="Y159" s="511"/>
      <c r="Z159" s="511"/>
      <c r="AA159" s="511"/>
      <c r="AB159" s="511"/>
      <c r="AC159" s="511"/>
      <c r="AD159" s="511"/>
      <c r="AE159" s="511"/>
      <c r="AF159" s="511"/>
      <c r="AG159" s="511"/>
      <c r="AH159" s="511"/>
      <c r="AI159" s="511"/>
      <c r="AJ159" s="511"/>
      <c r="AK159" s="511"/>
      <c r="AL159" s="511"/>
      <c r="AM159" s="511"/>
      <c r="AN159" s="511"/>
      <c r="AO159" s="511"/>
      <c r="AP159" s="511"/>
      <c r="AQ159" s="511"/>
      <c r="AR159" s="511"/>
      <c r="AS159" s="511"/>
      <c r="AT159" s="511"/>
      <c r="AU159" s="511"/>
      <c r="AV159" s="511"/>
      <c r="AW159" s="511"/>
      <c r="AX159" s="511"/>
      <c r="AY159" s="511"/>
      <c r="AZ159" s="511"/>
      <c r="BA159" s="511"/>
      <c r="BB159" s="511"/>
      <c r="BC159" s="511"/>
    </row>
    <row r="160" spans="1:55" ht="16.5" customHeight="1" x14ac:dyDescent="0.3">
      <c r="A160" s="511"/>
      <c r="B160" s="511"/>
      <c r="C160" s="511"/>
      <c r="D160" s="511"/>
      <c r="E160" s="511"/>
      <c r="F160" s="511"/>
      <c r="G160" s="511"/>
      <c r="H160" s="511"/>
      <c r="I160" s="511"/>
      <c r="J160" s="511"/>
      <c r="K160" s="511"/>
      <c r="L160" s="511"/>
      <c r="M160" s="511"/>
      <c r="N160" s="511"/>
      <c r="O160" s="511"/>
      <c r="P160" s="511"/>
      <c r="Q160" s="511"/>
      <c r="R160" s="511"/>
      <c r="S160" s="511"/>
      <c r="T160" s="511"/>
      <c r="U160" s="511"/>
      <c r="V160" s="511"/>
      <c r="W160" s="511"/>
      <c r="X160" s="511"/>
      <c r="Y160" s="511"/>
      <c r="Z160" s="511"/>
      <c r="AA160" s="511"/>
      <c r="AB160" s="511"/>
      <c r="AC160" s="511"/>
      <c r="AD160" s="511"/>
      <c r="AE160" s="511"/>
      <c r="AF160" s="511"/>
      <c r="AG160" s="511"/>
      <c r="AH160" s="511"/>
      <c r="AI160" s="511"/>
      <c r="AJ160" s="511"/>
      <c r="AK160" s="511"/>
      <c r="AL160" s="511"/>
      <c r="AM160" s="511"/>
      <c r="AN160" s="511"/>
      <c r="AO160" s="511"/>
      <c r="AP160" s="511"/>
      <c r="AQ160" s="511"/>
      <c r="AR160" s="511"/>
      <c r="AS160" s="511"/>
      <c r="AT160" s="511"/>
      <c r="AU160" s="511"/>
      <c r="AV160" s="511"/>
      <c r="AW160" s="511"/>
      <c r="AX160" s="511"/>
      <c r="AY160" s="511"/>
      <c r="AZ160" s="511"/>
      <c r="BA160" s="511"/>
      <c r="BB160" s="511"/>
      <c r="BC160" s="511"/>
    </row>
    <row r="161" spans="1:55" ht="16.5" customHeight="1" x14ac:dyDescent="0.3">
      <c r="A161" s="511"/>
      <c r="B161" s="511"/>
      <c r="C161" s="511"/>
      <c r="D161" s="511"/>
      <c r="E161" s="511"/>
      <c r="F161" s="511"/>
      <c r="G161" s="511"/>
      <c r="H161" s="511"/>
      <c r="I161" s="511"/>
      <c r="J161" s="511"/>
      <c r="K161" s="511"/>
      <c r="L161" s="511"/>
      <c r="M161" s="511"/>
      <c r="N161" s="511"/>
      <c r="O161" s="511"/>
      <c r="P161" s="511"/>
      <c r="Q161" s="511"/>
      <c r="R161" s="511"/>
      <c r="S161" s="511"/>
      <c r="T161" s="511"/>
      <c r="U161" s="511"/>
      <c r="V161" s="511"/>
      <c r="W161" s="511"/>
      <c r="X161" s="511"/>
      <c r="Y161" s="511"/>
      <c r="Z161" s="511"/>
      <c r="AA161" s="511"/>
      <c r="AB161" s="511"/>
      <c r="AC161" s="511"/>
      <c r="AD161" s="511"/>
      <c r="AE161" s="511"/>
      <c r="AF161" s="511"/>
      <c r="AG161" s="511"/>
      <c r="AH161" s="511"/>
      <c r="AI161" s="511"/>
      <c r="AJ161" s="511"/>
      <c r="AK161" s="511"/>
      <c r="AL161" s="511"/>
      <c r="AM161" s="511"/>
      <c r="AN161" s="511"/>
      <c r="AO161" s="511"/>
      <c r="AP161" s="511"/>
      <c r="AQ161" s="511"/>
      <c r="AR161" s="511"/>
      <c r="AS161" s="511"/>
      <c r="AT161" s="511"/>
      <c r="AU161" s="511"/>
      <c r="AV161" s="511"/>
      <c r="AW161" s="511"/>
      <c r="AX161" s="511"/>
      <c r="AY161" s="511"/>
      <c r="AZ161" s="511"/>
      <c r="BA161" s="511"/>
      <c r="BB161" s="511"/>
      <c r="BC161" s="511"/>
    </row>
    <row r="162" spans="1:55" ht="16.5" customHeight="1" x14ac:dyDescent="0.3">
      <c r="A162" s="511"/>
      <c r="B162" s="511"/>
      <c r="C162" s="511"/>
      <c r="D162" s="511"/>
      <c r="E162" s="511"/>
      <c r="F162" s="511"/>
      <c r="G162" s="511"/>
      <c r="H162" s="511"/>
      <c r="I162" s="511"/>
      <c r="J162" s="511"/>
      <c r="K162" s="511"/>
      <c r="L162" s="511"/>
      <c r="M162" s="511"/>
      <c r="N162" s="511"/>
      <c r="O162" s="511"/>
      <c r="P162" s="511"/>
      <c r="Q162" s="511"/>
      <c r="R162" s="511"/>
      <c r="S162" s="511"/>
      <c r="T162" s="511"/>
      <c r="U162" s="511"/>
      <c r="V162" s="511"/>
      <c r="W162" s="511"/>
      <c r="X162" s="511"/>
      <c r="Y162" s="511"/>
      <c r="Z162" s="511"/>
      <c r="AA162" s="511"/>
      <c r="AB162" s="511"/>
      <c r="AC162" s="511"/>
      <c r="AD162" s="511"/>
      <c r="AE162" s="511"/>
      <c r="AF162" s="511"/>
      <c r="AG162" s="511"/>
      <c r="AH162" s="511"/>
      <c r="AI162" s="511"/>
      <c r="AJ162" s="511"/>
      <c r="AK162" s="511"/>
      <c r="AL162" s="511"/>
      <c r="AM162" s="511"/>
      <c r="AN162" s="511"/>
      <c r="AO162" s="511"/>
      <c r="AP162" s="511"/>
      <c r="AQ162" s="511"/>
      <c r="AR162" s="511"/>
      <c r="AS162" s="511"/>
      <c r="AT162" s="511"/>
      <c r="AU162" s="511"/>
      <c r="AV162" s="511"/>
      <c r="AW162" s="511"/>
      <c r="AX162" s="511"/>
      <c r="AY162" s="511"/>
      <c r="AZ162" s="511"/>
      <c r="BA162" s="511"/>
      <c r="BB162" s="511"/>
      <c r="BC162" s="511"/>
    </row>
    <row r="163" spans="1:55" ht="16.5" customHeight="1" x14ac:dyDescent="0.3">
      <c r="A163" s="511"/>
      <c r="B163" s="511"/>
      <c r="C163" s="511"/>
      <c r="D163" s="511"/>
      <c r="E163" s="511"/>
      <c r="F163" s="511"/>
      <c r="G163" s="511"/>
      <c r="H163" s="511"/>
      <c r="I163" s="511"/>
      <c r="J163" s="511"/>
      <c r="K163" s="511"/>
      <c r="L163" s="511"/>
      <c r="M163" s="511"/>
      <c r="N163" s="511"/>
      <c r="O163" s="511"/>
      <c r="P163" s="511"/>
      <c r="Q163" s="511"/>
      <c r="R163" s="511"/>
      <c r="S163" s="511"/>
      <c r="T163" s="511"/>
      <c r="U163" s="511"/>
      <c r="V163" s="511"/>
      <c r="W163" s="511"/>
      <c r="X163" s="511"/>
      <c r="Y163" s="511"/>
      <c r="Z163" s="511"/>
      <c r="AA163" s="511"/>
      <c r="AB163" s="511"/>
      <c r="AC163" s="511"/>
      <c r="AD163" s="511"/>
      <c r="AE163" s="511"/>
      <c r="AF163" s="511"/>
      <c r="AG163" s="511"/>
      <c r="AH163" s="511"/>
      <c r="AI163" s="511"/>
      <c r="AJ163" s="511"/>
      <c r="AK163" s="511"/>
      <c r="AL163" s="511"/>
      <c r="AM163" s="511"/>
      <c r="AN163" s="511"/>
      <c r="AO163" s="511"/>
      <c r="AP163" s="511"/>
      <c r="AQ163" s="511"/>
      <c r="AR163" s="511"/>
      <c r="AS163" s="511"/>
      <c r="AT163" s="511"/>
      <c r="AU163" s="511"/>
      <c r="AV163" s="511"/>
      <c r="AW163" s="511"/>
      <c r="AX163" s="511"/>
      <c r="AY163" s="511"/>
      <c r="AZ163" s="511"/>
      <c r="BA163" s="511"/>
      <c r="BB163" s="511"/>
      <c r="BC163" s="511"/>
    </row>
    <row r="164" spans="1:55" ht="16.5" customHeight="1" x14ac:dyDescent="0.3">
      <c r="A164" s="511"/>
      <c r="B164" s="511"/>
      <c r="C164" s="511"/>
      <c r="D164" s="511"/>
      <c r="E164" s="511"/>
      <c r="F164" s="511"/>
      <c r="G164" s="511"/>
      <c r="H164" s="511"/>
      <c r="I164" s="511"/>
      <c r="J164" s="511"/>
      <c r="K164" s="511"/>
      <c r="L164" s="511"/>
      <c r="M164" s="511"/>
      <c r="N164" s="511"/>
      <c r="O164" s="511"/>
      <c r="P164" s="511"/>
      <c r="Q164" s="511"/>
      <c r="R164" s="511"/>
      <c r="S164" s="511"/>
      <c r="T164" s="511"/>
      <c r="U164" s="511"/>
      <c r="V164" s="511"/>
      <c r="W164" s="511"/>
      <c r="X164" s="511"/>
      <c r="Y164" s="511"/>
      <c r="Z164" s="511"/>
      <c r="AA164" s="511"/>
      <c r="AB164" s="511"/>
      <c r="AC164" s="511"/>
      <c r="AD164" s="511"/>
      <c r="AE164" s="511"/>
      <c r="AF164" s="511"/>
      <c r="AG164" s="511"/>
      <c r="AH164" s="511"/>
      <c r="AI164" s="511"/>
      <c r="AJ164" s="511"/>
      <c r="AK164" s="511"/>
      <c r="AL164" s="511"/>
      <c r="AM164" s="511"/>
      <c r="AN164" s="511"/>
      <c r="AO164" s="511"/>
      <c r="AP164" s="511"/>
      <c r="AQ164" s="511"/>
      <c r="AR164" s="511"/>
      <c r="AS164" s="511"/>
      <c r="AT164" s="511"/>
      <c r="AU164" s="511"/>
      <c r="AV164" s="511"/>
      <c r="AW164" s="511"/>
      <c r="AX164" s="511"/>
      <c r="AY164" s="511"/>
      <c r="AZ164" s="511"/>
      <c r="BA164" s="511"/>
      <c r="BB164" s="511"/>
      <c r="BC164" s="511"/>
    </row>
    <row r="165" spans="1:55" ht="16.5" customHeight="1" x14ac:dyDescent="0.3">
      <c r="A165" s="511"/>
      <c r="B165" s="511"/>
      <c r="C165" s="511"/>
      <c r="D165" s="511"/>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c r="AA165" s="511"/>
      <c r="AB165" s="511"/>
      <c r="AC165" s="511"/>
      <c r="AD165" s="511"/>
      <c r="AE165" s="511"/>
      <c r="AF165" s="511"/>
      <c r="AG165" s="511"/>
      <c r="AH165" s="511"/>
      <c r="AI165" s="511"/>
      <c r="AJ165" s="511"/>
      <c r="AK165" s="511"/>
      <c r="AL165" s="511"/>
      <c r="AM165" s="511"/>
      <c r="AN165" s="511"/>
      <c r="AO165" s="511"/>
      <c r="AP165" s="511"/>
      <c r="AQ165" s="511"/>
      <c r="AR165" s="511"/>
      <c r="AS165" s="511"/>
      <c r="AT165" s="511"/>
      <c r="AU165" s="511"/>
      <c r="AV165" s="511"/>
      <c r="AW165" s="511"/>
      <c r="AX165" s="511"/>
      <c r="AY165" s="511"/>
      <c r="AZ165" s="511"/>
      <c r="BA165" s="511"/>
      <c r="BB165" s="511"/>
      <c r="BC165" s="511"/>
    </row>
    <row r="166" spans="1:55" ht="16.5" customHeight="1" x14ac:dyDescent="0.3">
      <c r="A166" s="511"/>
      <c r="B166" s="511"/>
      <c r="C166" s="511"/>
      <c r="D166" s="511"/>
      <c r="E166" s="511"/>
      <c r="F166" s="511"/>
      <c r="G166" s="511"/>
      <c r="H166" s="511"/>
      <c r="I166" s="511"/>
      <c r="J166" s="511"/>
      <c r="K166" s="511"/>
      <c r="L166" s="511"/>
      <c r="M166" s="511"/>
      <c r="N166" s="511"/>
      <c r="O166" s="511"/>
      <c r="P166" s="511"/>
      <c r="Q166" s="511"/>
      <c r="R166" s="511"/>
      <c r="S166" s="511"/>
      <c r="T166" s="511"/>
      <c r="U166" s="511"/>
      <c r="V166" s="511"/>
      <c r="W166" s="511"/>
      <c r="X166" s="511"/>
      <c r="Y166" s="511"/>
      <c r="Z166" s="511"/>
      <c r="AA166" s="511"/>
      <c r="AB166" s="511"/>
      <c r="AC166" s="511"/>
      <c r="AD166" s="511"/>
      <c r="AE166" s="511"/>
      <c r="AF166" s="511"/>
      <c r="AG166" s="511"/>
      <c r="AH166" s="511"/>
      <c r="AI166" s="511"/>
      <c r="AJ166" s="511"/>
      <c r="AK166" s="511"/>
      <c r="AL166" s="511"/>
      <c r="AM166" s="511"/>
      <c r="AN166" s="511"/>
      <c r="AO166" s="511"/>
      <c r="AP166" s="511"/>
      <c r="AQ166" s="511"/>
      <c r="AR166" s="511"/>
      <c r="AS166" s="511"/>
      <c r="AT166" s="511"/>
      <c r="AU166" s="511"/>
      <c r="AV166" s="511"/>
      <c r="AW166" s="511"/>
      <c r="AX166" s="511"/>
      <c r="AY166" s="511"/>
      <c r="AZ166" s="511"/>
      <c r="BA166" s="511"/>
      <c r="BB166" s="511"/>
      <c r="BC166" s="511"/>
    </row>
    <row r="167" spans="1:55" ht="16.5" customHeight="1" x14ac:dyDescent="0.3">
      <c r="A167" s="511"/>
      <c r="B167" s="511"/>
      <c r="C167" s="511"/>
      <c r="D167" s="511"/>
      <c r="E167" s="511"/>
      <c r="F167" s="511"/>
      <c r="G167" s="511"/>
      <c r="H167" s="511"/>
      <c r="I167" s="511"/>
      <c r="J167" s="511"/>
      <c r="K167" s="511"/>
      <c r="L167" s="511"/>
      <c r="M167" s="511"/>
      <c r="N167" s="511"/>
      <c r="O167" s="511"/>
      <c r="P167" s="511"/>
      <c r="Q167" s="511"/>
      <c r="R167" s="511"/>
      <c r="S167" s="511"/>
      <c r="T167" s="511"/>
      <c r="U167" s="511"/>
      <c r="V167" s="511"/>
      <c r="W167" s="511"/>
      <c r="X167" s="511"/>
      <c r="Y167" s="511"/>
      <c r="Z167" s="511"/>
      <c r="AA167" s="511"/>
      <c r="AB167" s="511"/>
      <c r="AC167" s="511"/>
      <c r="AD167" s="511"/>
      <c r="AE167" s="511"/>
      <c r="AF167" s="511"/>
      <c r="AG167" s="511"/>
      <c r="AH167" s="511"/>
      <c r="AI167" s="511"/>
      <c r="AJ167" s="511"/>
      <c r="AK167" s="511"/>
      <c r="AL167" s="511"/>
      <c r="AM167" s="511"/>
      <c r="AN167" s="511"/>
      <c r="AO167" s="511"/>
      <c r="AP167" s="511"/>
      <c r="AQ167" s="511"/>
      <c r="AR167" s="511"/>
      <c r="AS167" s="511"/>
      <c r="AT167" s="511"/>
      <c r="AU167" s="511"/>
      <c r="AV167" s="511"/>
      <c r="AW167" s="511"/>
      <c r="AX167" s="511"/>
      <c r="AY167" s="511"/>
      <c r="AZ167" s="511"/>
      <c r="BA167" s="511"/>
      <c r="BB167" s="511"/>
      <c r="BC167" s="511"/>
    </row>
    <row r="168" spans="1:55" ht="16.5" customHeight="1" x14ac:dyDescent="0.3">
      <c r="A168" s="511"/>
      <c r="B168" s="511"/>
      <c r="C168" s="511"/>
      <c r="D168" s="511"/>
      <c r="E168" s="511"/>
      <c r="F168" s="511"/>
      <c r="G168" s="511"/>
      <c r="H168" s="511"/>
      <c r="I168" s="511"/>
      <c r="J168" s="511"/>
      <c r="K168" s="511"/>
      <c r="L168" s="511"/>
      <c r="M168" s="511"/>
      <c r="N168" s="511"/>
      <c r="O168" s="511"/>
      <c r="P168" s="511"/>
      <c r="Q168" s="511"/>
      <c r="R168" s="511"/>
      <c r="S168" s="511"/>
      <c r="T168" s="511"/>
      <c r="U168" s="511"/>
      <c r="V168" s="511"/>
      <c r="W168" s="511"/>
      <c r="X168" s="511"/>
      <c r="Y168" s="511"/>
      <c r="Z168" s="511"/>
      <c r="AA168" s="511"/>
      <c r="AB168" s="511"/>
      <c r="AC168" s="511"/>
      <c r="AD168" s="511"/>
      <c r="AE168" s="511"/>
      <c r="AF168" s="511"/>
      <c r="AG168" s="511"/>
      <c r="AH168" s="511"/>
      <c r="AI168" s="511"/>
      <c r="AJ168" s="511"/>
      <c r="AK168" s="511"/>
      <c r="AL168" s="511"/>
      <c r="AM168" s="511"/>
      <c r="AN168" s="511"/>
      <c r="AO168" s="511"/>
      <c r="AP168" s="511"/>
      <c r="AQ168" s="511"/>
      <c r="AR168" s="511"/>
      <c r="AS168" s="511"/>
      <c r="AT168" s="511"/>
      <c r="AU168" s="511"/>
      <c r="AV168" s="511"/>
      <c r="AW168" s="511"/>
      <c r="AX168" s="511"/>
      <c r="AY168" s="511"/>
      <c r="AZ168" s="511"/>
      <c r="BA168" s="511"/>
      <c r="BB168" s="511"/>
      <c r="BC168" s="511"/>
    </row>
    <row r="169" spans="1:55" ht="16.5" customHeight="1" x14ac:dyDescent="0.3">
      <c r="A169" s="511"/>
      <c r="B169" s="511"/>
      <c r="C169" s="511"/>
      <c r="D169" s="511"/>
      <c r="E169" s="511"/>
      <c r="F169" s="511"/>
      <c r="G169" s="511"/>
      <c r="H169" s="511"/>
      <c r="I169" s="511"/>
      <c r="J169" s="511"/>
      <c r="K169" s="511"/>
      <c r="L169" s="511"/>
      <c r="M169" s="511"/>
      <c r="N169" s="511"/>
      <c r="O169" s="511"/>
      <c r="P169" s="511"/>
      <c r="Q169" s="511"/>
      <c r="R169" s="511"/>
      <c r="S169" s="511"/>
      <c r="T169" s="511"/>
      <c r="U169" s="511"/>
      <c r="V169" s="511"/>
      <c r="W169" s="511"/>
      <c r="X169" s="511"/>
      <c r="Y169" s="511"/>
      <c r="Z169" s="511"/>
      <c r="AA169" s="511"/>
      <c r="AB169" s="511"/>
      <c r="AC169" s="511"/>
      <c r="AD169" s="511"/>
      <c r="AE169" s="511"/>
      <c r="AF169" s="511"/>
      <c r="AG169" s="511"/>
      <c r="AH169" s="511"/>
      <c r="AI169" s="511"/>
      <c r="AJ169" s="511"/>
      <c r="AK169" s="511"/>
      <c r="AL169" s="511"/>
      <c r="AM169" s="511"/>
      <c r="AN169" s="511"/>
      <c r="AO169" s="511"/>
      <c r="AP169" s="511"/>
      <c r="AQ169" s="511"/>
      <c r="AR169" s="511"/>
      <c r="AS169" s="511"/>
      <c r="AT169" s="511"/>
      <c r="AU169" s="511"/>
      <c r="AV169" s="511"/>
      <c r="AW169" s="511"/>
      <c r="AX169" s="511"/>
      <c r="AY169" s="511"/>
      <c r="AZ169" s="511"/>
      <c r="BA169" s="511"/>
      <c r="BB169" s="511"/>
      <c r="BC169" s="511"/>
    </row>
    <row r="170" spans="1:55" ht="16.5" customHeight="1" x14ac:dyDescent="0.3">
      <c r="A170" s="511"/>
      <c r="B170" s="511"/>
      <c r="C170" s="511"/>
      <c r="D170" s="511"/>
      <c r="E170" s="511"/>
      <c r="F170" s="511"/>
      <c r="G170" s="511"/>
      <c r="H170" s="511"/>
      <c r="I170" s="511"/>
      <c r="J170" s="511"/>
      <c r="K170" s="511"/>
      <c r="L170" s="511"/>
      <c r="M170" s="511"/>
      <c r="N170" s="511"/>
      <c r="O170" s="511"/>
      <c r="P170" s="511"/>
      <c r="Q170" s="511"/>
      <c r="R170" s="511"/>
      <c r="S170" s="511"/>
      <c r="T170" s="511"/>
      <c r="U170" s="511"/>
      <c r="V170" s="511"/>
      <c r="W170" s="511"/>
      <c r="X170" s="511"/>
      <c r="Y170" s="511"/>
      <c r="Z170" s="511"/>
      <c r="AA170" s="511"/>
      <c r="AB170" s="511"/>
      <c r="AC170" s="511"/>
      <c r="AD170" s="511"/>
      <c r="AE170" s="511"/>
      <c r="AF170" s="511"/>
      <c r="AG170" s="511"/>
      <c r="AH170" s="511"/>
      <c r="AI170" s="511"/>
      <c r="AJ170" s="511"/>
      <c r="AK170" s="511"/>
      <c r="AL170" s="511"/>
      <c r="AM170" s="511"/>
      <c r="AN170" s="511"/>
      <c r="AO170" s="511"/>
      <c r="AP170" s="511"/>
      <c r="AQ170" s="511"/>
      <c r="AR170" s="511"/>
      <c r="AS170" s="511"/>
      <c r="AT170" s="511"/>
      <c r="AU170" s="511"/>
      <c r="AV170" s="511"/>
      <c r="AW170" s="511"/>
      <c r="AX170" s="511"/>
      <c r="AY170" s="511"/>
      <c r="AZ170" s="511"/>
      <c r="BA170" s="511"/>
      <c r="BB170" s="511"/>
      <c r="BC170" s="511"/>
    </row>
    <row r="171" spans="1:55" ht="16.5" customHeight="1" x14ac:dyDescent="0.3">
      <c r="A171" s="511"/>
      <c r="B171" s="511"/>
      <c r="C171" s="511"/>
      <c r="D171" s="511"/>
      <c r="E171" s="511"/>
      <c r="F171" s="511"/>
      <c r="G171" s="511"/>
      <c r="H171" s="511"/>
      <c r="I171" s="511"/>
      <c r="J171" s="511"/>
      <c r="K171" s="511"/>
      <c r="L171" s="511"/>
      <c r="M171" s="511"/>
      <c r="N171" s="511"/>
      <c r="O171" s="511"/>
      <c r="P171" s="511"/>
      <c r="Q171" s="511"/>
      <c r="R171" s="511"/>
      <c r="S171" s="511"/>
      <c r="T171" s="511"/>
      <c r="U171" s="511"/>
      <c r="V171" s="511"/>
      <c r="W171" s="511"/>
      <c r="X171" s="511"/>
      <c r="Y171" s="511"/>
      <c r="Z171" s="511"/>
      <c r="AA171" s="511"/>
      <c r="AB171" s="511"/>
      <c r="AC171" s="511"/>
      <c r="AD171" s="511"/>
      <c r="AE171" s="511"/>
      <c r="AF171" s="511"/>
      <c r="AG171" s="511"/>
      <c r="AH171" s="511"/>
      <c r="AI171" s="511"/>
      <c r="AJ171" s="511"/>
      <c r="AK171" s="511"/>
      <c r="AL171" s="511"/>
      <c r="AM171" s="511"/>
      <c r="AN171" s="511"/>
      <c r="AO171" s="511"/>
      <c r="AP171" s="511"/>
      <c r="AQ171" s="511"/>
      <c r="AR171" s="511"/>
      <c r="AS171" s="511"/>
      <c r="AT171" s="511"/>
      <c r="AU171" s="511"/>
      <c r="AV171" s="511"/>
      <c r="AW171" s="511"/>
      <c r="AX171" s="511"/>
      <c r="AY171" s="511"/>
      <c r="AZ171" s="511"/>
      <c r="BA171" s="511"/>
      <c r="BB171" s="511"/>
      <c r="BC171" s="511"/>
    </row>
    <row r="172" spans="1:55" ht="16.5" customHeight="1" x14ac:dyDescent="0.3">
      <c r="A172" s="511"/>
      <c r="B172" s="511"/>
      <c r="C172" s="511"/>
      <c r="D172" s="511"/>
      <c r="E172" s="511"/>
      <c r="F172" s="511"/>
      <c r="G172" s="511"/>
      <c r="H172" s="511"/>
      <c r="I172" s="511"/>
      <c r="J172" s="511"/>
      <c r="K172" s="511"/>
      <c r="L172" s="511"/>
      <c r="M172" s="511"/>
      <c r="N172" s="511"/>
      <c r="O172" s="511"/>
      <c r="P172" s="511"/>
      <c r="Q172" s="511"/>
      <c r="R172" s="511"/>
      <c r="S172" s="511"/>
      <c r="T172" s="511"/>
      <c r="U172" s="511"/>
      <c r="V172" s="511"/>
      <c r="W172" s="511"/>
      <c r="X172" s="511"/>
      <c r="Y172" s="511"/>
      <c r="Z172" s="511"/>
      <c r="AA172" s="511"/>
      <c r="AB172" s="511"/>
      <c r="AC172" s="511"/>
      <c r="AD172" s="511"/>
      <c r="AE172" s="511"/>
      <c r="AF172" s="511"/>
      <c r="AG172" s="511"/>
      <c r="AH172" s="511"/>
      <c r="AI172" s="511"/>
      <c r="AJ172" s="511"/>
      <c r="AK172" s="511"/>
      <c r="AL172" s="511"/>
      <c r="AM172" s="511"/>
      <c r="AN172" s="511"/>
      <c r="AO172" s="511"/>
      <c r="AP172" s="511"/>
      <c r="AQ172" s="511"/>
      <c r="AR172" s="511"/>
      <c r="AS172" s="511"/>
      <c r="AT172" s="511"/>
      <c r="AU172" s="511"/>
      <c r="AV172" s="511"/>
      <c r="AW172" s="511"/>
      <c r="AX172" s="511"/>
      <c r="AY172" s="511"/>
      <c r="AZ172" s="511"/>
      <c r="BA172" s="511"/>
      <c r="BB172" s="511"/>
      <c r="BC172" s="511"/>
    </row>
    <row r="173" spans="1:55" ht="16.5" customHeight="1" x14ac:dyDescent="0.3">
      <c r="A173" s="511"/>
      <c r="B173" s="511"/>
      <c r="C173" s="511"/>
      <c r="D173" s="511"/>
      <c r="E173" s="511"/>
      <c r="F173" s="511"/>
      <c r="G173" s="511"/>
      <c r="H173" s="511"/>
      <c r="I173" s="511"/>
      <c r="J173" s="511"/>
      <c r="K173" s="511"/>
      <c r="L173" s="511"/>
      <c r="M173" s="511"/>
      <c r="N173" s="511"/>
      <c r="O173" s="511"/>
      <c r="P173" s="511"/>
      <c r="Q173" s="511"/>
      <c r="R173" s="511"/>
      <c r="S173" s="511"/>
      <c r="T173" s="511"/>
      <c r="U173" s="511"/>
      <c r="V173" s="511"/>
      <c r="W173" s="511"/>
      <c r="X173" s="511"/>
      <c r="Y173" s="511"/>
      <c r="Z173" s="511"/>
      <c r="AA173" s="511"/>
      <c r="AB173" s="511"/>
      <c r="AC173" s="511"/>
      <c r="AD173" s="511"/>
      <c r="AE173" s="511"/>
      <c r="AF173" s="511"/>
      <c r="AG173" s="511"/>
      <c r="AH173" s="511"/>
      <c r="AI173" s="511"/>
      <c r="AJ173" s="511"/>
      <c r="AK173" s="511"/>
      <c r="AL173" s="511"/>
      <c r="AM173" s="511"/>
      <c r="AN173" s="511"/>
      <c r="AO173" s="511"/>
      <c r="AP173" s="511"/>
      <c r="AQ173" s="511"/>
      <c r="AR173" s="511"/>
      <c r="AS173" s="511"/>
      <c r="AT173" s="511"/>
      <c r="AU173" s="511"/>
      <c r="AV173" s="511"/>
      <c r="AW173" s="511"/>
      <c r="AX173" s="511"/>
      <c r="AY173" s="511"/>
      <c r="AZ173" s="511"/>
      <c r="BA173" s="511"/>
      <c r="BB173" s="511"/>
      <c r="BC173" s="511"/>
    </row>
    <row r="174" spans="1:55" ht="16.5" customHeight="1" x14ac:dyDescent="0.3">
      <c r="A174" s="511"/>
      <c r="B174" s="511"/>
      <c r="C174" s="511"/>
      <c r="D174" s="511"/>
      <c r="E174" s="511"/>
      <c r="F174" s="511"/>
      <c r="G174" s="511"/>
      <c r="H174" s="511"/>
      <c r="I174" s="511"/>
      <c r="J174" s="511"/>
      <c r="K174" s="511"/>
      <c r="L174" s="511"/>
      <c r="M174" s="511"/>
      <c r="N174" s="511"/>
      <c r="O174" s="511"/>
      <c r="P174" s="511"/>
      <c r="Q174" s="511"/>
      <c r="R174" s="511"/>
      <c r="S174" s="511"/>
      <c r="T174" s="511"/>
      <c r="U174" s="511"/>
      <c r="V174" s="511"/>
      <c r="W174" s="511"/>
      <c r="X174" s="511"/>
      <c r="Y174" s="511"/>
      <c r="Z174" s="511"/>
      <c r="AA174" s="511"/>
      <c r="AB174" s="511"/>
      <c r="AC174" s="511"/>
      <c r="AD174" s="511"/>
      <c r="AE174" s="511"/>
      <c r="AF174" s="511"/>
      <c r="AG174" s="511"/>
      <c r="AH174" s="511"/>
      <c r="AI174" s="511"/>
      <c r="AJ174" s="511"/>
      <c r="AK174" s="511"/>
      <c r="AL174" s="511"/>
      <c r="AM174" s="511"/>
      <c r="AN174" s="511"/>
      <c r="AO174" s="511"/>
      <c r="AP174" s="511"/>
      <c r="AQ174" s="511"/>
      <c r="AR174" s="511"/>
      <c r="AS174" s="511"/>
      <c r="AT174" s="511"/>
      <c r="AU174" s="511"/>
      <c r="AV174" s="511"/>
      <c r="AW174" s="511"/>
      <c r="AX174" s="511"/>
      <c r="AY174" s="511"/>
      <c r="AZ174" s="511"/>
      <c r="BA174" s="511"/>
      <c r="BB174" s="511"/>
      <c r="BC174" s="511"/>
    </row>
    <row r="175" spans="1:55" ht="16.5" customHeight="1" x14ac:dyDescent="0.3">
      <c r="A175" s="511"/>
      <c r="B175" s="511"/>
      <c r="C175" s="511"/>
      <c r="D175" s="511"/>
      <c r="E175" s="511"/>
      <c r="F175" s="511"/>
      <c r="G175" s="511"/>
      <c r="H175" s="511"/>
      <c r="I175" s="511"/>
      <c r="J175" s="511"/>
      <c r="K175" s="511"/>
      <c r="L175" s="511"/>
      <c r="M175" s="511"/>
      <c r="N175" s="511"/>
      <c r="O175" s="511"/>
      <c r="P175" s="511"/>
      <c r="Q175" s="511"/>
      <c r="R175" s="511"/>
      <c r="S175" s="511"/>
      <c r="T175" s="511"/>
      <c r="U175" s="511"/>
      <c r="V175" s="511"/>
      <c r="W175" s="511"/>
      <c r="X175" s="511"/>
      <c r="Y175" s="511"/>
      <c r="Z175" s="511"/>
      <c r="AA175" s="511"/>
      <c r="AB175" s="511"/>
      <c r="AC175" s="511"/>
      <c r="AD175" s="511"/>
      <c r="AE175" s="511"/>
      <c r="AF175" s="511"/>
      <c r="AG175" s="511"/>
      <c r="AH175" s="511"/>
      <c r="AI175" s="511"/>
      <c r="AJ175" s="511"/>
      <c r="AK175" s="511"/>
      <c r="AL175" s="511"/>
      <c r="AM175" s="511"/>
      <c r="AN175" s="511"/>
      <c r="AO175" s="511"/>
      <c r="AP175" s="511"/>
      <c r="AQ175" s="511"/>
      <c r="AR175" s="511"/>
      <c r="AS175" s="511"/>
      <c r="AT175" s="511"/>
      <c r="AU175" s="511"/>
      <c r="AV175" s="511"/>
      <c r="AW175" s="511"/>
      <c r="AX175" s="511"/>
      <c r="AY175" s="511"/>
      <c r="AZ175" s="511"/>
      <c r="BA175" s="511"/>
      <c r="BB175" s="511"/>
      <c r="BC175" s="511"/>
    </row>
    <row r="176" spans="1:55" ht="16.5" customHeight="1" x14ac:dyDescent="0.3">
      <c r="A176" s="511"/>
      <c r="B176" s="511"/>
      <c r="C176" s="511"/>
      <c r="D176" s="511"/>
      <c r="E176" s="511"/>
      <c r="F176" s="511"/>
      <c r="G176" s="511"/>
      <c r="H176" s="511"/>
      <c r="I176" s="511"/>
      <c r="J176" s="511"/>
      <c r="K176" s="511"/>
      <c r="L176" s="511"/>
      <c r="M176" s="511"/>
      <c r="N176" s="511"/>
      <c r="O176" s="511"/>
      <c r="P176" s="511"/>
      <c r="Q176" s="511"/>
      <c r="R176" s="511"/>
      <c r="S176" s="511"/>
      <c r="T176" s="511"/>
      <c r="U176" s="511"/>
      <c r="V176" s="511"/>
      <c r="W176" s="511"/>
      <c r="X176" s="511"/>
      <c r="Y176" s="511"/>
      <c r="Z176" s="511"/>
      <c r="AA176" s="511"/>
      <c r="AB176" s="511"/>
      <c r="AC176" s="511"/>
      <c r="AD176" s="511"/>
      <c r="AE176" s="511"/>
      <c r="AF176" s="511"/>
      <c r="AG176" s="511"/>
      <c r="AH176" s="511"/>
      <c r="AI176" s="511"/>
      <c r="AJ176" s="511"/>
      <c r="AK176" s="511"/>
      <c r="AL176" s="511"/>
      <c r="AM176" s="511"/>
      <c r="AN176" s="511"/>
      <c r="AO176" s="511"/>
      <c r="AP176" s="511"/>
      <c r="AQ176" s="511"/>
      <c r="AR176" s="511"/>
      <c r="AS176" s="511"/>
      <c r="AT176" s="511"/>
      <c r="AU176" s="511"/>
      <c r="AV176" s="511"/>
      <c r="AW176" s="511"/>
      <c r="AX176" s="511"/>
      <c r="AY176" s="511"/>
      <c r="AZ176" s="511"/>
      <c r="BA176" s="511"/>
      <c r="BB176" s="511"/>
      <c r="BC176" s="511"/>
    </row>
    <row r="177" spans="1:55" ht="16.5" customHeight="1" x14ac:dyDescent="0.3">
      <c r="A177" s="511"/>
      <c r="B177" s="511"/>
      <c r="C177" s="511"/>
      <c r="D177" s="511"/>
      <c r="E177" s="511"/>
      <c r="F177" s="511"/>
      <c r="G177" s="511"/>
      <c r="H177" s="511"/>
      <c r="I177" s="511"/>
      <c r="J177" s="511"/>
      <c r="K177" s="511"/>
      <c r="L177" s="511"/>
      <c r="M177" s="511"/>
      <c r="N177" s="511"/>
      <c r="O177" s="511"/>
      <c r="P177" s="511"/>
      <c r="Q177" s="511"/>
      <c r="R177" s="511"/>
      <c r="S177" s="511"/>
      <c r="T177" s="511"/>
      <c r="U177" s="511"/>
      <c r="V177" s="511"/>
      <c r="W177" s="511"/>
      <c r="X177" s="511"/>
      <c r="Y177" s="511"/>
      <c r="Z177" s="511"/>
      <c r="AA177" s="511"/>
      <c r="AB177" s="511"/>
      <c r="AC177" s="511"/>
      <c r="AD177" s="511"/>
      <c r="AE177" s="511"/>
      <c r="AF177" s="511"/>
      <c r="AG177" s="511"/>
      <c r="AH177" s="511"/>
      <c r="AI177" s="511"/>
      <c r="AJ177" s="511"/>
      <c r="AK177" s="511"/>
      <c r="AL177" s="511"/>
      <c r="AM177" s="511"/>
      <c r="AN177" s="511"/>
      <c r="AO177" s="511"/>
      <c r="AP177" s="511"/>
      <c r="AQ177" s="511"/>
      <c r="AR177" s="511"/>
      <c r="AS177" s="511"/>
      <c r="AT177" s="511"/>
      <c r="AU177" s="511"/>
      <c r="AV177" s="511"/>
      <c r="AW177" s="511"/>
      <c r="AX177" s="511"/>
      <c r="AY177" s="511"/>
      <c r="AZ177" s="511"/>
      <c r="BA177" s="511"/>
      <c r="BB177" s="511"/>
      <c r="BC177" s="511"/>
    </row>
    <row r="178" spans="1:55" ht="16.5" customHeight="1" x14ac:dyDescent="0.3">
      <c r="A178" s="511"/>
      <c r="B178" s="511"/>
      <c r="C178" s="511"/>
      <c r="D178" s="511"/>
      <c r="E178" s="511"/>
      <c r="F178" s="511"/>
      <c r="G178" s="511"/>
      <c r="H178" s="511"/>
      <c r="I178" s="511"/>
      <c r="J178" s="511"/>
      <c r="K178" s="511"/>
      <c r="L178" s="511"/>
      <c r="M178" s="511"/>
      <c r="N178" s="511"/>
      <c r="O178" s="511"/>
      <c r="P178" s="511"/>
      <c r="Q178" s="511"/>
      <c r="R178" s="511"/>
      <c r="S178" s="511"/>
      <c r="T178" s="511"/>
      <c r="U178" s="511"/>
      <c r="V178" s="511"/>
      <c r="W178" s="511"/>
      <c r="X178" s="511"/>
      <c r="Y178" s="511"/>
      <c r="Z178" s="511"/>
      <c r="AA178" s="511"/>
      <c r="AB178" s="511"/>
      <c r="AC178" s="511"/>
      <c r="AD178" s="511"/>
      <c r="AE178" s="511"/>
      <c r="AF178" s="511"/>
      <c r="AG178" s="511"/>
      <c r="AH178" s="511"/>
      <c r="AI178" s="511"/>
      <c r="AJ178" s="511"/>
      <c r="AK178" s="511"/>
      <c r="AL178" s="511"/>
      <c r="AM178" s="511"/>
      <c r="AN178" s="511"/>
      <c r="AO178" s="511"/>
      <c r="AP178" s="511"/>
      <c r="AQ178" s="511"/>
      <c r="AR178" s="511"/>
      <c r="AS178" s="511"/>
      <c r="AT178" s="511"/>
      <c r="AU178" s="511"/>
      <c r="AV178" s="511"/>
      <c r="AW178" s="511"/>
      <c r="AX178" s="511"/>
      <c r="AY178" s="511"/>
      <c r="AZ178" s="511"/>
      <c r="BA178" s="511"/>
      <c r="BB178" s="511"/>
      <c r="BC178" s="511"/>
    </row>
    <row r="179" spans="1:55" ht="16.5" customHeight="1" x14ac:dyDescent="0.3">
      <c r="A179" s="511"/>
      <c r="B179" s="511"/>
      <c r="C179" s="511"/>
      <c r="D179" s="511"/>
      <c r="E179" s="511"/>
      <c r="F179" s="511"/>
      <c r="G179" s="511"/>
      <c r="H179" s="511"/>
      <c r="I179" s="511"/>
      <c r="J179" s="511"/>
      <c r="K179" s="511"/>
      <c r="L179" s="511"/>
      <c r="M179" s="511"/>
      <c r="N179" s="511"/>
      <c r="O179" s="511"/>
      <c r="P179" s="511"/>
      <c r="Q179" s="511"/>
      <c r="R179" s="511"/>
      <c r="S179" s="511"/>
      <c r="T179" s="511"/>
      <c r="U179" s="511"/>
      <c r="V179" s="511"/>
      <c r="W179" s="511"/>
      <c r="X179" s="511"/>
      <c r="Y179" s="511"/>
      <c r="Z179" s="511"/>
      <c r="AA179" s="511"/>
      <c r="AB179" s="511"/>
      <c r="AC179" s="511"/>
      <c r="AD179" s="511"/>
      <c r="AE179" s="511"/>
      <c r="AF179" s="511"/>
      <c r="AG179" s="511"/>
      <c r="AH179" s="511"/>
      <c r="AI179" s="511"/>
      <c r="AJ179" s="511"/>
      <c r="AK179" s="511"/>
      <c r="AL179" s="511"/>
      <c r="AM179" s="511"/>
      <c r="AN179" s="511"/>
      <c r="AO179" s="511"/>
      <c r="AP179" s="511"/>
      <c r="AQ179" s="511"/>
      <c r="AR179" s="511"/>
      <c r="AS179" s="511"/>
      <c r="AT179" s="511"/>
      <c r="AU179" s="511"/>
      <c r="AV179" s="511"/>
      <c r="AW179" s="511"/>
      <c r="AX179" s="511"/>
      <c r="AY179" s="511"/>
      <c r="AZ179" s="511"/>
      <c r="BA179" s="511"/>
      <c r="BB179" s="511"/>
      <c r="BC179" s="511"/>
    </row>
    <row r="180" spans="1:55" ht="16.5" customHeight="1" x14ac:dyDescent="0.3">
      <c r="A180" s="511"/>
      <c r="B180" s="511"/>
      <c r="C180" s="511"/>
      <c r="D180" s="511"/>
      <c r="E180" s="511"/>
      <c r="F180" s="511"/>
      <c r="G180" s="511"/>
      <c r="H180" s="511"/>
      <c r="I180" s="511"/>
      <c r="J180" s="511"/>
      <c r="K180" s="511"/>
      <c r="L180" s="511"/>
      <c r="M180" s="511"/>
      <c r="N180" s="511"/>
      <c r="O180" s="511"/>
      <c r="P180" s="511"/>
      <c r="Q180" s="511"/>
      <c r="R180" s="511"/>
      <c r="S180" s="511"/>
      <c r="T180" s="511"/>
      <c r="U180" s="511"/>
      <c r="V180" s="511"/>
      <c r="W180" s="511"/>
      <c r="X180" s="511"/>
      <c r="Y180" s="511"/>
      <c r="Z180" s="511"/>
      <c r="AA180" s="511"/>
      <c r="AB180" s="511"/>
      <c r="AC180" s="511"/>
      <c r="AD180" s="511"/>
      <c r="AE180" s="511"/>
      <c r="AF180" s="511"/>
      <c r="AG180" s="511"/>
      <c r="AH180" s="511"/>
      <c r="AI180" s="511"/>
      <c r="AJ180" s="511"/>
      <c r="AK180" s="511"/>
      <c r="AL180" s="511"/>
      <c r="AM180" s="511"/>
      <c r="AN180" s="511"/>
      <c r="AO180" s="511"/>
      <c r="AP180" s="511"/>
      <c r="AQ180" s="511"/>
      <c r="AR180" s="511"/>
      <c r="AS180" s="511"/>
      <c r="AT180" s="511"/>
      <c r="AU180" s="511"/>
      <c r="AV180" s="511"/>
      <c r="AW180" s="511"/>
      <c r="AX180" s="511"/>
      <c r="AY180" s="511"/>
      <c r="AZ180" s="511"/>
      <c r="BA180" s="511"/>
      <c r="BB180" s="511"/>
      <c r="BC180" s="511"/>
    </row>
    <row r="181" spans="1:55" ht="16.5" customHeight="1" x14ac:dyDescent="0.3">
      <c r="A181" s="511"/>
      <c r="B181" s="511"/>
      <c r="C181" s="511"/>
      <c r="D181" s="511"/>
      <c r="E181" s="511"/>
      <c r="F181" s="511"/>
      <c r="G181" s="511"/>
      <c r="H181" s="511"/>
      <c r="I181" s="511"/>
      <c r="J181" s="511"/>
      <c r="K181" s="511"/>
      <c r="L181" s="511"/>
      <c r="M181" s="511"/>
      <c r="N181" s="511"/>
      <c r="O181" s="511"/>
      <c r="P181" s="511"/>
      <c r="Q181" s="511"/>
      <c r="R181" s="511"/>
      <c r="S181" s="511"/>
      <c r="T181" s="511"/>
      <c r="U181" s="511"/>
      <c r="V181" s="511"/>
      <c r="W181" s="511"/>
      <c r="X181" s="511"/>
      <c r="Y181" s="511"/>
      <c r="Z181" s="511"/>
      <c r="AA181" s="511"/>
      <c r="AB181" s="511"/>
      <c r="AC181" s="511"/>
      <c r="AD181" s="511"/>
      <c r="AE181" s="511"/>
      <c r="AF181" s="511"/>
      <c r="AG181" s="511"/>
      <c r="AH181" s="511"/>
      <c r="AI181" s="511"/>
      <c r="AJ181" s="511"/>
      <c r="AK181" s="511"/>
      <c r="AL181" s="511"/>
      <c r="AM181" s="511"/>
      <c r="AN181" s="511"/>
      <c r="AO181" s="511"/>
      <c r="AP181" s="511"/>
      <c r="AQ181" s="511"/>
      <c r="AR181" s="511"/>
      <c r="AS181" s="511"/>
      <c r="AT181" s="511"/>
      <c r="AU181" s="511"/>
      <c r="AV181" s="511"/>
      <c r="AW181" s="511"/>
      <c r="AX181" s="511"/>
      <c r="AY181" s="511"/>
      <c r="AZ181" s="511"/>
      <c r="BA181" s="511"/>
      <c r="BB181" s="511"/>
      <c r="BC181" s="511"/>
    </row>
    <row r="182" spans="1:55" ht="16.5" customHeight="1" x14ac:dyDescent="0.3">
      <c r="A182" s="511"/>
      <c r="B182" s="511"/>
      <c r="C182" s="511"/>
      <c r="D182" s="511"/>
      <c r="E182" s="511"/>
      <c r="F182" s="511"/>
      <c r="G182" s="511"/>
      <c r="H182" s="511"/>
      <c r="I182" s="511"/>
      <c r="J182" s="511"/>
      <c r="K182" s="511"/>
      <c r="L182" s="511"/>
      <c r="M182" s="511"/>
      <c r="N182" s="511"/>
      <c r="O182" s="511"/>
      <c r="P182" s="511"/>
      <c r="Q182" s="511"/>
      <c r="R182" s="511"/>
      <c r="S182" s="511"/>
      <c r="T182" s="511"/>
      <c r="U182" s="511"/>
      <c r="V182" s="511"/>
      <c r="W182" s="511"/>
      <c r="X182" s="511"/>
      <c r="Y182" s="511"/>
      <c r="Z182" s="511"/>
      <c r="AA182" s="511"/>
      <c r="AB182" s="511"/>
      <c r="AC182" s="511"/>
      <c r="AD182" s="511"/>
      <c r="AE182" s="511"/>
      <c r="AF182" s="511"/>
      <c r="AG182" s="511"/>
      <c r="AH182" s="511"/>
      <c r="AI182" s="511"/>
      <c r="AJ182" s="511"/>
      <c r="AK182" s="511"/>
      <c r="AL182" s="511"/>
      <c r="AM182" s="511"/>
      <c r="AN182" s="511"/>
      <c r="AO182" s="511"/>
      <c r="AP182" s="511"/>
      <c r="AQ182" s="511"/>
      <c r="AR182" s="511"/>
      <c r="AS182" s="511"/>
      <c r="AT182" s="511"/>
      <c r="AU182" s="511"/>
      <c r="AV182" s="511"/>
      <c r="AW182" s="511"/>
      <c r="AX182" s="511"/>
      <c r="AY182" s="511"/>
      <c r="AZ182" s="511"/>
      <c r="BA182" s="511"/>
      <c r="BB182" s="511"/>
      <c r="BC182" s="511"/>
    </row>
    <row r="183" spans="1:55" ht="16.5" customHeight="1" x14ac:dyDescent="0.3">
      <c r="A183" s="511"/>
      <c r="B183" s="511"/>
      <c r="C183" s="511"/>
      <c r="D183" s="511"/>
      <c r="E183" s="511"/>
      <c r="F183" s="511"/>
      <c r="G183" s="511"/>
      <c r="H183" s="511"/>
      <c r="I183" s="511"/>
      <c r="J183" s="511"/>
      <c r="K183" s="511"/>
      <c r="L183" s="511"/>
      <c r="M183" s="511"/>
      <c r="N183" s="511"/>
      <c r="O183" s="511"/>
      <c r="P183" s="511"/>
      <c r="Q183" s="511"/>
      <c r="R183" s="511"/>
      <c r="S183" s="511"/>
      <c r="T183" s="511"/>
      <c r="U183" s="511"/>
      <c r="V183" s="511"/>
      <c r="W183" s="511"/>
      <c r="X183" s="511"/>
      <c r="Y183" s="511"/>
      <c r="Z183" s="511"/>
      <c r="AA183" s="511"/>
      <c r="AB183" s="511"/>
      <c r="AC183" s="511"/>
      <c r="AD183" s="511"/>
      <c r="AE183" s="511"/>
      <c r="AF183" s="511"/>
      <c r="AG183" s="511"/>
      <c r="AH183" s="511"/>
      <c r="AI183" s="511"/>
      <c r="AJ183" s="511"/>
      <c r="AK183" s="511"/>
      <c r="AL183" s="511"/>
      <c r="AM183" s="511"/>
      <c r="AN183" s="511"/>
      <c r="AO183" s="511"/>
      <c r="AP183" s="511"/>
      <c r="AQ183" s="511"/>
      <c r="AR183" s="511"/>
      <c r="AS183" s="511"/>
      <c r="AT183" s="511"/>
      <c r="AU183" s="511"/>
      <c r="AV183" s="511"/>
      <c r="AW183" s="511"/>
      <c r="AX183" s="511"/>
      <c r="AY183" s="511"/>
      <c r="AZ183" s="511"/>
      <c r="BA183" s="511"/>
      <c r="BB183" s="511"/>
      <c r="BC183" s="511"/>
    </row>
    <row r="184" spans="1:55" ht="16.5" customHeight="1" x14ac:dyDescent="0.3">
      <c r="A184" s="511"/>
      <c r="B184" s="511"/>
      <c r="C184" s="511"/>
      <c r="D184" s="511"/>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c r="AA184" s="511"/>
      <c r="AB184" s="511"/>
      <c r="AC184" s="511"/>
      <c r="AD184" s="511"/>
      <c r="AE184" s="511"/>
      <c r="AF184" s="511"/>
      <c r="AG184" s="511"/>
      <c r="AH184" s="511"/>
      <c r="AI184" s="511"/>
      <c r="AJ184" s="511"/>
      <c r="AK184" s="511"/>
      <c r="AL184" s="511"/>
      <c r="AM184" s="511"/>
      <c r="AN184" s="511"/>
      <c r="AO184" s="511"/>
      <c r="AP184" s="511"/>
      <c r="AQ184" s="511"/>
      <c r="AR184" s="511"/>
      <c r="AS184" s="511"/>
      <c r="AT184" s="511"/>
      <c r="AU184" s="511"/>
      <c r="AV184" s="511"/>
      <c r="AW184" s="511"/>
      <c r="AX184" s="511"/>
      <c r="AY184" s="511"/>
      <c r="AZ184" s="511"/>
      <c r="BA184" s="511"/>
      <c r="BB184" s="511"/>
      <c r="BC184" s="511"/>
    </row>
    <row r="185" spans="1:55" ht="16.5" customHeight="1" x14ac:dyDescent="0.3">
      <c r="A185" s="511"/>
      <c r="B185" s="511"/>
      <c r="C185" s="511"/>
      <c r="D185" s="511"/>
      <c r="E185" s="511"/>
      <c r="F185" s="511"/>
      <c r="G185" s="511"/>
      <c r="H185" s="511"/>
      <c r="I185" s="511"/>
      <c r="J185" s="511"/>
      <c r="K185" s="511"/>
      <c r="L185" s="511"/>
      <c r="M185" s="511"/>
      <c r="N185" s="511"/>
      <c r="O185" s="511"/>
      <c r="P185" s="511"/>
      <c r="Q185" s="511"/>
      <c r="R185" s="511"/>
      <c r="S185" s="511"/>
      <c r="T185" s="511"/>
      <c r="U185" s="511"/>
      <c r="V185" s="511"/>
      <c r="W185" s="511"/>
      <c r="X185" s="511"/>
      <c r="Y185" s="511"/>
      <c r="Z185" s="511"/>
      <c r="AA185" s="511"/>
      <c r="AB185" s="511"/>
      <c r="AC185" s="511"/>
      <c r="AD185" s="511"/>
      <c r="AE185" s="511"/>
      <c r="AF185" s="511"/>
      <c r="AG185" s="511"/>
      <c r="AH185" s="511"/>
      <c r="AI185" s="511"/>
      <c r="AJ185" s="511"/>
      <c r="AK185" s="511"/>
      <c r="AL185" s="511"/>
      <c r="AM185" s="511"/>
      <c r="AN185" s="511"/>
      <c r="AO185" s="511"/>
      <c r="AP185" s="511"/>
      <c r="AQ185" s="511"/>
      <c r="AR185" s="511"/>
      <c r="AS185" s="511"/>
      <c r="AT185" s="511"/>
      <c r="AU185" s="511"/>
      <c r="AV185" s="511"/>
      <c r="AW185" s="511"/>
      <c r="AX185" s="511"/>
      <c r="AY185" s="511"/>
      <c r="AZ185" s="511"/>
      <c r="BA185" s="511"/>
      <c r="BB185" s="511"/>
      <c r="BC185" s="511"/>
    </row>
    <row r="186" spans="1:55" ht="16.5" customHeight="1" x14ac:dyDescent="0.3">
      <c r="A186" s="511"/>
      <c r="B186" s="511"/>
      <c r="C186" s="511"/>
      <c r="D186" s="511"/>
      <c r="E186" s="511"/>
      <c r="F186" s="511"/>
      <c r="G186" s="511"/>
      <c r="H186" s="511"/>
      <c r="I186" s="511"/>
      <c r="J186" s="511"/>
      <c r="K186" s="511"/>
      <c r="L186" s="511"/>
      <c r="M186" s="511"/>
      <c r="N186" s="511"/>
      <c r="O186" s="511"/>
      <c r="P186" s="511"/>
      <c r="Q186" s="511"/>
      <c r="R186" s="511"/>
      <c r="S186" s="511"/>
      <c r="T186" s="511"/>
      <c r="U186" s="511"/>
      <c r="V186" s="511"/>
      <c r="W186" s="511"/>
      <c r="X186" s="511"/>
      <c r="Y186" s="511"/>
      <c r="Z186" s="511"/>
      <c r="AA186" s="511"/>
      <c r="AB186" s="511"/>
      <c r="AC186" s="511"/>
      <c r="AD186" s="511"/>
      <c r="AE186" s="511"/>
      <c r="AF186" s="511"/>
      <c r="AG186" s="511"/>
      <c r="AH186" s="511"/>
      <c r="AI186" s="511"/>
      <c r="AJ186" s="511"/>
      <c r="AK186" s="511"/>
      <c r="AL186" s="511"/>
      <c r="AM186" s="511"/>
      <c r="AN186" s="511"/>
      <c r="AO186" s="511"/>
      <c r="AP186" s="511"/>
      <c r="AQ186" s="511"/>
      <c r="AR186" s="511"/>
      <c r="AS186" s="511"/>
      <c r="AT186" s="511"/>
      <c r="AU186" s="511"/>
      <c r="AV186" s="511"/>
      <c r="AW186" s="511"/>
      <c r="AX186" s="511"/>
      <c r="AY186" s="511"/>
      <c r="AZ186" s="511"/>
      <c r="BA186" s="511"/>
      <c r="BB186" s="511"/>
      <c r="BC186" s="511"/>
    </row>
    <row r="187" spans="1:55" ht="16.5" customHeight="1" x14ac:dyDescent="0.3">
      <c r="A187" s="511"/>
      <c r="B187" s="511"/>
      <c r="C187" s="511"/>
      <c r="D187" s="511"/>
      <c r="E187" s="511"/>
      <c r="F187" s="511"/>
      <c r="G187" s="511"/>
      <c r="H187" s="511"/>
      <c r="I187" s="511"/>
      <c r="J187" s="511"/>
      <c r="K187" s="511"/>
      <c r="L187" s="511"/>
      <c r="M187" s="511"/>
      <c r="N187" s="511"/>
      <c r="O187" s="511"/>
      <c r="P187" s="511"/>
      <c r="Q187" s="511"/>
      <c r="R187" s="511"/>
      <c r="S187" s="511"/>
      <c r="T187" s="511"/>
      <c r="U187" s="511"/>
      <c r="V187" s="511"/>
      <c r="W187" s="511"/>
      <c r="X187" s="511"/>
      <c r="Y187" s="511"/>
      <c r="Z187" s="511"/>
      <c r="AA187" s="511"/>
      <c r="AB187" s="511"/>
      <c r="AC187" s="511"/>
      <c r="AD187" s="511"/>
      <c r="AE187" s="511"/>
      <c r="AF187" s="511"/>
      <c r="AG187" s="511"/>
      <c r="AH187" s="511"/>
      <c r="AI187" s="511"/>
      <c r="AJ187" s="511"/>
      <c r="AK187" s="511"/>
      <c r="AL187" s="511"/>
      <c r="AM187" s="511"/>
      <c r="AN187" s="511"/>
      <c r="AO187" s="511"/>
      <c r="AP187" s="511"/>
      <c r="AQ187" s="511"/>
      <c r="AR187" s="511"/>
      <c r="AS187" s="511"/>
      <c r="AT187" s="511"/>
      <c r="AU187" s="511"/>
      <c r="AV187" s="511"/>
      <c r="AW187" s="511"/>
      <c r="AX187" s="511"/>
      <c r="AY187" s="511"/>
      <c r="AZ187" s="511"/>
      <c r="BA187" s="511"/>
      <c r="BB187" s="511"/>
      <c r="BC187" s="511"/>
    </row>
    <row r="188" spans="1:55" ht="16.5" customHeight="1" x14ac:dyDescent="0.3">
      <c r="A188" s="511"/>
      <c r="B188" s="511"/>
      <c r="C188" s="511"/>
      <c r="D188" s="511"/>
      <c r="E188" s="511"/>
      <c r="F188" s="511"/>
      <c r="G188" s="511"/>
      <c r="H188" s="511"/>
      <c r="I188" s="511"/>
      <c r="J188" s="511"/>
      <c r="K188" s="511"/>
      <c r="L188" s="511"/>
      <c r="M188" s="511"/>
      <c r="N188" s="511"/>
      <c r="O188" s="511"/>
      <c r="P188" s="511"/>
      <c r="Q188" s="511"/>
      <c r="R188" s="511"/>
      <c r="S188" s="511"/>
      <c r="T188" s="511"/>
      <c r="U188" s="511"/>
      <c r="V188" s="511"/>
      <c r="W188" s="511"/>
      <c r="X188" s="511"/>
      <c r="Y188" s="511"/>
      <c r="Z188" s="511"/>
      <c r="AA188" s="511"/>
      <c r="AB188" s="511"/>
      <c r="AC188" s="511"/>
      <c r="AD188" s="511"/>
      <c r="AE188" s="511"/>
      <c r="AF188" s="511"/>
      <c r="AG188" s="511"/>
      <c r="AH188" s="511"/>
      <c r="AI188" s="511"/>
      <c r="AJ188" s="511"/>
      <c r="AK188" s="511"/>
      <c r="AL188" s="511"/>
      <c r="AM188" s="511"/>
      <c r="AN188" s="511"/>
      <c r="AO188" s="511"/>
      <c r="AP188" s="511"/>
      <c r="AQ188" s="511"/>
      <c r="AR188" s="511"/>
      <c r="AS188" s="511"/>
      <c r="AT188" s="511"/>
      <c r="AU188" s="511"/>
      <c r="AV188" s="511"/>
      <c r="AW188" s="511"/>
      <c r="AX188" s="511"/>
      <c r="AY188" s="511"/>
      <c r="AZ188" s="511"/>
      <c r="BA188" s="511"/>
      <c r="BB188" s="511"/>
      <c r="BC188" s="511"/>
    </row>
    <row r="189" spans="1:55" ht="16.5" customHeight="1" x14ac:dyDescent="0.3">
      <c r="A189" s="511"/>
      <c r="B189" s="511"/>
      <c r="C189" s="511"/>
      <c r="D189" s="511"/>
      <c r="E189" s="511"/>
      <c r="F189" s="511"/>
      <c r="G189" s="511"/>
      <c r="H189" s="511"/>
      <c r="I189" s="511"/>
      <c r="J189" s="511"/>
      <c r="K189" s="511"/>
      <c r="L189" s="511"/>
      <c r="M189" s="511"/>
      <c r="N189" s="511"/>
      <c r="O189" s="511"/>
      <c r="P189" s="511"/>
      <c r="Q189" s="511"/>
      <c r="R189" s="511"/>
      <c r="S189" s="511"/>
      <c r="T189" s="511"/>
      <c r="U189" s="511"/>
      <c r="V189" s="511"/>
      <c r="W189" s="511"/>
      <c r="X189" s="511"/>
      <c r="Y189" s="511"/>
      <c r="Z189" s="511"/>
      <c r="AA189" s="511"/>
      <c r="AB189" s="511"/>
      <c r="AC189" s="511"/>
      <c r="AD189" s="511"/>
      <c r="AE189" s="511"/>
      <c r="AF189" s="511"/>
      <c r="AG189" s="511"/>
      <c r="AH189" s="511"/>
      <c r="AI189" s="511"/>
      <c r="AJ189" s="511"/>
      <c r="AK189" s="511"/>
      <c r="AL189" s="511"/>
      <c r="AM189" s="511"/>
      <c r="AN189" s="511"/>
      <c r="AO189" s="511"/>
      <c r="AP189" s="511"/>
      <c r="AQ189" s="511"/>
      <c r="AR189" s="511"/>
      <c r="AS189" s="511"/>
      <c r="AT189" s="511"/>
      <c r="AU189" s="511"/>
      <c r="AV189" s="511"/>
      <c r="AW189" s="511"/>
      <c r="AX189" s="511"/>
      <c r="AY189" s="511"/>
      <c r="AZ189" s="511"/>
      <c r="BA189" s="511"/>
      <c r="BB189" s="511"/>
      <c r="BC189" s="511"/>
    </row>
    <row r="190" spans="1:55" ht="16.5" customHeight="1" x14ac:dyDescent="0.3">
      <c r="A190" s="511"/>
      <c r="B190" s="511"/>
      <c r="C190" s="511"/>
      <c r="D190" s="511"/>
      <c r="E190" s="511"/>
      <c r="F190" s="511"/>
      <c r="G190" s="511"/>
      <c r="H190" s="511"/>
      <c r="I190" s="511"/>
      <c r="J190" s="511"/>
      <c r="K190" s="511"/>
      <c r="L190" s="511"/>
      <c r="M190" s="511"/>
      <c r="N190" s="511"/>
      <c r="O190" s="511"/>
      <c r="P190" s="511"/>
      <c r="Q190" s="511"/>
      <c r="R190" s="511"/>
      <c r="S190" s="511"/>
      <c r="T190" s="511"/>
      <c r="U190" s="511"/>
      <c r="V190" s="511"/>
      <c r="W190" s="511"/>
      <c r="X190" s="511"/>
      <c r="Y190" s="511"/>
      <c r="Z190" s="511"/>
      <c r="AA190" s="511"/>
      <c r="AB190" s="511"/>
      <c r="AC190" s="511"/>
      <c r="AD190" s="511"/>
      <c r="AE190" s="511"/>
      <c r="AF190" s="511"/>
      <c r="AG190" s="511"/>
      <c r="AH190" s="511"/>
      <c r="AI190" s="511"/>
      <c r="AJ190" s="511"/>
      <c r="AK190" s="511"/>
      <c r="AL190" s="511"/>
      <c r="AM190" s="511"/>
      <c r="AN190" s="511"/>
      <c r="AO190" s="511"/>
      <c r="AP190" s="511"/>
      <c r="AQ190" s="511"/>
      <c r="AR190" s="511"/>
      <c r="AS190" s="511"/>
      <c r="AT190" s="511"/>
      <c r="AU190" s="511"/>
      <c r="AV190" s="511"/>
      <c r="AW190" s="511"/>
      <c r="AX190" s="511"/>
      <c r="AY190" s="511"/>
      <c r="AZ190" s="511"/>
      <c r="BA190" s="511"/>
      <c r="BB190" s="511"/>
      <c r="BC190" s="511"/>
    </row>
    <row r="191" spans="1:55" ht="16.5" customHeight="1" x14ac:dyDescent="0.3">
      <c r="A191" s="511"/>
      <c r="B191" s="511"/>
      <c r="C191" s="511"/>
      <c r="D191" s="511"/>
      <c r="E191" s="511"/>
      <c r="F191" s="511"/>
      <c r="G191" s="511"/>
      <c r="H191" s="511"/>
      <c r="I191" s="511"/>
      <c r="J191" s="511"/>
      <c r="K191" s="511"/>
      <c r="L191" s="511"/>
      <c r="M191" s="511"/>
      <c r="N191" s="511"/>
      <c r="O191" s="511"/>
      <c r="P191" s="511"/>
      <c r="Q191" s="511"/>
      <c r="R191" s="511"/>
      <c r="S191" s="511"/>
      <c r="T191" s="511"/>
      <c r="U191" s="511"/>
      <c r="V191" s="511"/>
      <c r="W191" s="511"/>
      <c r="X191" s="511"/>
      <c r="Y191" s="511"/>
      <c r="Z191" s="511"/>
      <c r="AA191" s="511"/>
      <c r="AB191" s="511"/>
      <c r="AC191" s="511"/>
      <c r="AD191" s="511"/>
      <c r="AE191" s="511"/>
      <c r="AF191" s="511"/>
      <c r="AG191" s="511"/>
      <c r="AH191" s="511"/>
      <c r="AI191" s="511"/>
      <c r="AJ191" s="511"/>
      <c r="AK191" s="511"/>
      <c r="AL191" s="511"/>
      <c r="AM191" s="511"/>
      <c r="AN191" s="511"/>
      <c r="AO191" s="511"/>
      <c r="AP191" s="511"/>
      <c r="AQ191" s="511"/>
      <c r="AR191" s="511"/>
      <c r="AS191" s="511"/>
      <c r="AT191" s="511"/>
      <c r="AU191" s="511"/>
      <c r="AV191" s="511"/>
      <c r="AW191" s="511"/>
      <c r="AX191" s="511"/>
      <c r="AY191" s="511"/>
      <c r="AZ191" s="511"/>
      <c r="BA191" s="511"/>
      <c r="BB191" s="511"/>
      <c r="BC191" s="511"/>
    </row>
    <row r="192" spans="1:55" ht="16.5" customHeight="1" x14ac:dyDescent="0.3">
      <c r="A192" s="511"/>
      <c r="B192" s="511"/>
      <c r="C192" s="511"/>
      <c r="D192" s="511"/>
      <c r="E192" s="511"/>
      <c r="F192" s="511"/>
      <c r="G192" s="511"/>
      <c r="H192" s="511"/>
      <c r="I192" s="511"/>
      <c r="J192" s="511"/>
      <c r="K192" s="511"/>
      <c r="L192" s="511"/>
      <c r="M192" s="511"/>
      <c r="N192" s="511"/>
      <c r="O192" s="511"/>
      <c r="P192" s="511"/>
      <c r="Q192" s="511"/>
      <c r="R192" s="511"/>
      <c r="S192" s="511"/>
      <c r="T192" s="511"/>
      <c r="U192" s="511"/>
      <c r="V192" s="511"/>
      <c r="W192" s="511"/>
      <c r="X192" s="511"/>
      <c r="Y192" s="511"/>
      <c r="Z192" s="511"/>
      <c r="AA192" s="511"/>
      <c r="AB192" s="511"/>
      <c r="AC192" s="511"/>
      <c r="AD192" s="511"/>
      <c r="AE192" s="511"/>
      <c r="AF192" s="511"/>
      <c r="AG192" s="511"/>
      <c r="AH192" s="511"/>
      <c r="AI192" s="511"/>
      <c r="AJ192" s="511"/>
      <c r="AK192" s="511"/>
      <c r="AL192" s="511"/>
      <c r="AM192" s="511"/>
      <c r="AN192" s="511"/>
      <c r="AO192" s="511"/>
      <c r="AP192" s="511"/>
      <c r="AQ192" s="511"/>
      <c r="AR192" s="511"/>
      <c r="AS192" s="511"/>
      <c r="AT192" s="511"/>
      <c r="AU192" s="511"/>
      <c r="AV192" s="511"/>
      <c r="AW192" s="511"/>
      <c r="AX192" s="511"/>
      <c r="AY192" s="511"/>
      <c r="AZ192" s="511"/>
      <c r="BA192" s="511"/>
      <c r="BB192" s="511"/>
      <c r="BC192" s="511"/>
    </row>
    <row r="193" spans="1:55" ht="16.5" customHeight="1" x14ac:dyDescent="0.3">
      <c r="A193" s="511"/>
      <c r="B193" s="511"/>
      <c r="C193" s="511"/>
      <c r="D193" s="511"/>
      <c r="E193" s="511"/>
      <c r="F193" s="511"/>
      <c r="G193" s="511"/>
      <c r="H193" s="511"/>
      <c r="I193" s="511"/>
      <c r="J193" s="511"/>
      <c r="K193" s="511"/>
      <c r="L193" s="511"/>
      <c r="M193" s="511"/>
      <c r="N193" s="511"/>
      <c r="O193" s="511"/>
      <c r="P193" s="511"/>
      <c r="Q193" s="511"/>
      <c r="R193" s="511"/>
      <c r="S193" s="511"/>
      <c r="T193" s="511"/>
      <c r="U193" s="511"/>
      <c r="V193" s="511"/>
      <c r="W193" s="511"/>
      <c r="X193" s="511"/>
      <c r="Y193" s="511"/>
      <c r="Z193" s="511"/>
      <c r="AA193" s="511"/>
      <c r="AB193" s="511"/>
      <c r="AC193" s="511"/>
      <c r="AD193" s="511"/>
      <c r="AE193" s="511"/>
      <c r="AF193" s="511"/>
      <c r="AG193" s="511"/>
      <c r="AH193" s="511"/>
      <c r="AI193" s="511"/>
      <c r="AJ193" s="511"/>
      <c r="AK193" s="511"/>
      <c r="AL193" s="511"/>
      <c r="AM193" s="511"/>
      <c r="AN193" s="511"/>
      <c r="AO193" s="511"/>
      <c r="AP193" s="511"/>
      <c r="AQ193" s="511"/>
      <c r="AR193" s="511"/>
      <c r="AS193" s="511"/>
      <c r="AT193" s="511"/>
      <c r="AU193" s="511"/>
      <c r="AV193" s="511"/>
      <c r="AW193" s="511"/>
      <c r="AX193" s="511"/>
      <c r="AY193" s="511"/>
      <c r="AZ193" s="511"/>
      <c r="BA193" s="511"/>
      <c r="BB193" s="511"/>
      <c r="BC193" s="511"/>
    </row>
    <row r="194" spans="1:55" ht="16.5" customHeight="1" x14ac:dyDescent="0.3">
      <c r="A194" s="511"/>
      <c r="B194" s="511"/>
      <c r="C194" s="511"/>
      <c r="D194" s="511"/>
      <c r="E194" s="511"/>
      <c r="F194" s="511"/>
      <c r="G194" s="511"/>
      <c r="H194" s="511"/>
      <c r="I194" s="511"/>
      <c r="J194" s="511"/>
      <c r="K194" s="511"/>
      <c r="L194" s="511"/>
      <c r="M194" s="511"/>
      <c r="N194" s="511"/>
      <c r="O194" s="511"/>
      <c r="P194" s="511"/>
      <c r="Q194" s="511"/>
      <c r="R194" s="511"/>
      <c r="S194" s="511"/>
      <c r="T194" s="511"/>
      <c r="U194" s="511"/>
      <c r="V194" s="511"/>
      <c r="W194" s="511"/>
      <c r="X194" s="511"/>
      <c r="Y194" s="511"/>
      <c r="Z194" s="511"/>
      <c r="AA194" s="511"/>
      <c r="AB194" s="511"/>
      <c r="AC194" s="511"/>
      <c r="AD194" s="511"/>
      <c r="AE194" s="511"/>
      <c r="AF194" s="511"/>
      <c r="AG194" s="511"/>
      <c r="AH194" s="511"/>
      <c r="AI194" s="511"/>
      <c r="AJ194" s="511"/>
      <c r="AK194" s="511"/>
      <c r="AL194" s="511"/>
      <c r="AM194" s="511"/>
      <c r="AN194" s="511"/>
      <c r="AO194" s="511"/>
      <c r="AP194" s="511"/>
      <c r="AQ194" s="511"/>
      <c r="AR194" s="511"/>
      <c r="AS194" s="511"/>
      <c r="AT194" s="511"/>
      <c r="AU194" s="511"/>
      <c r="AV194" s="511"/>
      <c r="AW194" s="511"/>
      <c r="AX194" s="511"/>
      <c r="AY194" s="511"/>
      <c r="AZ194" s="511"/>
      <c r="BA194" s="511"/>
      <c r="BB194" s="511"/>
      <c r="BC194" s="511"/>
    </row>
    <row r="195" spans="1:55" ht="16.5" customHeight="1" x14ac:dyDescent="0.3">
      <c r="A195" s="511"/>
      <c r="B195" s="511"/>
      <c r="C195" s="511"/>
      <c r="D195" s="511"/>
      <c r="E195" s="511"/>
      <c r="F195" s="511"/>
      <c r="G195" s="511"/>
      <c r="H195" s="511"/>
      <c r="I195" s="511"/>
      <c r="J195" s="511"/>
      <c r="K195" s="511"/>
      <c r="L195" s="511"/>
      <c r="M195" s="511"/>
      <c r="N195" s="511"/>
      <c r="O195" s="511"/>
      <c r="P195" s="511"/>
      <c r="Q195" s="511"/>
      <c r="R195" s="511"/>
      <c r="S195" s="511"/>
      <c r="T195" s="511"/>
      <c r="U195" s="511"/>
      <c r="V195" s="511"/>
      <c r="W195" s="511"/>
      <c r="X195" s="511"/>
      <c r="Y195" s="511"/>
      <c r="Z195" s="511"/>
      <c r="AA195" s="511"/>
      <c r="AB195" s="511"/>
      <c r="AC195" s="511"/>
      <c r="AD195" s="511"/>
      <c r="AE195" s="511"/>
      <c r="AF195" s="511"/>
      <c r="AG195" s="511"/>
      <c r="AH195" s="511"/>
      <c r="AI195" s="511"/>
      <c r="AJ195" s="511"/>
      <c r="AK195" s="511"/>
      <c r="AL195" s="511"/>
      <c r="AM195" s="511"/>
      <c r="AN195" s="511"/>
      <c r="AO195" s="511"/>
      <c r="AP195" s="511"/>
      <c r="AQ195" s="511"/>
      <c r="AR195" s="511"/>
      <c r="AS195" s="511"/>
      <c r="AT195" s="511"/>
      <c r="AU195" s="511"/>
      <c r="AV195" s="511"/>
      <c r="AW195" s="511"/>
      <c r="AX195" s="511"/>
      <c r="AY195" s="511"/>
      <c r="AZ195" s="511"/>
      <c r="BA195" s="511"/>
      <c r="BB195" s="511"/>
      <c r="BC195" s="511"/>
    </row>
    <row r="196" spans="1:55" ht="16.5" customHeight="1" x14ac:dyDescent="0.3">
      <c r="A196" s="511"/>
      <c r="B196" s="511"/>
      <c r="C196" s="511"/>
      <c r="D196" s="511"/>
      <c r="E196" s="511"/>
      <c r="F196" s="511"/>
      <c r="G196" s="511"/>
      <c r="H196" s="511"/>
      <c r="I196" s="511"/>
      <c r="J196" s="511"/>
      <c r="K196" s="511"/>
      <c r="L196" s="511"/>
      <c r="M196" s="511"/>
      <c r="N196" s="511"/>
      <c r="O196" s="511"/>
      <c r="P196" s="511"/>
      <c r="Q196" s="511"/>
      <c r="R196" s="511"/>
      <c r="S196" s="511"/>
      <c r="T196" s="511"/>
      <c r="U196" s="511"/>
      <c r="V196" s="511"/>
      <c r="W196" s="511"/>
      <c r="X196" s="511"/>
      <c r="Y196" s="511"/>
      <c r="Z196" s="511"/>
      <c r="AA196" s="511"/>
      <c r="AB196" s="511"/>
      <c r="AC196" s="511"/>
      <c r="AD196" s="511"/>
      <c r="AE196" s="511"/>
      <c r="AF196" s="511"/>
      <c r="AG196" s="511"/>
      <c r="AH196" s="511"/>
      <c r="AI196" s="511"/>
      <c r="AJ196" s="511"/>
      <c r="AK196" s="511"/>
      <c r="AL196" s="511"/>
      <c r="AM196" s="511"/>
      <c r="AN196" s="511"/>
      <c r="AO196" s="511"/>
      <c r="AP196" s="511"/>
      <c r="AQ196" s="511"/>
      <c r="AR196" s="511"/>
      <c r="AS196" s="511"/>
      <c r="AT196" s="511"/>
      <c r="AU196" s="511"/>
      <c r="AV196" s="511"/>
      <c r="AW196" s="511"/>
      <c r="AX196" s="511"/>
      <c r="AY196" s="511"/>
      <c r="AZ196" s="511"/>
      <c r="BA196" s="511"/>
      <c r="BB196" s="511"/>
      <c r="BC196" s="511"/>
    </row>
    <row r="197" spans="1:55" ht="16.5" customHeight="1" x14ac:dyDescent="0.3">
      <c r="A197" s="511"/>
      <c r="B197" s="511"/>
      <c r="C197" s="511"/>
      <c r="D197" s="511"/>
      <c r="E197" s="511"/>
      <c r="F197" s="511"/>
      <c r="G197" s="511"/>
      <c r="H197" s="511"/>
      <c r="I197" s="511"/>
      <c r="J197" s="511"/>
      <c r="K197" s="511"/>
      <c r="L197" s="511"/>
      <c r="M197" s="511"/>
      <c r="N197" s="511"/>
      <c r="O197" s="511"/>
      <c r="P197" s="511"/>
      <c r="Q197" s="511"/>
      <c r="R197" s="511"/>
      <c r="S197" s="511"/>
      <c r="T197" s="511"/>
      <c r="U197" s="511"/>
      <c r="V197" s="511"/>
      <c r="W197" s="511"/>
      <c r="X197" s="511"/>
      <c r="Y197" s="511"/>
      <c r="Z197" s="511"/>
      <c r="AA197" s="511"/>
      <c r="AB197" s="511"/>
      <c r="AC197" s="511"/>
      <c r="AD197" s="511"/>
      <c r="AE197" s="511"/>
      <c r="AF197" s="511"/>
      <c r="AG197" s="511"/>
      <c r="AH197" s="511"/>
      <c r="AI197" s="511"/>
      <c r="AJ197" s="511"/>
      <c r="AK197" s="511"/>
      <c r="AL197" s="511"/>
      <c r="AM197" s="511"/>
      <c r="AN197" s="511"/>
      <c r="AO197" s="511"/>
      <c r="AP197" s="511"/>
      <c r="AQ197" s="511"/>
      <c r="AR197" s="511"/>
      <c r="AS197" s="511"/>
      <c r="AT197" s="511"/>
      <c r="AU197" s="511"/>
      <c r="AV197" s="511"/>
      <c r="AW197" s="511"/>
      <c r="AX197" s="511"/>
      <c r="AY197" s="511"/>
      <c r="AZ197" s="511"/>
      <c r="BA197" s="511"/>
      <c r="BB197" s="511"/>
      <c r="BC197" s="511"/>
    </row>
    <row r="198" spans="1:55" ht="16.5" customHeight="1" x14ac:dyDescent="0.3">
      <c r="A198" s="511"/>
      <c r="B198" s="511"/>
      <c r="C198" s="511"/>
      <c r="D198" s="511"/>
      <c r="E198" s="511"/>
      <c r="F198" s="511"/>
      <c r="G198" s="511"/>
      <c r="H198" s="511"/>
      <c r="I198" s="511"/>
      <c r="J198" s="511"/>
      <c r="K198" s="511"/>
      <c r="L198" s="511"/>
      <c r="M198" s="511"/>
      <c r="N198" s="511"/>
      <c r="O198" s="511"/>
      <c r="P198" s="511"/>
      <c r="Q198" s="511"/>
      <c r="R198" s="511"/>
      <c r="S198" s="511"/>
      <c r="T198" s="511"/>
      <c r="U198" s="511"/>
      <c r="V198" s="511"/>
      <c r="W198" s="511"/>
      <c r="X198" s="511"/>
      <c r="Y198" s="511"/>
      <c r="Z198" s="511"/>
      <c r="AA198" s="511"/>
      <c r="AB198" s="511"/>
      <c r="AC198" s="511"/>
      <c r="AD198" s="511"/>
      <c r="AE198" s="511"/>
      <c r="AF198" s="511"/>
      <c r="AG198" s="511"/>
      <c r="AH198" s="511"/>
      <c r="AI198" s="511"/>
      <c r="AJ198" s="511"/>
      <c r="AK198" s="511"/>
      <c r="AL198" s="511"/>
      <c r="AM198" s="511"/>
      <c r="AN198" s="511"/>
      <c r="AO198" s="511"/>
      <c r="AP198" s="511"/>
      <c r="AQ198" s="511"/>
      <c r="AR198" s="511"/>
      <c r="AS198" s="511"/>
      <c r="AT198" s="511"/>
      <c r="AU198" s="511"/>
      <c r="AV198" s="511"/>
      <c r="AW198" s="511"/>
      <c r="AX198" s="511"/>
      <c r="AY198" s="511"/>
      <c r="AZ198" s="511"/>
      <c r="BA198" s="511"/>
      <c r="BB198" s="511"/>
      <c r="BC198" s="511"/>
    </row>
    <row r="199" spans="1:55" ht="16.5" customHeight="1" x14ac:dyDescent="0.3">
      <c r="A199" s="511"/>
      <c r="B199" s="511"/>
      <c r="C199" s="511"/>
      <c r="D199" s="511"/>
      <c r="E199" s="511"/>
      <c r="F199" s="511"/>
      <c r="G199" s="511"/>
      <c r="H199" s="511"/>
      <c r="I199" s="511"/>
      <c r="J199" s="511"/>
      <c r="K199" s="511"/>
      <c r="L199" s="511"/>
      <c r="M199" s="511"/>
      <c r="N199" s="511"/>
      <c r="O199" s="511"/>
      <c r="P199" s="511"/>
      <c r="Q199" s="511"/>
      <c r="R199" s="511"/>
      <c r="S199" s="511"/>
      <c r="T199" s="511"/>
      <c r="U199" s="511"/>
      <c r="V199" s="511"/>
      <c r="W199" s="511"/>
      <c r="X199" s="511"/>
      <c r="Y199" s="511"/>
      <c r="Z199" s="511"/>
      <c r="AA199" s="511"/>
      <c r="AB199" s="511"/>
      <c r="AC199" s="511"/>
      <c r="AD199" s="511"/>
      <c r="AE199" s="511"/>
      <c r="AF199" s="511"/>
      <c r="AG199" s="511"/>
      <c r="AH199" s="511"/>
      <c r="AI199" s="511"/>
      <c r="AJ199" s="511"/>
      <c r="AK199" s="511"/>
      <c r="AL199" s="511"/>
      <c r="AM199" s="511"/>
      <c r="AN199" s="511"/>
      <c r="AO199" s="511"/>
      <c r="AP199" s="511"/>
      <c r="AQ199" s="511"/>
      <c r="AR199" s="511"/>
      <c r="AS199" s="511"/>
      <c r="AT199" s="511"/>
      <c r="AU199" s="511"/>
      <c r="AV199" s="511"/>
      <c r="AW199" s="511"/>
      <c r="AX199" s="511"/>
      <c r="AY199" s="511"/>
      <c r="AZ199" s="511"/>
      <c r="BA199" s="511"/>
      <c r="BB199" s="511"/>
      <c r="BC199" s="511"/>
    </row>
    <row r="200" spans="1:55" ht="16.5" customHeight="1" x14ac:dyDescent="0.3">
      <c r="A200" s="511"/>
      <c r="B200" s="511"/>
      <c r="C200" s="511"/>
      <c r="D200" s="511"/>
      <c r="E200" s="511"/>
      <c r="F200" s="511"/>
      <c r="G200" s="511"/>
      <c r="H200" s="511"/>
      <c r="I200" s="511"/>
      <c r="J200" s="511"/>
      <c r="K200" s="511"/>
      <c r="L200" s="511"/>
      <c r="M200" s="511"/>
      <c r="N200" s="511"/>
      <c r="O200" s="511"/>
      <c r="P200" s="511"/>
      <c r="Q200" s="511"/>
      <c r="R200" s="511"/>
      <c r="S200" s="511"/>
      <c r="T200" s="511"/>
      <c r="U200" s="511"/>
      <c r="V200" s="511"/>
      <c r="W200" s="511"/>
      <c r="X200" s="511"/>
      <c r="Y200" s="511"/>
      <c r="Z200" s="511"/>
      <c r="AA200" s="511"/>
      <c r="AB200" s="511"/>
      <c r="AC200" s="511"/>
      <c r="AD200" s="511"/>
      <c r="AE200" s="511"/>
      <c r="AF200" s="511"/>
      <c r="AG200" s="511"/>
      <c r="AH200" s="511"/>
      <c r="AI200" s="511"/>
      <c r="AJ200" s="511"/>
      <c r="AK200" s="511"/>
      <c r="AL200" s="511"/>
      <c r="AM200" s="511"/>
      <c r="AN200" s="511"/>
      <c r="AO200" s="511"/>
      <c r="AP200" s="511"/>
      <c r="AQ200" s="511"/>
      <c r="AR200" s="511"/>
      <c r="AS200" s="511"/>
      <c r="AT200" s="511"/>
      <c r="AU200" s="511"/>
      <c r="AV200" s="511"/>
      <c r="AW200" s="511"/>
      <c r="AX200" s="511"/>
      <c r="AY200" s="511"/>
      <c r="AZ200" s="511"/>
      <c r="BA200" s="511"/>
      <c r="BB200" s="511"/>
      <c r="BC200" s="511"/>
    </row>
    <row r="201" spans="1:55" ht="16.5" customHeight="1" x14ac:dyDescent="0.3">
      <c r="A201" s="511"/>
      <c r="B201" s="511"/>
      <c r="C201" s="511"/>
      <c r="D201" s="511"/>
      <c r="E201" s="511"/>
      <c r="F201" s="511"/>
      <c r="G201" s="511"/>
      <c r="H201" s="511"/>
      <c r="I201" s="511"/>
      <c r="J201" s="511"/>
      <c r="K201" s="511"/>
      <c r="L201" s="511"/>
      <c r="M201" s="511"/>
      <c r="N201" s="511"/>
      <c r="O201" s="511"/>
      <c r="P201" s="511"/>
      <c r="Q201" s="511"/>
      <c r="R201" s="511"/>
      <c r="S201" s="511"/>
      <c r="T201" s="511"/>
      <c r="U201" s="511"/>
      <c r="V201" s="511"/>
      <c r="W201" s="511"/>
      <c r="X201" s="511"/>
      <c r="Y201" s="511"/>
      <c r="Z201" s="511"/>
      <c r="AA201" s="511"/>
      <c r="AB201" s="511"/>
      <c r="AC201" s="511"/>
      <c r="AD201" s="511"/>
      <c r="AE201" s="511"/>
      <c r="AF201" s="511"/>
      <c r="AG201" s="511"/>
      <c r="AH201" s="511"/>
      <c r="AI201" s="511"/>
      <c r="AJ201" s="511"/>
      <c r="AK201" s="511"/>
      <c r="AL201" s="511"/>
      <c r="AM201" s="511"/>
      <c r="AN201" s="511"/>
      <c r="AO201" s="511"/>
      <c r="AP201" s="511"/>
      <c r="AQ201" s="511"/>
      <c r="AR201" s="511"/>
      <c r="AS201" s="511"/>
      <c r="AT201" s="511"/>
      <c r="AU201" s="511"/>
      <c r="AV201" s="511"/>
      <c r="AW201" s="511"/>
      <c r="AX201" s="511"/>
      <c r="AY201" s="511"/>
      <c r="AZ201" s="511"/>
      <c r="BA201" s="511"/>
      <c r="BB201" s="511"/>
      <c r="BC201" s="511"/>
    </row>
    <row r="202" spans="1:55" ht="16.5" customHeight="1" x14ac:dyDescent="0.3">
      <c r="A202" s="511"/>
      <c r="B202" s="511"/>
      <c r="C202" s="511"/>
      <c r="D202" s="511"/>
      <c r="E202" s="511"/>
      <c r="F202" s="511"/>
      <c r="G202" s="511"/>
      <c r="H202" s="511"/>
      <c r="I202" s="511"/>
      <c r="J202" s="511"/>
      <c r="K202" s="511"/>
      <c r="L202" s="511"/>
      <c r="M202" s="511"/>
      <c r="N202" s="511"/>
      <c r="O202" s="511"/>
      <c r="P202" s="511"/>
      <c r="Q202" s="511"/>
      <c r="R202" s="511"/>
      <c r="S202" s="511"/>
      <c r="T202" s="511"/>
      <c r="U202" s="511"/>
      <c r="V202" s="511"/>
      <c r="W202" s="511"/>
      <c r="X202" s="511"/>
      <c r="Y202" s="511"/>
      <c r="Z202" s="511"/>
      <c r="AA202" s="511"/>
      <c r="AB202" s="511"/>
      <c r="AC202" s="511"/>
      <c r="AD202" s="511"/>
      <c r="AE202" s="511"/>
      <c r="AF202" s="511"/>
      <c r="AG202" s="511"/>
      <c r="AH202" s="511"/>
      <c r="AI202" s="511"/>
      <c r="AJ202" s="511"/>
      <c r="AK202" s="511"/>
      <c r="AL202" s="511"/>
      <c r="AM202" s="511"/>
      <c r="AN202" s="511"/>
      <c r="AO202" s="511"/>
      <c r="AP202" s="511"/>
      <c r="AQ202" s="511"/>
      <c r="AR202" s="511"/>
      <c r="AS202" s="511"/>
      <c r="AT202" s="511"/>
      <c r="AU202" s="511"/>
      <c r="AV202" s="511"/>
      <c r="AW202" s="511"/>
      <c r="AX202" s="511"/>
      <c r="AY202" s="511"/>
      <c r="AZ202" s="511"/>
      <c r="BA202" s="511"/>
      <c r="BB202" s="511"/>
      <c r="BC202" s="511"/>
    </row>
    <row r="203" spans="1:55" ht="16.5" customHeight="1" x14ac:dyDescent="0.3">
      <c r="A203" s="511"/>
      <c r="B203" s="511"/>
      <c r="C203" s="511"/>
      <c r="D203" s="511"/>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c r="AA203" s="511"/>
      <c r="AB203" s="511"/>
      <c r="AC203" s="511"/>
      <c r="AD203" s="511"/>
      <c r="AE203" s="511"/>
      <c r="AF203" s="511"/>
      <c r="AG203" s="511"/>
      <c r="AH203" s="511"/>
      <c r="AI203" s="511"/>
      <c r="AJ203" s="511"/>
      <c r="AK203" s="511"/>
      <c r="AL203" s="511"/>
      <c r="AM203" s="511"/>
      <c r="AN203" s="511"/>
      <c r="AO203" s="511"/>
      <c r="AP203" s="511"/>
      <c r="AQ203" s="511"/>
      <c r="AR203" s="511"/>
      <c r="AS203" s="511"/>
      <c r="AT203" s="511"/>
      <c r="AU203" s="511"/>
      <c r="AV203" s="511"/>
      <c r="AW203" s="511"/>
      <c r="AX203" s="511"/>
      <c r="AY203" s="511"/>
      <c r="AZ203" s="511"/>
      <c r="BA203" s="511"/>
      <c r="BB203" s="511"/>
      <c r="BC203" s="511"/>
    </row>
    <row r="204" spans="1:55" ht="16.5" customHeight="1" x14ac:dyDescent="0.3">
      <c r="A204" s="511"/>
      <c r="B204" s="511"/>
      <c r="C204" s="511"/>
      <c r="D204" s="511"/>
      <c r="E204" s="511"/>
      <c r="F204" s="511"/>
      <c r="G204" s="511"/>
      <c r="H204" s="511"/>
      <c r="I204" s="511"/>
      <c r="J204" s="511"/>
      <c r="K204" s="511"/>
      <c r="L204" s="511"/>
      <c r="M204" s="511"/>
      <c r="N204" s="511"/>
      <c r="O204" s="511"/>
      <c r="P204" s="511"/>
      <c r="Q204" s="511"/>
      <c r="R204" s="511"/>
      <c r="S204" s="511"/>
      <c r="T204" s="511"/>
      <c r="U204" s="511"/>
      <c r="V204" s="511"/>
      <c r="W204" s="511"/>
      <c r="X204" s="511"/>
      <c r="Y204" s="511"/>
      <c r="Z204" s="511"/>
      <c r="AA204" s="511"/>
      <c r="AB204" s="511"/>
      <c r="AC204" s="511"/>
      <c r="AD204" s="511"/>
      <c r="AE204" s="511"/>
      <c r="AF204" s="511"/>
      <c r="AG204" s="511"/>
      <c r="AH204" s="511"/>
      <c r="AI204" s="511"/>
      <c r="AJ204" s="511"/>
      <c r="AK204" s="511"/>
      <c r="AL204" s="511"/>
      <c r="AM204" s="511"/>
      <c r="AN204" s="511"/>
      <c r="AO204" s="511"/>
      <c r="AP204" s="511"/>
      <c r="AQ204" s="511"/>
      <c r="AR204" s="511"/>
      <c r="AS204" s="511"/>
      <c r="AT204" s="511"/>
      <c r="AU204" s="511"/>
      <c r="AV204" s="511"/>
      <c r="AW204" s="511"/>
      <c r="AX204" s="511"/>
      <c r="AY204" s="511"/>
      <c r="AZ204" s="511"/>
      <c r="BA204" s="511"/>
      <c r="BB204" s="511"/>
      <c r="BC204" s="511"/>
    </row>
    <row r="205" spans="1:55" ht="16.5" customHeight="1" x14ac:dyDescent="0.3">
      <c r="A205" s="511"/>
      <c r="B205" s="511"/>
      <c r="C205" s="511"/>
      <c r="D205" s="511"/>
      <c r="E205" s="511"/>
      <c r="F205" s="511"/>
      <c r="G205" s="511"/>
      <c r="H205" s="511"/>
      <c r="I205" s="511"/>
      <c r="J205" s="511"/>
      <c r="K205" s="511"/>
      <c r="L205" s="511"/>
      <c r="M205" s="511"/>
      <c r="N205" s="511"/>
      <c r="O205" s="511"/>
      <c r="P205" s="511"/>
      <c r="Q205" s="511"/>
      <c r="R205" s="511"/>
      <c r="S205" s="511"/>
      <c r="T205" s="511"/>
      <c r="U205" s="511"/>
      <c r="V205" s="511"/>
      <c r="W205" s="511"/>
      <c r="X205" s="511"/>
      <c r="Y205" s="511"/>
      <c r="Z205" s="511"/>
      <c r="AA205" s="511"/>
      <c r="AB205" s="511"/>
      <c r="AC205" s="511"/>
      <c r="AD205" s="511"/>
      <c r="AE205" s="511"/>
      <c r="AF205" s="511"/>
      <c r="AG205" s="511"/>
      <c r="AH205" s="511"/>
      <c r="AI205" s="511"/>
      <c r="AJ205" s="511"/>
      <c r="AK205" s="511"/>
      <c r="AL205" s="511"/>
      <c r="AM205" s="511"/>
      <c r="AN205" s="511"/>
      <c r="AO205" s="511"/>
      <c r="AP205" s="511"/>
      <c r="AQ205" s="511"/>
      <c r="AR205" s="511"/>
      <c r="AS205" s="511"/>
      <c r="AT205" s="511"/>
      <c r="AU205" s="511"/>
      <c r="AV205" s="511"/>
      <c r="AW205" s="511"/>
      <c r="AX205" s="511"/>
      <c r="AY205" s="511"/>
      <c r="AZ205" s="511"/>
      <c r="BA205" s="511"/>
      <c r="BB205" s="511"/>
      <c r="BC205" s="511"/>
    </row>
    <row r="206" spans="1:55" ht="16.5" customHeight="1" x14ac:dyDescent="0.3">
      <c r="A206" s="511"/>
      <c r="B206" s="511"/>
      <c r="C206" s="511"/>
      <c r="D206" s="511"/>
      <c r="E206" s="511"/>
      <c r="F206" s="511"/>
      <c r="G206" s="511"/>
      <c r="H206" s="511"/>
      <c r="I206" s="511"/>
      <c r="J206" s="511"/>
      <c r="K206" s="511"/>
      <c r="L206" s="511"/>
      <c r="M206" s="511"/>
      <c r="N206" s="511"/>
      <c r="O206" s="511"/>
      <c r="P206" s="511"/>
      <c r="Q206" s="511"/>
      <c r="R206" s="511"/>
      <c r="S206" s="511"/>
      <c r="T206" s="511"/>
      <c r="U206" s="511"/>
      <c r="V206" s="511"/>
      <c r="W206" s="511"/>
      <c r="X206" s="511"/>
      <c r="Y206" s="511"/>
      <c r="Z206" s="511"/>
      <c r="AA206" s="511"/>
      <c r="AB206" s="511"/>
      <c r="AC206" s="511"/>
      <c r="AD206" s="511"/>
      <c r="AE206" s="511"/>
      <c r="AF206" s="511"/>
      <c r="AG206" s="511"/>
      <c r="AH206" s="511"/>
      <c r="AI206" s="511"/>
      <c r="AJ206" s="511"/>
      <c r="AK206" s="511"/>
      <c r="AL206" s="511"/>
      <c r="AM206" s="511"/>
      <c r="AN206" s="511"/>
      <c r="AO206" s="511"/>
      <c r="AP206" s="511"/>
      <c r="AQ206" s="511"/>
      <c r="AR206" s="511"/>
      <c r="AS206" s="511"/>
      <c r="AT206" s="511"/>
      <c r="AU206" s="511"/>
      <c r="AV206" s="511"/>
      <c r="AW206" s="511"/>
      <c r="AX206" s="511"/>
      <c r="AY206" s="511"/>
      <c r="AZ206" s="511"/>
      <c r="BA206" s="511"/>
      <c r="BB206" s="511"/>
      <c r="BC206" s="511"/>
    </row>
    <row r="207" spans="1:55" ht="16.5" customHeight="1" x14ac:dyDescent="0.3">
      <c r="A207" s="511"/>
      <c r="B207" s="511"/>
      <c r="C207" s="511"/>
      <c r="D207" s="511"/>
      <c r="E207" s="511"/>
      <c r="F207" s="511"/>
      <c r="G207" s="511"/>
      <c r="H207" s="511"/>
      <c r="I207" s="511"/>
      <c r="J207" s="511"/>
      <c r="K207" s="511"/>
      <c r="L207" s="511"/>
      <c r="M207" s="511"/>
      <c r="N207" s="511"/>
      <c r="O207" s="511"/>
      <c r="P207" s="511"/>
      <c r="Q207" s="511"/>
      <c r="R207" s="511"/>
      <c r="S207" s="511"/>
      <c r="T207" s="511"/>
      <c r="U207" s="511"/>
      <c r="V207" s="511"/>
      <c r="W207" s="511"/>
      <c r="X207" s="511"/>
      <c r="Y207" s="511"/>
      <c r="Z207" s="511"/>
      <c r="AA207" s="511"/>
      <c r="AB207" s="511"/>
      <c r="AC207" s="511"/>
      <c r="AD207" s="511"/>
      <c r="AE207" s="511"/>
      <c r="AF207" s="511"/>
      <c r="AG207" s="511"/>
      <c r="AH207" s="511"/>
      <c r="AI207" s="511"/>
      <c r="AJ207" s="511"/>
      <c r="AK207" s="511"/>
      <c r="AL207" s="511"/>
      <c r="AM207" s="511"/>
      <c r="AN207" s="511"/>
      <c r="AO207" s="511"/>
      <c r="AP207" s="511"/>
      <c r="AQ207" s="511"/>
      <c r="AR207" s="511"/>
      <c r="AS207" s="511"/>
      <c r="AT207" s="511"/>
      <c r="AU207" s="511"/>
      <c r="AV207" s="511"/>
      <c r="AW207" s="511"/>
      <c r="AX207" s="511"/>
      <c r="AY207" s="511"/>
      <c r="AZ207" s="511"/>
      <c r="BA207" s="511"/>
      <c r="BB207" s="511"/>
      <c r="BC207" s="511"/>
    </row>
    <row r="208" spans="1:55" ht="16.5" customHeight="1" x14ac:dyDescent="0.3">
      <c r="A208" s="511"/>
      <c r="B208" s="511"/>
      <c r="C208" s="511"/>
      <c r="D208" s="511"/>
      <c r="E208" s="511"/>
      <c r="F208" s="511"/>
      <c r="G208" s="511"/>
      <c r="H208" s="511"/>
      <c r="I208" s="511"/>
      <c r="J208" s="511"/>
      <c r="K208" s="511"/>
      <c r="L208" s="511"/>
      <c r="M208" s="511"/>
      <c r="N208" s="511"/>
      <c r="O208" s="511"/>
      <c r="P208" s="511"/>
      <c r="Q208" s="511"/>
      <c r="R208" s="511"/>
      <c r="S208" s="511"/>
      <c r="T208" s="511"/>
      <c r="U208" s="511"/>
      <c r="V208" s="511"/>
      <c r="W208" s="511"/>
      <c r="X208" s="511"/>
      <c r="Y208" s="511"/>
      <c r="Z208" s="511"/>
      <c r="AA208" s="511"/>
      <c r="AB208" s="511"/>
      <c r="AC208" s="511"/>
      <c r="AD208" s="511"/>
      <c r="AE208" s="511"/>
      <c r="AF208" s="511"/>
      <c r="AG208" s="511"/>
      <c r="AH208" s="511"/>
      <c r="AI208" s="511"/>
      <c r="AJ208" s="511"/>
      <c r="AK208" s="511"/>
      <c r="AL208" s="511"/>
      <c r="AM208" s="511"/>
      <c r="AN208" s="511"/>
      <c r="AO208" s="511"/>
      <c r="AP208" s="511"/>
      <c r="AQ208" s="511"/>
      <c r="AR208" s="511"/>
      <c r="AS208" s="511"/>
      <c r="AT208" s="511"/>
      <c r="AU208" s="511"/>
      <c r="AV208" s="511"/>
      <c r="AW208" s="511"/>
      <c r="AX208" s="511"/>
      <c r="AY208" s="511"/>
      <c r="AZ208" s="511"/>
      <c r="BA208" s="511"/>
      <c r="BB208" s="511"/>
      <c r="BC208" s="511"/>
    </row>
    <row r="209" spans="1:55" ht="16.5" customHeight="1" x14ac:dyDescent="0.3">
      <c r="A209" s="511"/>
      <c r="B209" s="511"/>
      <c r="C209" s="511"/>
      <c r="D209" s="511"/>
      <c r="E209" s="511"/>
      <c r="F209" s="511"/>
      <c r="G209" s="511"/>
      <c r="H209" s="511"/>
      <c r="I209" s="511"/>
      <c r="J209" s="511"/>
      <c r="K209" s="511"/>
      <c r="L209" s="511"/>
      <c r="M209" s="511"/>
      <c r="N209" s="511"/>
      <c r="O209" s="511"/>
      <c r="P209" s="511"/>
      <c r="Q209" s="511"/>
      <c r="R209" s="511"/>
      <c r="S209" s="511"/>
      <c r="T209" s="511"/>
      <c r="U209" s="511"/>
      <c r="V209" s="511"/>
      <c r="W209" s="511"/>
      <c r="X209" s="511"/>
      <c r="Y209" s="511"/>
      <c r="Z209" s="511"/>
      <c r="AA209" s="511"/>
      <c r="AB209" s="511"/>
      <c r="AC209" s="511"/>
      <c r="AD209" s="511"/>
      <c r="AE209" s="511"/>
      <c r="AF209" s="511"/>
      <c r="AG209" s="511"/>
      <c r="AH209" s="511"/>
      <c r="AI209" s="511"/>
      <c r="AJ209" s="511"/>
      <c r="AK209" s="511"/>
      <c r="AL209" s="511"/>
      <c r="AM209" s="511"/>
      <c r="AN209" s="511"/>
      <c r="AO209" s="511"/>
      <c r="AP209" s="511"/>
      <c r="AQ209" s="511"/>
      <c r="AR209" s="511"/>
      <c r="AS209" s="511"/>
      <c r="AT209" s="511"/>
      <c r="AU209" s="511"/>
      <c r="AV209" s="511"/>
      <c r="AW209" s="511"/>
      <c r="AX209" s="511"/>
      <c r="AY209" s="511"/>
      <c r="AZ209" s="511"/>
      <c r="BA209" s="511"/>
      <c r="BB209" s="511"/>
      <c r="BC209" s="511"/>
    </row>
    <row r="210" spans="1:55" ht="16.5" customHeight="1" x14ac:dyDescent="0.3">
      <c r="A210" s="511"/>
      <c r="B210" s="511"/>
      <c r="C210" s="511"/>
      <c r="D210" s="511"/>
      <c r="E210" s="511"/>
      <c r="F210" s="511"/>
      <c r="G210" s="511"/>
      <c r="H210" s="511"/>
      <c r="I210" s="511"/>
      <c r="J210" s="511"/>
      <c r="K210" s="511"/>
      <c r="L210" s="511"/>
      <c r="M210" s="511"/>
      <c r="N210" s="511"/>
      <c r="O210" s="511"/>
      <c r="P210" s="511"/>
      <c r="Q210" s="511"/>
      <c r="R210" s="511"/>
      <c r="S210" s="511"/>
      <c r="T210" s="511"/>
      <c r="U210" s="511"/>
      <c r="V210" s="511"/>
      <c r="W210" s="511"/>
      <c r="X210" s="511"/>
      <c r="Y210" s="511"/>
      <c r="Z210" s="511"/>
      <c r="AA210" s="511"/>
      <c r="AB210" s="511"/>
      <c r="AC210" s="511"/>
      <c r="AD210" s="511"/>
      <c r="AE210" s="511"/>
      <c r="AF210" s="511"/>
      <c r="AG210" s="511"/>
      <c r="AH210" s="511"/>
      <c r="AI210" s="511"/>
      <c r="AJ210" s="511"/>
      <c r="AK210" s="511"/>
      <c r="AL210" s="511"/>
      <c r="AM210" s="511"/>
      <c r="AN210" s="511"/>
      <c r="AO210" s="511"/>
      <c r="AP210" s="511"/>
      <c r="AQ210" s="511"/>
      <c r="AR210" s="511"/>
      <c r="AS210" s="511"/>
      <c r="AT210" s="511"/>
      <c r="AU210" s="511"/>
      <c r="AV210" s="511"/>
      <c r="AW210" s="511"/>
      <c r="AX210" s="511"/>
      <c r="AY210" s="511"/>
      <c r="AZ210" s="511"/>
      <c r="BA210" s="511"/>
      <c r="BB210" s="511"/>
      <c r="BC210" s="511"/>
    </row>
    <row r="211" spans="1:55" ht="16.5" customHeight="1" x14ac:dyDescent="0.3">
      <c r="A211" s="511"/>
      <c r="B211" s="511"/>
      <c r="C211" s="511"/>
      <c r="D211" s="511"/>
      <c r="E211" s="511"/>
      <c r="F211" s="511"/>
      <c r="G211" s="511"/>
      <c r="H211" s="511"/>
      <c r="I211" s="511"/>
      <c r="J211" s="511"/>
      <c r="K211" s="511"/>
      <c r="L211" s="511"/>
      <c r="M211" s="511"/>
      <c r="N211" s="511"/>
      <c r="O211" s="511"/>
      <c r="P211" s="511"/>
      <c r="Q211" s="511"/>
      <c r="R211" s="511"/>
      <c r="S211" s="511"/>
      <c r="T211" s="511"/>
      <c r="U211" s="511"/>
      <c r="V211" s="511"/>
      <c r="W211" s="511"/>
      <c r="X211" s="511"/>
      <c r="Y211" s="511"/>
      <c r="Z211" s="511"/>
      <c r="AA211" s="511"/>
      <c r="AB211" s="511"/>
      <c r="AC211" s="511"/>
      <c r="AD211" s="511"/>
      <c r="AE211" s="511"/>
      <c r="AF211" s="511"/>
      <c r="AG211" s="511"/>
      <c r="AH211" s="511"/>
      <c r="AI211" s="511"/>
      <c r="AJ211" s="511"/>
      <c r="AK211" s="511"/>
      <c r="AL211" s="511"/>
      <c r="AM211" s="511"/>
      <c r="AN211" s="511"/>
      <c r="AO211" s="511"/>
      <c r="AP211" s="511"/>
      <c r="AQ211" s="511"/>
      <c r="AR211" s="511"/>
      <c r="AS211" s="511"/>
      <c r="AT211" s="511"/>
      <c r="AU211" s="511"/>
      <c r="AV211" s="511"/>
      <c r="AW211" s="511"/>
      <c r="AX211" s="511"/>
      <c r="AY211" s="511"/>
      <c r="AZ211" s="511"/>
      <c r="BA211" s="511"/>
      <c r="BB211" s="511"/>
      <c r="BC211" s="511"/>
    </row>
    <row r="212" spans="1:55" ht="16.5" customHeight="1" x14ac:dyDescent="0.3">
      <c r="A212" s="511"/>
      <c r="B212" s="511"/>
      <c r="C212" s="511"/>
      <c r="D212" s="511"/>
      <c r="E212" s="511"/>
      <c r="F212" s="511"/>
      <c r="G212" s="511"/>
      <c r="H212" s="511"/>
      <c r="I212" s="511"/>
      <c r="J212" s="511"/>
      <c r="K212" s="511"/>
      <c r="L212" s="511"/>
      <c r="M212" s="511"/>
      <c r="N212" s="511"/>
      <c r="O212" s="511"/>
      <c r="P212" s="511"/>
      <c r="Q212" s="511"/>
      <c r="R212" s="511"/>
      <c r="S212" s="511"/>
      <c r="T212" s="511"/>
      <c r="U212" s="511"/>
      <c r="V212" s="511"/>
      <c r="W212" s="511"/>
      <c r="X212" s="511"/>
      <c r="Y212" s="511"/>
      <c r="Z212" s="511"/>
      <c r="AA212" s="511"/>
      <c r="AB212" s="511"/>
      <c r="AC212" s="511"/>
      <c r="AD212" s="511"/>
      <c r="AE212" s="511"/>
      <c r="AF212" s="511"/>
      <c r="AG212" s="511"/>
      <c r="AH212" s="511"/>
      <c r="AI212" s="511"/>
      <c r="AJ212" s="511"/>
      <c r="AK212" s="511"/>
      <c r="AL212" s="511"/>
      <c r="AM212" s="511"/>
      <c r="AN212" s="511"/>
      <c r="AO212" s="511"/>
      <c r="AP212" s="511"/>
      <c r="AQ212" s="511"/>
      <c r="AR212" s="511"/>
      <c r="AS212" s="511"/>
      <c r="AT212" s="511"/>
      <c r="AU212" s="511"/>
      <c r="AV212" s="511"/>
      <c r="AW212" s="511"/>
      <c r="AX212" s="511"/>
      <c r="AY212" s="511"/>
      <c r="AZ212" s="511"/>
      <c r="BA212" s="511"/>
      <c r="BB212" s="511"/>
      <c r="BC212" s="511"/>
    </row>
    <row r="213" spans="1:55" ht="16.5" customHeight="1" x14ac:dyDescent="0.3">
      <c r="A213" s="511"/>
      <c r="B213" s="511"/>
      <c r="C213" s="511"/>
      <c r="D213" s="511"/>
      <c r="E213" s="511"/>
      <c r="F213" s="511"/>
      <c r="G213" s="511"/>
      <c r="H213" s="511"/>
      <c r="I213" s="511"/>
      <c r="J213" s="511"/>
      <c r="K213" s="511"/>
      <c r="L213" s="511"/>
      <c r="M213" s="511"/>
      <c r="N213" s="511"/>
      <c r="O213" s="511"/>
      <c r="P213" s="511"/>
      <c r="Q213" s="511"/>
      <c r="R213" s="511"/>
      <c r="S213" s="511"/>
      <c r="T213" s="511"/>
      <c r="U213" s="511"/>
      <c r="V213" s="511"/>
      <c r="W213" s="511"/>
      <c r="X213" s="511"/>
      <c r="Y213" s="511"/>
      <c r="Z213" s="511"/>
      <c r="AA213" s="511"/>
      <c r="AB213" s="511"/>
      <c r="AC213" s="511"/>
      <c r="AD213" s="511"/>
      <c r="AE213" s="511"/>
      <c r="AF213" s="511"/>
      <c r="AG213" s="511"/>
      <c r="AH213" s="511"/>
      <c r="AI213" s="511"/>
      <c r="AJ213" s="511"/>
      <c r="AK213" s="511"/>
      <c r="AL213" s="511"/>
      <c r="AM213" s="511"/>
      <c r="AN213" s="511"/>
      <c r="AO213" s="511"/>
      <c r="AP213" s="511"/>
      <c r="AQ213" s="511"/>
      <c r="AR213" s="511"/>
      <c r="AS213" s="511"/>
      <c r="AT213" s="511"/>
      <c r="AU213" s="511"/>
      <c r="AV213" s="511"/>
      <c r="AW213" s="511"/>
      <c r="AX213" s="511"/>
      <c r="AY213" s="511"/>
      <c r="AZ213" s="511"/>
      <c r="BA213" s="511"/>
      <c r="BB213" s="511"/>
      <c r="BC213" s="511"/>
    </row>
    <row r="214" spans="1:55" ht="16.5" customHeight="1" x14ac:dyDescent="0.3">
      <c r="A214" s="511"/>
      <c r="B214" s="511"/>
      <c r="C214" s="511"/>
      <c r="D214" s="511"/>
      <c r="E214" s="511"/>
      <c r="F214" s="511"/>
      <c r="G214" s="511"/>
      <c r="H214" s="511"/>
      <c r="I214" s="511"/>
      <c r="J214" s="511"/>
      <c r="K214" s="511"/>
      <c r="L214" s="511"/>
      <c r="M214" s="511"/>
      <c r="N214" s="511"/>
      <c r="O214" s="511"/>
      <c r="P214" s="511"/>
      <c r="Q214" s="511"/>
      <c r="R214" s="511"/>
      <c r="S214" s="511"/>
      <c r="T214" s="511"/>
      <c r="U214" s="511"/>
      <c r="V214" s="511"/>
      <c r="W214" s="511"/>
      <c r="X214" s="511"/>
      <c r="Y214" s="511"/>
      <c r="Z214" s="511"/>
      <c r="AA214" s="511"/>
      <c r="AB214" s="511"/>
      <c r="AC214" s="511"/>
      <c r="AD214" s="511"/>
      <c r="AE214" s="511"/>
      <c r="AF214" s="511"/>
      <c r="AG214" s="511"/>
      <c r="AH214" s="511"/>
      <c r="AI214" s="511"/>
      <c r="AJ214" s="511"/>
      <c r="AK214" s="511"/>
      <c r="AL214" s="511"/>
      <c r="AM214" s="511"/>
      <c r="AN214" s="511"/>
      <c r="AO214" s="511"/>
      <c r="AP214" s="511"/>
      <c r="AQ214" s="511"/>
      <c r="AR214" s="511"/>
      <c r="AS214" s="511"/>
      <c r="AT214" s="511"/>
      <c r="AU214" s="511"/>
      <c r="AV214" s="511"/>
      <c r="AW214" s="511"/>
      <c r="AX214" s="511"/>
      <c r="AY214" s="511"/>
      <c r="AZ214" s="511"/>
      <c r="BA214" s="511"/>
      <c r="BB214" s="511"/>
      <c r="BC214" s="511"/>
    </row>
    <row r="215" spans="1:55" ht="16.5" customHeight="1" x14ac:dyDescent="0.3">
      <c r="A215" s="511"/>
      <c r="B215" s="511"/>
      <c r="C215" s="511"/>
      <c r="D215" s="511"/>
      <c r="E215" s="511"/>
      <c r="F215" s="511"/>
      <c r="G215" s="511"/>
      <c r="H215" s="511"/>
      <c r="I215" s="511"/>
      <c r="J215" s="511"/>
      <c r="K215" s="511"/>
      <c r="L215" s="511"/>
      <c r="M215" s="511"/>
      <c r="N215" s="511"/>
      <c r="O215" s="511"/>
      <c r="P215" s="511"/>
      <c r="Q215" s="511"/>
      <c r="R215" s="511"/>
      <c r="S215" s="511"/>
      <c r="T215" s="511"/>
      <c r="U215" s="511"/>
      <c r="V215" s="511"/>
      <c r="W215" s="511"/>
      <c r="X215" s="511"/>
      <c r="Y215" s="511"/>
      <c r="Z215" s="511"/>
      <c r="AA215" s="511"/>
      <c r="AB215" s="511"/>
      <c r="AC215" s="511"/>
      <c r="AD215" s="511"/>
      <c r="AE215" s="511"/>
      <c r="AF215" s="511"/>
      <c r="AG215" s="511"/>
      <c r="AH215" s="511"/>
      <c r="AI215" s="511"/>
      <c r="AJ215" s="511"/>
      <c r="AK215" s="511"/>
      <c r="AL215" s="511"/>
      <c r="AM215" s="511"/>
      <c r="AN215" s="511"/>
      <c r="AO215" s="511"/>
      <c r="AP215" s="511"/>
      <c r="AQ215" s="511"/>
      <c r="AR215" s="511"/>
      <c r="AS215" s="511"/>
      <c r="AT215" s="511"/>
      <c r="AU215" s="511"/>
      <c r="AV215" s="511"/>
      <c r="AW215" s="511"/>
      <c r="AX215" s="511"/>
      <c r="AY215" s="511"/>
      <c r="AZ215" s="511"/>
      <c r="BA215" s="511"/>
      <c r="BB215" s="511"/>
      <c r="BC215" s="511"/>
    </row>
    <row r="216" spans="1:55" ht="16.5" customHeight="1" x14ac:dyDescent="0.3">
      <c r="A216" s="511"/>
      <c r="B216" s="511"/>
      <c r="C216" s="511"/>
      <c r="D216" s="511"/>
      <c r="E216" s="511"/>
      <c r="F216" s="511"/>
      <c r="G216" s="511"/>
      <c r="H216" s="511"/>
      <c r="I216" s="511"/>
      <c r="J216" s="511"/>
      <c r="K216" s="511"/>
      <c r="L216" s="511"/>
      <c r="M216" s="511"/>
      <c r="N216" s="511"/>
      <c r="O216" s="511"/>
      <c r="P216" s="511"/>
      <c r="Q216" s="511"/>
      <c r="R216" s="511"/>
      <c r="S216" s="511"/>
      <c r="T216" s="511"/>
      <c r="U216" s="511"/>
      <c r="V216" s="511"/>
      <c r="W216" s="511"/>
      <c r="X216" s="511"/>
      <c r="Y216" s="511"/>
      <c r="Z216" s="511"/>
      <c r="AA216" s="511"/>
      <c r="AB216" s="511"/>
      <c r="AC216" s="511"/>
      <c r="AD216" s="511"/>
      <c r="AE216" s="511"/>
      <c r="AF216" s="511"/>
      <c r="AG216" s="511"/>
      <c r="AH216" s="511"/>
      <c r="AI216" s="511"/>
      <c r="AJ216" s="511"/>
      <c r="AK216" s="511"/>
      <c r="AL216" s="511"/>
      <c r="AM216" s="511"/>
      <c r="AN216" s="511"/>
      <c r="AO216" s="511"/>
      <c r="AP216" s="511"/>
      <c r="AQ216" s="511"/>
      <c r="AR216" s="511"/>
      <c r="AS216" s="511"/>
      <c r="AT216" s="511"/>
      <c r="AU216" s="511"/>
      <c r="AV216" s="511"/>
      <c r="AW216" s="511"/>
      <c r="AX216" s="511"/>
      <c r="AY216" s="511"/>
      <c r="AZ216" s="511"/>
      <c r="BA216" s="511"/>
      <c r="BB216" s="511"/>
      <c r="BC216" s="511"/>
    </row>
    <row r="217" spans="1:55" ht="16.5" customHeight="1" x14ac:dyDescent="0.3">
      <c r="A217" s="511"/>
      <c r="B217" s="511"/>
      <c r="C217" s="511"/>
      <c r="D217" s="511"/>
      <c r="E217" s="511"/>
      <c r="F217" s="511"/>
      <c r="G217" s="511"/>
      <c r="H217" s="511"/>
      <c r="I217" s="511"/>
      <c r="J217" s="511"/>
      <c r="K217" s="511"/>
      <c r="L217" s="511"/>
      <c r="M217" s="511"/>
      <c r="N217" s="511"/>
      <c r="O217" s="511"/>
      <c r="P217" s="511"/>
      <c r="Q217" s="511"/>
      <c r="R217" s="511"/>
      <c r="S217" s="511"/>
      <c r="T217" s="511"/>
      <c r="U217" s="511"/>
      <c r="V217" s="511"/>
      <c r="W217" s="511"/>
      <c r="X217" s="511"/>
      <c r="Y217" s="511"/>
      <c r="Z217" s="511"/>
      <c r="AA217" s="511"/>
      <c r="AB217" s="511"/>
      <c r="AC217" s="511"/>
      <c r="AD217" s="511"/>
      <c r="AE217" s="511"/>
      <c r="AF217" s="511"/>
      <c r="AG217" s="511"/>
      <c r="AH217" s="511"/>
      <c r="AI217" s="511"/>
      <c r="AJ217" s="511"/>
      <c r="AK217" s="511"/>
      <c r="AL217" s="511"/>
      <c r="AM217" s="511"/>
      <c r="AN217" s="511"/>
      <c r="AO217" s="511"/>
      <c r="AP217" s="511"/>
      <c r="AQ217" s="511"/>
      <c r="AR217" s="511"/>
      <c r="AS217" s="511"/>
      <c r="AT217" s="511"/>
      <c r="AU217" s="511"/>
      <c r="AV217" s="511"/>
      <c r="AW217" s="511"/>
      <c r="AX217" s="511"/>
      <c r="AY217" s="511"/>
      <c r="AZ217" s="511"/>
      <c r="BA217" s="511"/>
      <c r="BB217" s="511"/>
      <c r="BC217" s="511"/>
    </row>
    <row r="218" spans="1:55" ht="16.5" customHeight="1" x14ac:dyDescent="0.3">
      <c r="A218" s="511"/>
      <c r="B218" s="511"/>
      <c r="C218" s="511"/>
      <c r="D218" s="511"/>
      <c r="E218" s="511"/>
      <c r="F218" s="511"/>
      <c r="G218" s="511"/>
      <c r="H218" s="511"/>
      <c r="I218" s="511"/>
      <c r="J218" s="511"/>
      <c r="K218" s="511"/>
      <c r="L218" s="511"/>
      <c r="M218" s="511"/>
      <c r="N218" s="511"/>
      <c r="O218" s="511"/>
      <c r="P218" s="511"/>
      <c r="Q218" s="511"/>
      <c r="R218" s="511"/>
      <c r="S218" s="511"/>
      <c r="T218" s="511"/>
      <c r="U218" s="511"/>
      <c r="V218" s="511"/>
      <c r="W218" s="511"/>
      <c r="X218" s="511"/>
      <c r="Y218" s="511"/>
      <c r="Z218" s="511"/>
      <c r="AA218" s="511"/>
      <c r="AB218" s="511"/>
      <c r="AC218" s="511"/>
      <c r="AD218" s="511"/>
      <c r="AE218" s="511"/>
      <c r="AF218" s="511"/>
      <c r="AG218" s="511"/>
      <c r="AH218" s="511"/>
      <c r="AI218" s="511"/>
      <c r="AJ218" s="511"/>
      <c r="AK218" s="511"/>
      <c r="AL218" s="511"/>
      <c r="AM218" s="511"/>
      <c r="AN218" s="511"/>
      <c r="AO218" s="511"/>
      <c r="AP218" s="511"/>
      <c r="AQ218" s="511"/>
      <c r="AR218" s="511"/>
      <c r="AS218" s="511"/>
      <c r="AT218" s="511"/>
      <c r="AU218" s="511"/>
      <c r="AV218" s="511"/>
      <c r="AW218" s="511"/>
      <c r="AX218" s="511"/>
      <c r="AY218" s="511"/>
      <c r="AZ218" s="511"/>
      <c r="BA218" s="511"/>
      <c r="BB218" s="511"/>
      <c r="BC218" s="511"/>
    </row>
    <row r="219" spans="1:55" ht="16.5" customHeight="1" x14ac:dyDescent="0.3">
      <c r="A219" s="511"/>
      <c r="B219" s="511"/>
      <c r="C219" s="511"/>
      <c r="D219" s="511"/>
      <c r="E219" s="511"/>
      <c r="F219" s="511"/>
      <c r="G219" s="511"/>
      <c r="H219" s="511"/>
      <c r="I219" s="511"/>
      <c r="J219" s="511"/>
      <c r="K219" s="511"/>
      <c r="L219" s="511"/>
      <c r="M219" s="511"/>
      <c r="N219" s="511"/>
      <c r="O219" s="511"/>
      <c r="P219" s="511"/>
      <c r="Q219" s="511"/>
      <c r="R219" s="511"/>
      <c r="S219" s="511"/>
      <c r="T219" s="511"/>
      <c r="U219" s="511"/>
      <c r="V219" s="511"/>
      <c r="W219" s="511"/>
      <c r="X219" s="511"/>
      <c r="Y219" s="511"/>
      <c r="Z219" s="511"/>
      <c r="AA219" s="511"/>
      <c r="AB219" s="511"/>
      <c r="AC219" s="511"/>
      <c r="AD219" s="511"/>
      <c r="AE219" s="511"/>
      <c r="AF219" s="511"/>
      <c r="AG219" s="511"/>
      <c r="AH219" s="511"/>
      <c r="AI219" s="511"/>
      <c r="AJ219" s="511"/>
      <c r="AK219" s="511"/>
      <c r="AL219" s="511"/>
      <c r="AM219" s="511"/>
      <c r="AN219" s="511"/>
      <c r="AO219" s="511"/>
      <c r="AP219" s="511"/>
      <c r="AQ219" s="511"/>
      <c r="AR219" s="511"/>
      <c r="AS219" s="511"/>
      <c r="AT219" s="511"/>
      <c r="AU219" s="511"/>
      <c r="AV219" s="511"/>
      <c r="AW219" s="511"/>
      <c r="AX219" s="511"/>
      <c r="AY219" s="511"/>
      <c r="AZ219" s="511"/>
      <c r="BA219" s="511"/>
      <c r="BB219" s="511"/>
      <c r="BC219" s="511"/>
    </row>
    <row r="220" spans="1:55" ht="16.5" customHeight="1" x14ac:dyDescent="0.3">
      <c r="A220" s="511"/>
      <c r="B220" s="511"/>
      <c r="C220" s="511"/>
      <c r="D220" s="511"/>
      <c r="E220" s="511"/>
      <c r="F220" s="511"/>
      <c r="G220" s="511"/>
      <c r="H220" s="511"/>
      <c r="I220" s="511"/>
      <c r="J220" s="511"/>
      <c r="K220" s="511"/>
      <c r="L220" s="511"/>
      <c r="M220" s="511"/>
      <c r="N220" s="511"/>
      <c r="O220" s="511"/>
      <c r="P220" s="511"/>
      <c r="Q220" s="511"/>
      <c r="R220" s="511"/>
      <c r="S220" s="511"/>
      <c r="T220" s="511"/>
      <c r="U220" s="511"/>
      <c r="V220" s="511"/>
      <c r="W220" s="511"/>
      <c r="X220" s="511"/>
      <c r="Y220" s="511"/>
      <c r="Z220" s="511"/>
      <c r="AA220" s="511"/>
      <c r="AB220" s="511"/>
      <c r="AC220" s="511"/>
      <c r="AD220" s="511"/>
      <c r="AE220" s="511"/>
      <c r="AF220" s="511"/>
      <c r="AG220" s="511"/>
      <c r="AH220" s="511"/>
      <c r="AI220" s="511"/>
      <c r="AJ220" s="511"/>
      <c r="AK220" s="511"/>
      <c r="AL220" s="511"/>
      <c r="AM220" s="511"/>
      <c r="AN220" s="511"/>
      <c r="AO220" s="511"/>
      <c r="AP220" s="511"/>
      <c r="AQ220" s="511"/>
      <c r="AR220" s="511"/>
      <c r="AS220" s="511"/>
      <c r="AT220" s="511"/>
      <c r="AU220" s="511"/>
      <c r="AV220" s="511"/>
      <c r="AW220" s="511"/>
      <c r="AX220" s="511"/>
      <c r="AY220" s="511"/>
      <c r="AZ220" s="511"/>
      <c r="BA220" s="511"/>
      <c r="BB220" s="511"/>
      <c r="BC220" s="511"/>
    </row>
    <row r="221" spans="1:55" ht="16.5" customHeight="1" x14ac:dyDescent="0.3">
      <c r="A221" s="511"/>
      <c r="B221" s="511"/>
      <c r="C221" s="511"/>
      <c r="D221" s="511"/>
      <c r="E221" s="511"/>
      <c r="F221" s="511"/>
      <c r="G221" s="511"/>
      <c r="H221" s="511"/>
      <c r="I221" s="511"/>
      <c r="J221" s="511"/>
      <c r="K221" s="511"/>
      <c r="L221" s="511"/>
      <c r="M221" s="511"/>
      <c r="N221" s="511"/>
      <c r="O221" s="511"/>
      <c r="P221" s="511"/>
      <c r="Q221" s="511"/>
      <c r="R221" s="511"/>
      <c r="S221" s="511"/>
      <c r="T221" s="511"/>
      <c r="U221" s="511"/>
      <c r="V221" s="511"/>
      <c r="W221" s="511"/>
      <c r="X221" s="511"/>
      <c r="Y221" s="511"/>
      <c r="Z221" s="511"/>
      <c r="AA221" s="511"/>
      <c r="AB221" s="511"/>
      <c r="AC221" s="511"/>
      <c r="AD221" s="511"/>
      <c r="AE221" s="511"/>
      <c r="AF221" s="511"/>
      <c r="AG221" s="511"/>
      <c r="AH221" s="511"/>
      <c r="AI221" s="511"/>
      <c r="AJ221" s="511"/>
      <c r="AK221" s="511"/>
      <c r="AL221" s="511"/>
      <c r="AM221" s="511"/>
      <c r="AN221" s="511"/>
      <c r="AO221" s="511"/>
      <c r="AP221" s="511"/>
      <c r="AQ221" s="511"/>
      <c r="AR221" s="511"/>
      <c r="AS221" s="511"/>
      <c r="AT221" s="511"/>
      <c r="AU221" s="511"/>
      <c r="AV221" s="511"/>
      <c r="AW221" s="511"/>
      <c r="AX221" s="511"/>
      <c r="AY221" s="511"/>
      <c r="AZ221" s="511"/>
      <c r="BA221" s="511"/>
      <c r="BB221" s="511"/>
      <c r="BC221" s="511"/>
    </row>
    <row r="222" spans="1:55" ht="16.5" customHeight="1" x14ac:dyDescent="0.3">
      <c r="A222" s="511"/>
      <c r="B222" s="511"/>
      <c r="C222" s="511"/>
      <c r="D222" s="511"/>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c r="AA222" s="511"/>
      <c r="AB222" s="511"/>
      <c r="AC222" s="511"/>
      <c r="AD222" s="511"/>
      <c r="AE222" s="511"/>
      <c r="AF222" s="511"/>
      <c r="AG222" s="511"/>
      <c r="AH222" s="511"/>
      <c r="AI222" s="511"/>
      <c r="AJ222" s="511"/>
      <c r="AK222" s="511"/>
      <c r="AL222" s="511"/>
      <c r="AM222" s="511"/>
      <c r="AN222" s="511"/>
      <c r="AO222" s="511"/>
      <c r="AP222" s="511"/>
      <c r="AQ222" s="511"/>
      <c r="AR222" s="511"/>
      <c r="AS222" s="511"/>
      <c r="AT222" s="511"/>
      <c r="AU222" s="511"/>
      <c r="AV222" s="511"/>
      <c r="AW222" s="511"/>
      <c r="AX222" s="511"/>
      <c r="AY222" s="511"/>
      <c r="AZ222" s="511"/>
      <c r="BA222" s="511"/>
      <c r="BB222" s="511"/>
      <c r="BC222" s="511"/>
    </row>
    <row r="223" spans="1:55" ht="16.5" customHeight="1" x14ac:dyDescent="0.3">
      <c r="A223" s="511"/>
      <c r="B223" s="511"/>
      <c r="C223" s="511"/>
      <c r="D223" s="511"/>
      <c r="E223" s="511"/>
      <c r="F223" s="511"/>
      <c r="G223" s="511"/>
      <c r="H223" s="511"/>
      <c r="I223" s="511"/>
      <c r="J223" s="511"/>
      <c r="K223" s="511"/>
      <c r="L223" s="511"/>
      <c r="M223" s="511"/>
      <c r="N223" s="511"/>
      <c r="O223" s="511"/>
      <c r="P223" s="511"/>
      <c r="Q223" s="511"/>
      <c r="R223" s="511"/>
      <c r="S223" s="511"/>
      <c r="T223" s="511"/>
      <c r="U223" s="511"/>
      <c r="V223" s="511"/>
      <c r="W223" s="511"/>
      <c r="X223" s="511"/>
      <c r="Y223" s="511"/>
      <c r="Z223" s="511"/>
      <c r="AA223" s="511"/>
      <c r="AB223" s="511"/>
      <c r="AC223" s="511"/>
      <c r="AD223" s="511"/>
      <c r="AE223" s="511"/>
      <c r="AF223" s="511"/>
      <c r="AG223" s="511"/>
      <c r="AH223" s="511"/>
      <c r="AI223" s="511"/>
      <c r="AJ223" s="511"/>
      <c r="AK223" s="511"/>
      <c r="AL223" s="511"/>
      <c r="AM223" s="511"/>
      <c r="AN223" s="511"/>
      <c r="AO223" s="511"/>
      <c r="AP223" s="511"/>
      <c r="AQ223" s="511"/>
      <c r="AR223" s="511"/>
      <c r="AS223" s="511"/>
      <c r="AT223" s="511"/>
      <c r="AU223" s="511"/>
      <c r="AV223" s="511"/>
      <c r="AW223" s="511"/>
      <c r="AX223" s="511"/>
      <c r="AY223" s="511"/>
      <c r="AZ223" s="511"/>
      <c r="BA223" s="511"/>
      <c r="BB223" s="511"/>
      <c r="BC223" s="511"/>
    </row>
    <row r="224" spans="1:55" ht="16.5" customHeight="1" x14ac:dyDescent="0.3">
      <c r="A224" s="511"/>
      <c r="B224" s="511"/>
      <c r="C224" s="511"/>
      <c r="D224" s="511"/>
      <c r="E224" s="511"/>
      <c r="F224" s="511"/>
      <c r="G224" s="511"/>
      <c r="H224" s="511"/>
      <c r="I224" s="511"/>
      <c r="J224" s="511"/>
      <c r="K224" s="511"/>
      <c r="L224" s="511"/>
      <c r="M224" s="511"/>
      <c r="N224" s="511"/>
      <c r="O224" s="511"/>
      <c r="P224" s="511"/>
      <c r="Q224" s="511"/>
      <c r="R224" s="511"/>
      <c r="S224" s="511"/>
      <c r="T224" s="511"/>
      <c r="U224" s="511"/>
      <c r="V224" s="511"/>
      <c r="W224" s="511"/>
      <c r="X224" s="511"/>
      <c r="Y224" s="511"/>
      <c r="Z224" s="511"/>
      <c r="AA224" s="511"/>
      <c r="AB224" s="511"/>
      <c r="AC224" s="511"/>
      <c r="AD224" s="511"/>
      <c r="AE224" s="511"/>
      <c r="AF224" s="511"/>
      <c r="AG224" s="511"/>
      <c r="AH224" s="511"/>
      <c r="AI224" s="511"/>
      <c r="AJ224" s="511"/>
      <c r="AK224" s="511"/>
      <c r="AL224" s="511"/>
      <c r="AM224" s="511"/>
      <c r="AN224" s="511"/>
      <c r="AO224" s="511"/>
      <c r="AP224" s="511"/>
      <c r="AQ224" s="511"/>
      <c r="AR224" s="511"/>
      <c r="AS224" s="511"/>
      <c r="AT224" s="511"/>
      <c r="AU224" s="511"/>
      <c r="AV224" s="511"/>
      <c r="AW224" s="511"/>
      <c r="AX224" s="511"/>
      <c r="AY224" s="511"/>
      <c r="AZ224" s="511"/>
      <c r="BA224" s="511"/>
      <c r="BB224" s="511"/>
      <c r="BC224" s="511"/>
    </row>
    <row r="225" spans="1:55" ht="16.5" customHeight="1" x14ac:dyDescent="0.3">
      <c r="A225" s="511"/>
      <c r="B225" s="511"/>
      <c r="C225" s="511"/>
      <c r="D225" s="511"/>
      <c r="E225" s="511"/>
      <c r="F225" s="511"/>
      <c r="G225" s="511"/>
      <c r="H225" s="511"/>
      <c r="I225" s="511"/>
      <c r="J225" s="511"/>
      <c r="K225" s="511"/>
      <c r="L225" s="511"/>
      <c r="M225" s="511"/>
      <c r="N225" s="511"/>
      <c r="O225" s="511"/>
      <c r="P225" s="511"/>
      <c r="Q225" s="511"/>
      <c r="R225" s="511"/>
      <c r="S225" s="511"/>
      <c r="T225" s="511"/>
      <c r="U225" s="511"/>
      <c r="V225" s="511"/>
      <c r="W225" s="511"/>
      <c r="X225" s="511"/>
      <c r="Y225" s="511"/>
      <c r="Z225" s="511"/>
      <c r="AA225" s="511"/>
      <c r="AB225" s="511"/>
      <c r="AC225" s="511"/>
      <c r="AD225" s="511"/>
      <c r="AE225" s="511"/>
      <c r="AF225" s="511"/>
      <c r="AG225" s="511"/>
      <c r="AH225" s="511"/>
      <c r="AI225" s="511"/>
      <c r="AJ225" s="511"/>
      <c r="AK225" s="511"/>
      <c r="AL225" s="511"/>
      <c r="AM225" s="511"/>
      <c r="AN225" s="511"/>
      <c r="AO225" s="511"/>
      <c r="AP225" s="511"/>
      <c r="AQ225" s="511"/>
      <c r="AR225" s="511"/>
      <c r="AS225" s="511"/>
      <c r="AT225" s="511"/>
      <c r="AU225" s="511"/>
      <c r="AV225" s="511"/>
      <c r="AW225" s="511"/>
      <c r="AX225" s="511"/>
      <c r="AY225" s="511"/>
      <c r="AZ225" s="511"/>
      <c r="BA225" s="511"/>
      <c r="BB225" s="511"/>
      <c r="BC225" s="511"/>
    </row>
    <row r="226" spans="1:55" ht="16.5" customHeight="1" x14ac:dyDescent="0.3">
      <c r="A226" s="511"/>
      <c r="B226" s="511"/>
      <c r="C226" s="511"/>
      <c r="D226" s="511"/>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c r="AA226" s="511"/>
      <c r="AB226" s="511"/>
      <c r="AC226" s="511"/>
      <c r="AD226" s="511"/>
      <c r="AE226" s="511"/>
      <c r="AF226" s="511"/>
      <c r="AG226" s="511"/>
      <c r="AH226" s="511"/>
      <c r="AI226" s="511"/>
      <c r="AJ226" s="511"/>
      <c r="AK226" s="511"/>
      <c r="AL226" s="511"/>
      <c r="AM226" s="511"/>
      <c r="AN226" s="511"/>
      <c r="AO226" s="511"/>
      <c r="AP226" s="511"/>
      <c r="AQ226" s="511"/>
      <c r="AR226" s="511"/>
      <c r="AS226" s="511"/>
      <c r="AT226" s="511"/>
      <c r="AU226" s="511"/>
      <c r="AV226" s="511"/>
      <c r="AW226" s="511"/>
      <c r="AX226" s="511"/>
      <c r="AY226" s="511"/>
      <c r="AZ226" s="511"/>
      <c r="BA226" s="511"/>
      <c r="BB226" s="511"/>
      <c r="BC226" s="511"/>
    </row>
    <row r="227" spans="1:55" ht="16.5" customHeight="1" x14ac:dyDescent="0.3">
      <c r="A227" s="511"/>
      <c r="B227" s="511"/>
      <c r="C227" s="511"/>
      <c r="D227" s="511"/>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c r="AA227" s="511"/>
      <c r="AB227" s="511"/>
      <c r="AC227" s="511"/>
      <c r="AD227" s="511"/>
      <c r="AE227" s="511"/>
      <c r="AF227" s="511"/>
      <c r="AG227" s="511"/>
      <c r="AH227" s="511"/>
      <c r="AI227" s="511"/>
      <c r="AJ227" s="511"/>
      <c r="AK227" s="511"/>
      <c r="AL227" s="511"/>
      <c r="AM227" s="511"/>
      <c r="AN227" s="511"/>
      <c r="AO227" s="511"/>
      <c r="AP227" s="511"/>
      <c r="AQ227" s="511"/>
      <c r="AR227" s="511"/>
      <c r="AS227" s="511"/>
      <c r="AT227" s="511"/>
      <c r="AU227" s="511"/>
      <c r="AV227" s="511"/>
      <c r="AW227" s="511"/>
      <c r="AX227" s="511"/>
      <c r="AY227" s="511"/>
      <c r="AZ227" s="511"/>
      <c r="BA227" s="511"/>
      <c r="BB227" s="511"/>
      <c r="BC227" s="511"/>
    </row>
    <row r="228" spans="1:55" ht="16.5" customHeight="1" x14ac:dyDescent="0.3">
      <c r="A228" s="511"/>
      <c r="B228" s="511"/>
      <c r="C228" s="511"/>
      <c r="D228" s="511"/>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c r="AA228" s="511"/>
      <c r="AB228" s="511"/>
      <c r="AC228" s="511"/>
      <c r="AD228" s="511"/>
      <c r="AE228" s="511"/>
      <c r="AF228" s="511"/>
      <c r="AG228" s="511"/>
      <c r="AH228" s="511"/>
      <c r="AI228" s="511"/>
      <c r="AJ228" s="511"/>
      <c r="AK228" s="511"/>
      <c r="AL228" s="511"/>
      <c r="AM228" s="511"/>
      <c r="AN228" s="511"/>
      <c r="AO228" s="511"/>
      <c r="AP228" s="511"/>
      <c r="AQ228" s="511"/>
      <c r="AR228" s="511"/>
      <c r="AS228" s="511"/>
      <c r="AT228" s="511"/>
      <c r="AU228" s="511"/>
      <c r="AV228" s="511"/>
      <c r="AW228" s="511"/>
      <c r="AX228" s="511"/>
      <c r="AY228" s="511"/>
      <c r="AZ228" s="511"/>
      <c r="BA228" s="511"/>
      <c r="BB228" s="511"/>
      <c r="BC228" s="511"/>
    </row>
    <row r="229" spans="1:55" ht="16.5" customHeight="1" x14ac:dyDescent="0.3">
      <c r="A229" s="511"/>
      <c r="B229" s="511"/>
      <c r="C229" s="511"/>
      <c r="D229" s="511"/>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c r="AA229" s="511"/>
      <c r="AB229" s="511"/>
      <c r="AC229" s="511"/>
      <c r="AD229" s="511"/>
      <c r="AE229" s="511"/>
      <c r="AF229" s="511"/>
      <c r="AG229" s="511"/>
      <c r="AH229" s="511"/>
      <c r="AI229" s="511"/>
      <c r="AJ229" s="511"/>
      <c r="AK229" s="511"/>
      <c r="AL229" s="511"/>
      <c r="AM229" s="511"/>
      <c r="AN229" s="511"/>
      <c r="AO229" s="511"/>
      <c r="AP229" s="511"/>
      <c r="AQ229" s="511"/>
      <c r="AR229" s="511"/>
      <c r="AS229" s="511"/>
      <c r="AT229" s="511"/>
      <c r="AU229" s="511"/>
      <c r="AV229" s="511"/>
      <c r="AW229" s="511"/>
      <c r="AX229" s="511"/>
      <c r="AY229" s="511"/>
      <c r="AZ229" s="511"/>
      <c r="BA229" s="511"/>
      <c r="BB229" s="511"/>
      <c r="BC229" s="511"/>
    </row>
    <row r="230" spans="1:55" ht="16.5" customHeight="1" x14ac:dyDescent="0.3">
      <c r="A230" s="511"/>
      <c r="B230" s="511"/>
      <c r="C230" s="511"/>
      <c r="D230" s="511"/>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c r="AA230" s="511"/>
      <c r="AB230" s="511"/>
      <c r="AC230" s="511"/>
      <c r="AD230" s="511"/>
      <c r="AE230" s="511"/>
      <c r="AF230" s="511"/>
      <c r="AG230" s="511"/>
      <c r="AH230" s="511"/>
      <c r="AI230" s="511"/>
      <c r="AJ230" s="511"/>
      <c r="AK230" s="511"/>
      <c r="AL230" s="511"/>
      <c r="AM230" s="511"/>
      <c r="AN230" s="511"/>
      <c r="AO230" s="511"/>
      <c r="AP230" s="511"/>
      <c r="AQ230" s="511"/>
      <c r="AR230" s="511"/>
      <c r="AS230" s="511"/>
      <c r="AT230" s="511"/>
      <c r="AU230" s="511"/>
      <c r="AV230" s="511"/>
      <c r="AW230" s="511"/>
      <c r="AX230" s="511"/>
      <c r="AY230" s="511"/>
      <c r="AZ230" s="511"/>
      <c r="BA230" s="511"/>
      <c r="BB230" s="511"/>
      <c r="BC230" s="511"/>
    </row>
    <row r="231" spans="1:55" ht="16.5" customHeight="1" x14ac:dyDescent="0.3">
      <c r="A231" s="511"/>
      <c r="B231" s="511"/>
      <c r="C231" s="511"/>
      <c r="D231" s="511"/>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c r="AA231" s="511"/>
      <c r="AB231" s="511"/>
      <c r="AC231" s="511"/>
      <c r="AD231" s="511"/>
      <c r="AE231" s="511"/>
      <c r="AF231" s="511"/>
      <c r="AG231" s="511"/>
      <c r="AH231" s="511"/>
      <c r="AI231" s="511"/>
      <c r="AJ231" s="511"/>
      <c r="AK231" s="511"/>
      <c r="AL231" s="511"/>
      <c r="AM231" s="511"/>
      <c r="AN231" s="511"/>
      <c r="AO231" s="511"/>
      <c r="AP231" s="511"/>
      <c r="AQ231" s="511"/>
      <c r="AR231" s="511"/>
      <c r="AS231" s="511"/>
      <c r="AT231" s="511"/>
      <c r="AU231" s="511"/>
      <c r="AV231" s="511"/>
      <c r="AW231" s="511"/>
      <c r="AX231" s="511"/>
      <c r="AY231" s="511"/>
      <c r="AZ231" s="511"/>
      <c r="BA231" s="511"/>
      <c r="BB231" s="511"/>
      <c r="BC231" s="511"/>
    </row>
    <row r="232" spans="1:55" ht="16.5" customHeight="1" x14ac:dyDescent="0.3">
      <c r="A232" s="511"/>
      <c r="B232" s="511"/>
      <c r="C232" s="511"/>
      <c r="D232" s="511"/>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c r="AA232" s="511"/>
      <c r="AB232" s="511"/>
      <c r="AC232" s="511"/>
      <c r="AD232" s="511"/>
      <c r="AE232" s="511"/>
      <c r="AF232" s="511"/>
      <c r="AG232" s="511"/>
      <c r="AH232" s="511"/>
      <c r="AI232" s="511"/>
      <c r="AJ232" s="511"/>
      <c r="AK232" s="511"/>
      <c r="AL232" s="511"/>
      <c r="AM232" s="511"/>
      <c r="AN232" s="511"/>
      <c r="AO232" s="511"/>
      <c r="AP232" s="511"/>
      <c r="AQ232" s="511"/>
      <c r="AR232" s="511"/>
      <c r="AS232" s="511"/>
      <c r="AT232" s="511"/>
      <c r="AU232" s="511"/>
      <c r="AV232" s="511"/>
      <c r="AW232" s="511"/>
      <c r="AX232" s="511"/>
      <c r="AY232" s="511"/>
      <c r="AZ232" s="511"/>
      <c r="BA232" s="511"/>
      <c r="BB232" s="511"/>
      <c r="BC232" s="511"/>
    </row>
    <row r="233" spans="1:55" ht="16.5" customHeight="1" x14ac:dyDescent="0.3">
      <c r="A233" s="511"/>
      <c r="B233" s="511"/>
      <c r="C233" s="511"/>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c r="AA233" s="511"/>
      <c r="AB233" s="511"/>
      <c r="AC233" s="511"/>
      <c r="AD233" s="511"/>
      <c r="AE233" s="511"/>
      <c r="AF233" s="511"/>
      <c r="AG233" s="511"/>
      <c r="AH233" s="511"/>
      <c r="AI233" s="511"/>
      <c r="AJ233" s="511"/>
      <c r="AK233" s="511"/>
      <c r="AL233" s="511"/>
      <c r="AM233" s="511"/>
      <c r="AN233" s="511"/>
      <c r="AO233" s="511"/>
      <c r="AP233" s="511"/>
      <c r="AQ233" s="511"/>
      <c r="AR233" s="511"/>
      <c r="AS233" s="511"/>
      <c r="AT233" s="511"/>
      <c r="AU233" s="511"/>
      <c r="AV233" s="511"/>
      <c r="AW233" s="511"/>
      <c r="AX233" s="511"/>
      <c r="AY233" s="511"/>
      <c r="AZ233" s="511"/>
      <c r="BA233" s="511"/>
      <c r="BB233" s="511"/>
      <c r="BC233" s="511"/>
    </row>
    <row r="234" spans="1:55" ht="16.5" customHeight="1" x14ac:dyDescent="0.3">
      <c r="A234" s="511"/>
      <c r="B234" s="511"/>
      <c r="C234" s="511"/>
      <c r="D234" s="511"/>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c r="AA234" s="511"/>
      <c r="AB234" s="511"/>
      <c r="AC234" s="511"/>
      <c r="AD234" s="511"/>
      <c r="AE234" s="511"/>
      <c r="AF234" s="511"/>
      <c r="AG234" s="511"/>
      <c r="AH234" s="511"/>
      <c r="AI234" s="511"/>
      <c r="AJ234" s="511"/>
      <c r="AK234" s="511"/>
      <c r="AL234" s="511"/>
      <c r="AM234" s="511"/>
      <c r="AN234" s="511"/>
      <c r="AO234" s="511"/>
      <c r="AP234" s="511"/>
      <c r="AQ234" s="511"/>
      <c r="AR234" s="511"/>
      <c r="AS234" s="511"/>
      <c r="AT234" s="511"/>
      <c r="AU234" s="511"/>
      <c r="AV234" s="511"/>
      <c r="AW234" s="511"/>
      <c r="AX234" s="511"/>
      <c r="AY234" s="511"/>
      <c r="AZ234" s="511"/>
      <c r="BA234" s="511"/>
      <c r="BB234" s="511"/>
      <c r="BC234" s="511"/>
    </row>
    <row r="235" spans="1:55" ht="16.5" customHeight="1" x14ac:dyDescent="0.3">
      <c r="A235" s="511"/>
      <c r="B235" s="511"/>
      <c r="C235" s="511"/>
      <c r="D235" s="511"/>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c r="AA235" s="511"/>
      <c r="AB235" s="511"/>
      <c r="AC235" s="511"/>
      <c r="AD235" s="511"/>
      <c r="AE235" s="511"/>
      <c r="AF235" s="511"/>
      <c r="AG235" s="511"/>
      <c r="AH235" s="511"/>
      <c r="AI235" s="511"/>
      <c r="AJ235" s="511"/>
      <c r="AK235" s="511"/>
      <c r="AL235" s="511"/>
      <c r="AM235" s="511"/>
      <c r="AN235" s="511"/>
      <c r="AO235" s="511"/>
      <c r="AP235" s="511"/>
      <c r="AQ235" s="511"/>
      <c r="AR235" s="511"/>
      <c r="AS235" s="511"/>
      <c r="AT235" s="511"/>
      <c r="AU235" s="511"/>
      <c r="AV235" s="511"/>
      <c r="AW235" s="511"/>
      <c r="AX235" s="511"/>
      <c r="AY235" s="511"/>
      <c r="AZ235" s="511"/>
      <c r="BA235" s="511"/>
      <c r="BB235" s="511"/>
      <c r="BC235" s="511"/>
    </row>
    <row r="236" spans="1:55" ht="16.5" customHeight="1" x14ac:dyDescent="0.3">
      <c r="A236" s="511"/>
      <c r="B236" s="511"/>
      <c r="C236" s="511"/>
      <c r="D236" s="511"/>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c r="AA236" s="511"/>
      <c r="AB236" s="511"/>
      <c r="AC236" s="511"/>
      <c r="AD236" s="511"/>
      <c r="AE236" s="511"/>
      <c r="AF236" s="511"/>
      <c r="AG236" s="511"/>
      <c r="AH236" s="511"/>
      <c r="AI236" s="511"/>
      <c r="AJ236" s="511"/>
      <c r="AK236" s="511"/>
      <c r="AL236" s="511"/>
      <c r="AM236" s="511"/>
      <c r="AN236" s="511"/>
      <c r="AO236" s="511"/>
      <c r="AP236" s="511"/>
      <c r="AQ236" s="511"/>
      <c r="AR236" s="511"/>
      <c r="AS236" s="511"/>
      <c r="AT236" s="511"/>
      <c r="AU236" s="511"/>
      <c r="AV236" s="511"/>
      <c r="AW236" s="511"/>
      <c r="AX236" s="511"/>
      <c r="AY236" s="511"/>
      <c r="AZ236" s="511"/>
      <c r="BA236" s="511"/>
      <c r="BB236" s="511"/>
      <c r="BC236" s="511"/>
    </row>
    <row r="237" spans="1:55" ht="16.5" customHeight="1" x14ac:dyDescent="0.3">
      <c r="A237" s="511"/>
      <c r="B237" s="511"/>
      <c r="C237" s="511"/>
      <c r="D237" s="511"/>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c r="AA237" s="511"/>
      <c r="AB237" s="511"/>
      <c r="AC237" s="511"/>
      <c r="AD237" s="511"/>
      <c r="AE237" s="511"/>
      <c r="AF237" s="511"/>
      <c r="AG237" s="511"/>
      <c r="AH237" s="511"/>
      <c r="AI237" s="511"/>
      <c r="AJ237" s="511"/>
      <c r="AK237" s="511"/>
      <c r="AL237" s="511"/>
      <c r="AM237" s="511"/>
      <c r="AN237" s="511"/>
      <c r="AO237" s="511"/>
      <c r="AP237" s="511"/>
      <c r="AQ237" s="511"/>
      <c r="AR237" s="511"/>
      <c r="AS237" s="511"/>
      <c r="AT237" s="511"/>
      <c r="AU237" s="511"/>
      <c r="AV237" s="511"/>
      <c r="AW237" s="511"/>
      <c r="AX237" s="511"/>
      <c r="AY237" s="511"/>
      <c r="AZ237" s="511"/>
      <c r="BA237" s="511"/>
      <c r="BB237" s="511"/>
      <c r="BC237" s="511"/>
    </row>
    <row r="238" spans="1:55" ht="16.5" customHeight="1" x14ac:dyDescent="0.3">
      <c r="A238" s="511"/>
      <c r="B238" s="511"/>
      <c r="C238" s="511"/>
      <c r="D238" s="511"/>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c r="AA238" s="511"/>
      <c r="AB238" s="511"/>
      <c r="AC238" s="511"/>
      <c r="AD238" s="511"/>
      <c r="AE238" s="511"/>
      <c r="AF238" s="511"/>
      <c r="AG238" s="511"/>
      <c r="AH238" s="511"/>
      <c r="AI238" s="511"/>
      <c r="AJ238" s="511"/>
      <c r="AK238" s="511"/>
      <c r="AL238" s="511"/>
      <c r="AM238" s="511"/>
      <c r="AN238" s="511"/>
      <c r="AO238" s="511"/>
      <c r="AP238" s="511"/>
      <c r="AQ238" s="511"/>
      <c r="AR238" s="511"/>
      <c r="AS238" s="511"/>
      <c r="AT238" s="511"/>
      <c r="AU238" s="511"/>
      <c r="AV238" s="511"/>
      <c r="AW238" s="511"/>
      <c r="AX238" s="511"/>
      <c r="AY238" s="511"/>
      <c r="AZ238" s="511"/>
      <c r="BA238" s="511"/>
      <c r="BB238" s="511"/>
      <c r="BC238" s="511"/>
    </row>
    <row r="239" spans="1:55" ht="16.5" customHeight="1" x14ac:dyDescent="0.3">
      <c r="A239" s="511"/>
      <c r="B239" s="511"/>
      <c r="C239" s="511"/>
      <c r="D239" s="511"/>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c r="AA239" s="511"/>
      <c r="AB239" s="511"/>
      <c r="AC239" s="511"/>
      <c r="AD239" s="511"/>
      <c r="AE239" s="511"/>
      <c r="AF239" s="511"/>
      <c r="AG239" s="511"/>
      <c r="AH239" s="511"/>
      <c r="AI239" s="511"/>
      <c r="AJ239" s="511"/>
      <c r="AK239" s="511"/>
      <c r="AL239" s="511"/>
      <c r="AM239" s="511"/>
      <c r="AN239" s="511"/>
      <c r="AO239" s="511"/>
      <c r="AP239" s="511"/>
      <c r="AQ239" s="511"/>
      <c r="AR239" s="511"/>
      <c r="AS239" s="511"/>
      <c r="AT239" s="511"/>
      <c r="AU239" s="511"/>
      <c r="AV239" s="511"/>
      <c r="AW239" s="511"/>
      <c r="AX239" s="511"/>
      <c r="AY239" s="511"/>
      <c r="AZ239" s="511"/>
      <c r="BA239" s="511"/>
      <c r="BB239" s="511"/>
      <c r="BC239" s="511"/>
    </row>
    <row r="240" spans="1:55" ht="16.5" customHeight="1" x14ac:dyDescent="0.3">
      <c r="A240" s="511"/>
      <c r="B240" s="511"/>
      <c r="C240" s="511"/>
      <c r="D240" s="511"/>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c r="AA240" s="511"/>
      <c r="AB240" s="511"/>
      <c r="AC240" s="511"/>
      <c r="AD240" s="511"/>
      <c r="AE240" s="511"/>
      <c r="AF240" s="511"/>
      <c r="AG240" s="511"/>
      <c r="AH240" s="511"/>
      <c r="AI240" s="511"/>
      <c r="AJ240" s="511"/>
      <c r="AK240" s="511"/>
      <c r="AL240" s="511"/>
      <c r="AM240" s="511"/>
      <c r="AN240" s="511"/>
      <c r="AO240" s="511"/>
      <c r="AP240" s="511"/>
      <c r="AQ240" s="511"/>
      <c r="AR240" s="511"/>
      <c r="AS240" s="511"/>
      <c r="AT240" s="511"/>
      <c r="AU240" s="511"/>
      <c r="AV240" s="511"/>
      <c r="AW240" s="511"/>
      <c r="AX240" s="511"/>
      <c r="AY240" s="511"/>
      <c r="AZ240" s="511"/>
      <c r="BA240" s="511"/>
      <c r="BB240" s="511"/>
      <c r="BC240" s="511"/>
    </row>
    <row r="241" spans="1:55" ht="16.5" customHeight="1" x14ac:dyDescent="0.3">
      <c r="A241" s="511"/>
      <c r="B241" s="511"/>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c r="AA241" s="511"/>
      <c r="AB241" s="511"/>
      <c r="AC241" s="511"/>
      <c r="AD241" s="511"/>
      <c r="AE241" s="511"/>
      <c r="AF241" s="511"/>
      <c r="AG241" s="511"/>
      <c r="AH241" s="511"/>
      <c r="AI241" s="511"/>
      <c r="AJ241" s="511"/>
      <c r="AK241" s="511"/>
      <c r="AL241" s="511"/>
      <c r="AM241" s="511"/>
      <c r="AN241" s="511"/>
      <c r="AO241" s="511"/>
      <c r="AP241" s="511"/>
      <c r="AQ241" s="511"/>
      <c r="AR241" s="511"/>
      <c r="AS241" s="511"/>
      <c r="AT241" s="511"/>
      <c r="AU241" s="511"/>
      <c r="AV241" s="511"/>
      <c r="AW241" s="511"/>
      <c r="AX241" s="511"/>
      <c r="AY241" s="511"/>
      <c r="AZ241" s="511"/>
      <c r="BA241" s="511"/>
      <c r="BB241" s="511"/>
      <c r="BC241" s="511"/>
    </row>
    <row r="242" spans="1:55" ht="16.5" customHeight="1" x14ac:dyDescent="0.3">
      <c r="A242" s="511"/>
      <c r="B242" s="511"/>
      <c r="C242" s="511"/>
      <c r="D242" s="511"/>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c r="AA242" s="511"/>
      <c r="AB242" s="511"/>
      <c r="AC242" s="511"/>
      <c r="AD242" s="511"/>
      <c r="AE242" s="511"/>
      <c r="AF242" s="511"/>
      <c r="AG242" s="511"/>
      <c r="AH242" s="511"/>
      <c r="AI242" s="511"/>
      <c r="AJ242" s="511"/>
      <c r="AK242" s="511"/>
      <c r="AL242" s="511"/>
      <c r="AM242" s="511"/>
      <c r="AN242" s="511"/>
      <c r="AO242" s="511"/>
      <c r="AP242" s="511"/>
      <c r="AQ242" s="511"/>
      <c r="AR242" s="511"/>
      <c r="AS242" s="511"/>
      <c r="AT242" s="511"/>
      <c r="AU242" s="511"/>
      <c r="AV242" s="511"/>
      <c r="AW242" s="511"/>
      <c r="AX242" s="511"/>
      <c r="AY242" s="511"/>
      <c r="AZ242" s="511"/>
      <c r="BA242" s="511"/>
      <c r="BB242" s="511"/>
      <c r="BC242" s="511"/>
    </row>
    <row r="243" spans="1:55" ht="16.5" customHeight="1" x14ac:dyDescent="0.3">
      <c r="A243" s="511"/>
      <c r="B243" s="511"/>
      <c r="C243" s="511"/>
      <c r="D243" s="511"/>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c r="AA243" s="511"/>
      <c r="AB243" s="511"/>
      <c r="AC243" s="511"/>
      <c r="AD243" s="511"/>
      <c r="AE243" s="511"/>
      <c r="AF243" s="511"/>
      <c r="AG243" s="511"/>
      <c r="AH243" s="511"/>
      <c r="AI243" s="511"/>
      <c r="AJ243" s="511"/>
      <c r="AK243" s="511"/>
      <c r="AL243" s="511"/>
      <c r="AM243" s="511"/>
      <c r="AN243" s="511"/>
      <c r="AO243" s="511"/>
      <c r="AP243" s="511"/>
      <c r="AQ243" s="511"/>
      <c r="AR243" s="511"/>
      <c r="AS243" s="511"/>
      <c r="AT243" s="511"/>
      <c r="AU243" s="511"/>
      <c r="AV243" s="511"/>
      <c r="AW243" s="511"/>
      <c r="AX243" s="511"/>
      <c r="AY243" s="511"/>
      <c r="AZ243" s="511"/>
      <c r="BA243" s="511"/>
      <c r="BB243" s="511"/>
      <c r="BC243" s="511"/>
    </row>
    <row r="244" spans="1:55" ht="16.5" customHeight="1" x14ac:dyDescent="0.3">
      <c r="A244" s="511"/>
      <c r="B244" s="511"/>
      <c r="C244" s="511"/>
      <c r="D244" s="511"/>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c r="AA244" s="511"/>
      <c r="AB244" s="511"/>
      <c r="AC244" s="511"/>
      <c r="AD244" s="511"/>
      <c r="AE244" s="511"/>
      <c r="AF244" s="511"/>
      <c r="AG244" s="511"/>
      <c r="AH244" s="511"/>
      <c r="AI244" s="511"/>
      <c r="AJ244" s="511"/>
      <c r="AK244" s="511"/>
      <c r="AL244" s="511"/>
      <c r="AM244" s="511"/>
      <c r="AN244" s="511"/>
      <c r="AO244" s="511"/>
      <c r="AP244" s="511"/>
      <c r="AQ244" s="511"/>
      <c r="AR244" s="511"/>
      <c r="AS244" s="511"/>
      <c r="AT244" s="511"/>
      <c r="AU244" s="511"/>
      <c r="AV244" s="511"/>
      <c r="AW244" s="511"/>
      <c r="AX244" s="511"/>
      <c r="AY244" s="511"/>
      <c r="AZ244" s="511"/>
      <c r="BA244" s="511"/>
      <c r="BB244" s="511"/>
      <c r="BC244" s="511"/>
    </row>
    <row r="245" spans="1:55" ht="16.5" customHeight="1" x14ac:dyDescent="0.3">
      <c r="A245" s="511"/>
      <c r="B245" s="511"/>
      <c r="C245" s="511"/>
      <c r="D245" s="511"/>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c r="AA245" s="511"/>
      <c r="AB245" s="511"/>
      <c r="AC245" s="511"/>
      <c r="AD245" s="511"/>
      <c r="AE245" s="511"/>
      <c r="AF245" s="511"/>
      <c r="AG245" s="511"/>
      <c r="AH245" s="511"/>
      <c r="AI245" s="511"/>
      <c r="AJ245" s="511"/>
      <c r="AK245" s="511"/>
      <c r="AL245" s="511"/>
      <c r="AM245" s="511"/>
      <c r="AN245" s="511"/>
      <c r="AO245" s="511"/>
      <c r="AP245" s="511"/>
      <c r="AQ245" s="511"/>
      <c r="AR245" s="511"/>
      <c r="AS245" s="511"/>
      <c r="AT245" s="511"/>
      <c r="AU245" s="511"/>
      <c r="AV245" s="511"/>
      <c r="AW245" s="511"/>
      <c r="AX245" s="511"/>
      <c r="AY245" s="511"/>
      <c r="AZ245" s="511"/>
      <c r="BA245" s="511"/>
      <c r="BB245" s="511"/>
      <c r="BC245" s="511"/>
    </row>
    <row r="246" spans="1:55" ht="16.5" customHeight="1" x14ac:dyDescent="0.3">
      <c r="A246" s="511"/>
      <c r="B246" s="511"/>
      <c r="C246" s="511"/>
      <c r="D246" s="511"/>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c r="AA246" s="511"/>
      <c r="AB246" s="511"/>
      <c r="AC246" s="511"/>
      <c r="AD246" s="511"/>
      <c r="AE246" s="511"/>
      <c r="AF246" s="511"/>
      <c r="AG246" s="511"/>
      <c r="AH246" s="511"/>
      <c r="AI246" s="511"/>
      <c r="AJ246" s="511"/>
      <c r="AK246" s="511"/>
      <c r="AL246" s="511"/>
      <c r="AM246" s="511"/>
      <c r="AN246" s="511"/>
      <c r="AO246" s="511"/>
      <c r="AP246" s="511"/>
      <c r="AQ246" s="511"/>
      <c r="AR246" s="511"/>
      <c r="AS246" s="511"/>
      <c r="AT246" s="511"/>
      <c r="AU246" s="511"/>
      <c r="AV246" s="511"/>
      <c r="AW246" s="511"/>
      <c r="AX246" s="511"/>
      <c r="AY246" s="511"/>
      <c r="AZ246" s="511"/>
      <c r="BA246" s="511"/>
      <c r="BB246" s="511"/>
      <c r="BC246" s="511"/>
    </row>
    <row r="247" spans="1:55" ht="16.5" customHeight="1" x14ac:dyDescent="0.3">
      <c r="A247" s="511"/>
      <c r="B247" s="511"/>
      <c r="C247" s="511"/>
      <c r="D247" s="511"/>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c r="AA247" s="511"/>
      <c r="AB247" s="511"/>
      <c r="AC247" s="511"/>
      <c r="AD247" s="511"/>
      <c r="AE247" s="511"/>
      <c r="AF247" s="511"/>
      <c r="AG247" s="511"/>
      <c r="AH247" s="511"/>
      <c r="AI247" s="511"/>
      <c r="AJ247" s="511"/>
      <c r="AK247" s="511"/>
      <c r="AL247" s="511"/>
      <c r="AM247" s="511"/>
      <c r="AN247" s="511"/>
      <c r="AO247" s="511"/>
      <c r="AP247" s="511"/>
      <c r="AQ247" s="511"/>
      <c r="AR247" s="511"/>
      <c r="AS247" s="511"/>
      <c r="AT247" s="511"/>
      <c r="AU247" s="511"/>
      <c r="AV247" s="511"/>
      <c r="AW247" s="511"/>
      <c r="AX247" s="511"/>
      <c r="AY247" s="511"/>
      <c r="AZ247" s="511"/>
      <c r="BA247" s="511"/>
      <c r="BB247" s="511"/>
      <c r="BC247" s="511"/>
    </row>
    <row r="248" spans="1:55" ht="16.5" customHeight="1" x14ac:dyDescent="0.3">
      <c r="A248" s="511"/>
      <c r="B248" s="511"/>
      <c r="C248" s="511"/>
      <c r="D248" s="511"/>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c r="AA248" s="511"/>
      <c r="AB248" s="511"/>
      <c r="AC248" s="511"/>
      <c r="AD248" s="511"/>
      <c r="AE248" s="511"/>
      <c r="AF248" s="511"/>
      <c r="AG248" s="511"/>
      <c r="AH248" s="511"/>
      <c r="AI248" s="511"/>
      <c r="AJ248" s="511"/>
      <c r="AK248" s="511"/>
      <c r="AL248" s="511"/>
      <c r="AM248" s="511"/>
      <c r="AN248" s="511"/>
      <c r="AO248" s="511"/>
      <c r="AP248" s="511"/>
      <c r="AQ248" s="511"/>
      <c r="AR248" s="511"/>
      <c r="AS248" s="511"/>
      <c r="AT248" s="511"/>
      <c r="AU248" s="511"/>
      <c r="AV248" s="511"/>
      <c r="AW248" s="511"/>
      <c r="AX248" s="511"/>
      <c r="AY248" s="511"/>
      <c r="AZ248" s="511"/>
      <c r="BA248" s="511"/>
      <c r="BB248" s="511"/>
      <c r="BC248" s="511"/>
    </row>
    <row r="249" spans="1:55" ht="16.5" customHeight="1" x14ac:dyDescent="0.3">
      <c r="A249" s="511"/>
      <c r="B249" s="511"/>
      <c r="C249" s="511"/>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c r="AA249" s="511"/>
      <c r="AB249" s="511"/>
      <c r="AC249" s="511"/>
      <c r="AD249" s="511"/>
      <c r="AE249" s="511"/>
      <c r="AF249" s="511"/>
      <c r="AG249" s="511"/>
      <c r="AH249" s="511"/>
      <c r="AI249" s="511"/>
      <c r="AJ249" s="511"/>
      <c r="AK249" s="511"/>
      <c r="AL249" s="511"/>
      <c r="AM249" s="511"/>
      <c r="AN249" s="511"/>
      <c r="AO249" s="511"/>
      <c r="AP249" s="511"/>
      <c r="AQ249" s="511"/>
      <c r="AR249" s="511"/>
      <c r="AS249" s="511"/>
      <c r="AT249" s="511"/>
      <c r="AU249" s="511"/>
      <c r="AV249" s="511"/>
      <c r="AW249" s="511"/>
      <c r="AX249" s="511"/>
      <c r="AY249" s="511"/>
      <c r="AZ249" s="511"/>
      <c r="BA249" s="511"/>
      <c r="BB249" s="511"/>
      <c r="BC249" s="511"/>
    </row>
    <row r="250" spans="1:55" ht="16.5" customHeight="1" x14ac:dyDescent="0.3">
      <c r="A250" s="511"/>
      <c r="B250" s="511"/>
      <c r="C250" s="511"/>
      <c r="D250" s="511"/>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c r="AA250" s="511"/>
      <c r="AB250" s="511"/>
      <c r="AC250" s="511"/>
      <c r="AD250" s="511"/>
      <c r="AE250" s="511"/>
      <c r="AF250" s="511"/>
      <c r="AG250" s="511"/>
      <c r="AH250" s="511"/>
      <c r="AI250" s="511"/>
      <c r="AJ250" s="511"/>
      <c r="AK250" s="511"/>
      <c r="AL250" s="511"/>
      <c r="AM250" s="511"/>
      <c r="AN250" s="511"/>
      <c r="AO250" s="511"/>
      <c r="AP250" s="511"/>
      <c r="AQ250" s="511"/>
      <c r="AR250" s="511"/>
      <c r="AS250" s="511"/>
      <c r="AT250" s="511"/>
      <c r="AU250" s="511"/>
      <c r="AV250" s="511"/>
      <c r="AW250" s="511"/>
      <c r="AX250" s="511"/>
      <c r="AY250" s="511"/>
      <c r="AZ250" s="511"/>
      <c r="BA250" s="511"/>
      <c r="BB250" s="511"/>
      <c r="BC250" s="511"/>
    </row>
    <row r="251" spans="1:55" ht="16.5" customHeight="1" x14ac:dyDescent="0.3">
      <c r="A251" s="511"/>
      <c r="B251" s="511"/>
      <c r="C251" s="511"/>
      <c r="D251" s="511"/>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c r="AQ251" s="511"/>
      <c r="AR251" s="511"/>
      <c r="AS251" s="511"/>
      <c r="AT251" s="511"/>
      <c r="AU251" s="511"/>
      <c r="AV251" s="511"/>
      <c r="AW251" s="511"/>
      <c r="AX251" s="511"/>
      <c r="AY251" s="511"/>
      <c r="AZ251" s="511"/>
      <c r="BA251" s="511"/>
      <c r="BB251" s="511"/>
      <c r="BC251" s="511"/>
    </row>
    <row r="252" spans="1:55" ht="16.5" customHeight="1" x14ac:dyDescent="0.3">
      <c r="A252" s="511"/>
      <c r="B252" s="511"/>
      <c r="C252" s="511"/>
      <c r="D252" s="511"/>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c r="AA252" s="511"/>
      <c r="AB252" s="511"/>
      <c r="AC252" s="511"/>
      <c r="AD252" s="511"/>
      <c r="AE252" s="511"/>
      <c r="AF252" s="511"/>
      <c r="AG252" s="511"/>
      <c r="AH252" s="511"/>
      <c r="AI252" s="511"/>
      <c r="AJ252" s="511"/>
      <c r="AK252" s="511"/>
      <c r="AL252" s="511"/>
      <c r="AM252" s="511"/>
      <c r="AN252" s="511"/>
      <c r="AO252" s="511"/>
      <c r="AP252" s="511"/>
      <c r="AQ252" s="511"/>
      <c r="AR252" s="511"/>
      <c r="AS252" s="511"/>
      <c r="AT252" s="511"/>
      <c r="AU252" s="511"/>
      <c r="AV252" s="511"/>
      <c r="AW252" s="511"/>
      <c r="AX252" s="511"/>
      <c r="AY252" s="511"/>
      <c r="AZ252" s="511"/>
      <c r="BA252" s="511"/>
      <c r="BB252" s="511"/>
      <c r="BC252" s="511"/>
    </row>
    <row r="253" spans="1:55" ht="16.5" customHeight="1" x14ac:dyDescent="0.3">
      <c r="A253" s="511"/>
      <c r="B253" s="511"/>
      <c r="C253" s="511"/>
      <c r="D253" s="511"/>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c r="AA253" s="511"/>
      <c r="AB253" s="511"/>
      <c r="AC253" s="511"/>
      <c r="AD253" s="511"/>
      <c r="AE253" s="511"/>
      <c r="AF253" s="511"/>
      <c r="AG253" s="511"/>
      <c r="AH253" s="511"/>
      <c r="AI253" s="511"/>
      <c r="AJ253" s="511"/>
      <c r="AK253" s="511"/>
      <c r="AL253" s="511"/>
      <c r="AM253" s="511"/>
      <c r="AN253" s="511"/>
      <c r="AO253" s="511"/>
      <c r="AP253" s="511"/>
      <c r="AQ253" s="511"/>
      <c r="AR253" s="511"/>
      <c r="AS253" s="511"/>
      <c r="AT253" s="511"/>
      <c r="AU253" s="511"/>
      <c r="AV253" s="511"/>
      <c r="AW253" s="511"/>
      <c r="AX253" s="511"/>
      <c r="AY253" s="511"/>
      <c r="AZ253" s="511"/>
      <c r="BA253" s="511"/>
      <c r="BB253" s="511"/>
      <c r="BC253" s="511"/>
    </row>
    <row r="254" spans="1:55" ht="16.5" customHeight="1" x14ac:dyDescent="0.3">
      <c r="A254" s="511"/>
      <c r="B254" s="511"/>
      <c r="C254" s="511"/>
      <c r="D254" s="511"/>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c r="AA254" s="511"/>
      <c r="AB254" s="511"/>
      <c r="AC254" s="511"/>
      <c r="AD254" s="511"/>
      <c r="AE254" s="511"/>
      <c r="AF254" s="511"/>
      <c r="AG254" s="511"/>
      <c r="AH254" s="511"/>
      <c r="AI254" s="511"/>
      <c r="AJ254" s="511"/>
      <c r="AK254" s="511"/>
      <c r="AL254" s="511"/>
      <c r="AM254" s="511"/>
      <c r="AN254" s="511"/>
      <c r="AO254" s="511"/>
      <c r="AP254" s="511"/>
      <c r="AQ254" s="511"/>
      <c r="AR254" s="511"/>
      <c r="AS254" s="511"/>
      <c r="AT254" s="511"/>
      <c r="AU254" s="511"/>
      <c r="AV254" s="511"/>
      <c r="AW254" s="511"/>
      <c r="AX254" s="511"/>
      <c r="AY254" s="511"/>
      <c r="AZ254" s="511"/>
      <c r="BA254" s="511"/>
      <c r="BB254" s="511"/>
      <c r="BC254" s="511"/>
    </row>
    <row r="255" spans="1:55" ht="16.5" customHeight="1" x14ac:dyDescent="0.3">
      <c r="A255" s="511"/>
      <c r="B255" s="511"/>
      <c r="C255" s="511"/>
      <c r="D255" s="511"/>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c r="AA255" s="511"/>
      <c r="AB255" s="511"/>
      <c r="AC255" s="511"/>
      <c r="AD255" s="511"/>
      <c r="AE255" s="511"/>
      <c r="AF255" s="511"/>
      <c r="AG255" s="511"/>
      <c r="AH255" s="511"/>
      <c r="AI255" s="511"/>
      <c r="AJ255" s="511"/>
      <c r="AK255" s="511"/>
      <c r="AL255" s="511"/>
      <c r="AM255" s="511"/>
      <c r="AN255" s="511"/>
      <c r="AO255" s="511"/>
      <c r="AP255" s="511"/>
      <c r="AQ255" s="511"/>
      <c r="AR255" s="511"/>
      <c r="AS255" s="511"/>
      <c r="AT255" s="511"/>
      <c r="AU255" s="511"/>
      <c r="AV255" s="511"/>
      <c r="AW255" s="511"/>
      <c r="AX255" s="511"/>
      <c r="AY255" s="511"/>
      <c r="AZ255" s="511"/>
      <c r="BA255" s="511"/>
      <c r="BB255" s="511"/>
      <c r="BC255" s="511"/>
    </row>
    <row r="256" spans="1:55" ht="16.5" customHeight="1" x14ac:dyDescent="0.3">
      <c r="A256" s="511"/>
      <c r="B256" s="511"/>
      <c r="C256" s="511"/>
      <c r="D256" s="511"/>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c r="AA256" s="511"/>
      <c r="AB256" s="511"/>
      <c r="AC256" s="511"/>
      <c r="AD256" s="511"/>
      <c r="AE256" s="511"/>
      <c r="AF256" s="511"/>
      <c r="AG256" s="511"/>
      <c r="AH256" s="511"/>
      <c r="AI256" s="511"/>
      <c r="AJ256" s="511"/>
      <c r="AK256" s="511"/>
      <c r="AL256" s="511"/>
      <c r="AM256" s="511"/>
      <c r="AN256" s="511"/>
      <c r="AO256" s="511"/>
      <c r="AP256" s="511"/>
      <c r="AQ256" s="511"/>
      <c r="AR256" s="511"/>
      <c r="AS256" s="511"/>
      <c r="AT256" s="511"/>
      <c r="AU256" s="511"/>
      <c r="AV256" s="511"/>
      <c r="AW256" s="511"/>
      <c r="AX256" s="511"/>
      <c r="AY256" s="511"/>
      <c r="AZ256" s="511"/>
      <c r="BA256" s="511"/>
      <c r="BB256" s="511"/>
      <c r="BC256" s="511"/>
    </row>
    <row r="257" spans="1:55" ht="16.5" customHeight="1" x14ac:dyDescent="0.3">
      <c r="A257" s="511"/>
      <c r="B257" s="511"/>
      <c r="C257" s="511"/>
      <c r="D257" s="511"/>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c r="AA257" s="511"/>
      <c r="AB257" s="511"/>
      <c r="AC257" s="511"/>
      <c r="AD257" s="511"/>
      <c r="AE257" s="511"/>
      <c r="AF257" s="511"/>
      <c r="AG257" s="511"/>
      <c r="AH257" s="511"/>
      <c r="AI257" s="511"/>
      <c r="AJ257" s="511"/>
      <c r="AK257" s="511"/>
      <c r="AL257" s="511"/>
      <c r="AM257" s="511"/>
      <c r="AN257" s="511"/>
      <c r="AO257" s="511"/>
      <c r="AP257" s="511"/>
      <c r="AQ257" s="511"/>
      <c r="AR257" s="511"/>
      <c r="AS257" s="511"/>
      <c r="AT257" s="511"/>
      <c r="AU257" s="511"/>
      <c r="AV257" s="511"/>
      <c r="AW257" s="511"/>
      <c r="AX257" s="511"/>
      <c r="AY257" s="511"/>
      <c r="AZ257" s="511"/>
      <c r="BA257" s="511"/>
      <c r="BB257" s="511"/>
      <c r="BC257" s="511"/>
    </row>
    <row r="258" spans="1:55" ht="16.5" customHeight="1" x14ac:dyDescent="0.3">
      <c r="A258" s="511"/>
      <c r="B258" s="511"/>
      <c r="C258" s="511"/>
      <c r="D258" s="511"/>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c r="AA258" s="511"/>
      <c r="AB258" s="511"/>
      <c r="AC258" s="511"/>
      <c r="AD258" s="511"/>
      <c r="AE258" s="511"/>
      <c r="AF258" s="511"/>
      <c r="AG258" s="511"/>
      <c r="AH258" s="511"/>
      <c r="AI258" s="511"/>
      <c r="AJ258" s="511"/>
      <c r="AK258" s="511"/>
      <c r="AL258" s="511"/>
      <c r="AM258" s="511"/>
      <c r="AN258" s="511"/>
      <c r="AO258" s="511"/>
      <c r="AP258" s="511"/>
      <c r="AQ258" s="511"/>
      <c r="AR258" s="511"/>
      <c r="AS258" s="511"/>
      <c r="AT258" s="511"/>
      <c r="AU258" s="511"/>
      <c r="AV258" s="511"/>
      <c r="AW258" s="511"/>
      <c r="AX258" s="511"/>
      <c r="AY258" s="511"/>
      <c r="AZ258" s="511"/>
      <c r="BA258" s="511"/>
      <c r="BB258" s="511"/>
      <c r="BC258" s="511"/>
    </row>
    <row r="259" spans="1:55" ht="16.5" customHeight="1" x14ac:dyDescent="0.3">
      <c r="A259" s="511"/>
      <c r="B259" s="511"/>
      <c r="C259" s="511"/>
      <c r="D259" s="511"/>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c r="AA259" s="511"/>
      <c r="AB259" s="511"/>
      <c r="AC259" s="511"/>
      <c r="AD259" s="511"/>
      <c r="AE259" s="511"/>
      <c r="AF259" s="511"/>
      <c r="AG259" s="511"/>
      <c r="AH259" s="511"/>
      <c r="AI259" s="511"/>
      <c r="AJ259" s="511"/>
      <c r="AK259" s="511"/>
      <c r="AL259" s="511"/>
      <c r="AM259" s="511"/>
      <c r="AN259" s="511"/>
      <c r="AO259" s="511"/>
      <c r="AP259" s="511"/>
      <c r="AQ259" s="511"/>
      <c r="AR259" s="511"/>
      <c r="AS259" s="511"/>
      <c r="AT259" s="511"/>
      <c r="AU259" s="511"/>
      <c r="AV259" s="511"/>
      <c r="AW259" s="511"/>
      <c r="AX259" s="511"/>
      <c r="AY259" s="511"/>
      <c r="AZ259" s="511"/>
      <c r="BA259" s="511"/>
      <c r="BB259" s="511"/>
      <c r="BC259" s="511"/>
    </row>
    <row r="260" spans="1:55" ht="16.5" customHeight="1" x14ac:dyDescent="0.3">
      <c r="A260" s="511"/>
      <c r="B260" s="511"/>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c r="AA260" s="511"/>
      <c r="AB260" s="511"/>
      <c r="AC260" s="511"/>
      <c r="AD260" s="511"/>
      <c r="AE260" s="511"/>
      <c r="AF260" s="511"/>
      <c r="AG260" s="511"/>
      <c r="AH260" s="511"/>
      <c r="AI260" s="511"/>
      <c r="AJ260" s="511"/>
      <c r="AK260" s="511"/>
      <c r="AL260" s="511"/>
      <c r="AM260" s="511"/>
      <c r="AN260" s="511"/>
      <c r="AO260" s="511"/>
      <c r="AP260" s="511"/>
      <c r="AQ260" s="511"/>
      <c r="AR260" s="511"/>
      <c r="AS260" s="511"/>
      <c r="AT260" s="511"/>
      <c r="AU260" s="511"/>
      <c r="AV260" s="511"/>
      <c r="AW260" s="511"/>
      <c r="AX260" s="511"/>
      <c r="AY260" s="511"/>
      <c r="AZ260" s="511"/>
      <c r="BA260" s="511"/>
      <c r="BB260" s="511"/>
      <c r="BC260" s="511"/>
    </row>
    <row r="261" spans="1:55" ht="16.5" customHeight="1" x14ac:dyDescent="0.3">
      <c r="A261" s="511"/>
      <c r="B261" s="511"/>
      <c r="C261" s="511"/>
      <c r="D261" s="511"/>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c r="AA261" s="511"/>
      <c r="AB261" s="511"/>
      <c r="AC261" s="511"/>
      <c r="AD261" s="511"/>
      <c r="AE261" s="511"/>
      <c r="AF261" s="511"/>
      <c r="AG261" s="511"/>
      <c r="AH261" s="511"/>
      <c r="AI261" s="511"/>
      <c r="AJ261" s="511"/>
      <c r="AK261" s="511"/>
      <c r="AL261" s="511"/>
      <c r="AM261" s="511"/>
      <c r="AN261" s="511"/>
      <c r="AO261" s="511"/>
      <c r="AP261" s="511"/>
      <c r="AQ261" s="511"/>
      <c r="AR261" s="511"/>
      <c r="AS261" s="511"/>
      <c r="AT261" s="511"/>
      <c r="AU261" s="511"/>
      <c r="AV261" s="511"/>
      <c r="AW261" s="511"/>
      <c r="AX261" s="511"/>
      <c r="AY261" s="511"/>
      <c r="AZ261" s="511"/>
      <c r="BA261" s="511"/>
      <c r="BB261" s="511"/>
      <c r="BC261" s="511"/>
    </row>
    <row r="262" spans="1:55" ht="16.5" customHeight="1" x14ac:dyDescent="0.3">
      <c r="A262" s="511"/>
      <c r="B262" s="511"/>
      <c r="C262" s="511"/>
      <c r="D262" s="511"/>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c r="AA262" s="511"/>
      <c r="AB262" s="511"/>
      <c r="AC262" s="511"/>
      <c r="AD262" s="511"/>
      <c r="AE262" s="511"/>
      <c r="AF262" s="511"/>
      <c r="AG262" s="511"/>
      <c r="AH262" s="511"/>
      <c r="AI262" s="511"/>
      <c r="AJ262" s="511"/>
      <c r="AK262" s="511"/>
      <c r="AL262" s="511"/>
      <c r="AM262" s="511"/>
      <c r="AN262" s="511"/>
      <c r="AO262" s="511"/>
      <c r="AP262" s="511"/>
      <c r="AQ262" s="511"/>
      <c r="AR262" s="511"/>
      <c r="AS262" s="511"/>
      <c r="AT262" s="511"/>
      <c r="AU262" s="511"/>
      <c r="AV262" s="511"/>
      <c r="AW262" s="511"/>
      <c r="AX262" s="511"/>
      <c r="AY262" s="511"/>
      <c r="AZ262" s="511"/>
      <c r="BA262" s="511"/>
      <c r="BB262" s="511"/>
      <c r="BC262" s="511"/>
    </row>
    <row r="263" spans="1:55" ht="16.5" customHeight="1" x14ac:dyDescent="0.3">
      <c r="A263" s="511"/>
      <c r="B263" s="511"/>
      <c r="C263" s="511"/>
      <c r="D263" s="511"/>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c r="AA263" s="511"/>
      <c r="AB263" s="511"/>
      <c r="AC263" s="511"/>
      <c r="AD263" s="511"/>
      <c r="AE263" s="511"/>
      <c r="AF263" s="511"/>
      <c r="AG263" s="511"/>
      <c r="AH263" s="511"/>
      <c r="AI263" s="511"/>
      <c r="AJ263" s="511"/>
      <c r="AK263" s="511"/>
      <c r="AL263" s="511"/>
      <c r="AM263" s="511"/>
      <c r="AN263" s="511"/>
      <c r="AO263" s="511"/>
      <c r="AP263" s="511"/>
      <c r="AQ263" s="511"/>
      <c r="AR263" s="511"/>
      <c r="AS263" s="511"/>
      <c r="AT263" s="511"/>
      <c r="AU263" s="511"/>
      <c r="AV263" s="511"/>
      <c r="AW263" s="511"/>
      <c r="AX263" s="511"/>
      <c r="AY263" s="511"/>
      <c r="AZ263" s="511"/>
      <c r="BA263" s="511"/>
      <c r="BB263" s="511"/>
      <c r="BC263" s="511"/>
    </row>
    <row r="264" spans="1:55" ht="16.5" customHeight="1" x14ac:dyDescent="0.3">
      <c r="A264" s="511"/>
      <c r="B264" s="511"/>
      <c r="C264" s="511"/>
      <c r="D264" s="511"/>
      <c r="E264" s="511"/>
      <c r="F264" s="511"/>
      <c r="G264" s="511"/>
      <c r="H264" s="511"/>
      <c r="I264" s="511"/>
      <c r="J264" s="511"/>
      <c r="K264" s="511"/>
      <c r="L264" s="511"/>
      <c r="M264" s="511"/>
      <c r="N264" s="511"/>
      <c r="O264" s="511"/>
      <c r="P264" s="511"/>
      <c r="Q264" s="511"/>
      <c r="R264" s="511"/>
      <c r="S264" s="511"/>
      <c r="T264" s="511"/>
      <c r="U264" s="511"/>
      <c r="V264" s="511"/>
      <c r="W264" s="511"/>
      <c r="X264" s="511"/>
      <c r="Y264" s="511"/>
      <c r="Z264" s="511"/>
      <c r="AA264" s="511"/>
      <c r="AB264" s="511"/>
      <c r="AC264" s="511"/>
      <c r="AD264" s="511"/>
      <c r="AE264" s="511"/>
      <c r="AF264" s="511"/>
      <c r="AG264" s="511"/>
      <c r="AH264" s="511"/>
      <c r="AI264" s="511"/>
      <c r="AJ264" s="511"/>
      <c r="AK264" s="511"/>
      <c r="AL264" s="511"/>
      <c r="AM264" s="511"/>
      <c r="AN264" s="511"/>
      <c r="AO264" s="511"/>
      <c r="AP264" s="511"/>
      <c r="AQ264" s="511"/>
      <c r="AR264" s="511"/>
      <c r="AS264" s="511"/>
      <c r="AT264" s="511"/>
      <c r="AU264" s="511"/>
      <c r="AV264" s="511"/>
      <c r="AW264" s="511"/>
      <c r="AX264" s="511"/>
      <c r="AY264" s="511"/>
      <c r="AZ264" s="511"/>
      <c r="BA264" s="511"/>
      <c r="BB264" s="511"/>
      <c r="BC264" s="511"/>
    </row>
    <row r="265" spans="1:55" ht="16.5" customHeight="1" x14ac:dyDescent="0.3">
      <c r="A265" s="511"/>
      <c r="B265" s="511"/>
      <c r="C265" s="511"/>
      <c r="D265" s="511"/>
      <c r="E265" s="511"/>
      <c r="F265" s="511"/>
      <c r="G265" s="511"/>
      <c r="H265" s="511"/>
      <c r="I265" s="511"/>
      <c r="J265" s="511"/>
      <c r="K265" s="511"/>
      <c r="L265" s="511"/>
      <c r="M265" s="511"/>
      <c r="N265" s="511"/>
      <c r="O265" s="511"/>
      <c r="P265" s="511"/>
      <c r="Q265" s="511"/>
      <c r="R265" s="511"/>
      <c r="S265" s="511"/>
      <c r="T265" s="511"/>
      <c r="U265" s="511"/>
      <c r="V265" s="511"/>
      <c r="W265" s="511"/>
      <c r="X265" s="511"/>
      <c r="Y265" s="511"/>
      <c r="Z265" s="511"/>
      <c r="AA265" s="511"/>
      <c r="AB265" s="511"/>
      <c r="AC265" s="511"/>
      <c r="AD265" s="511"/>
      <c r="AE265" s="511"/>
      <c r="AF265" s="511"/>
      <c r="AG265" s="511"/>
      <c r="AH265" s="511"/>
      <c r="AI265" s="511"/>
      <c r="AJ265" s="511"/>
      <c r="AK265" s="511"/>
      <c r="AL265" s="511"/>
      <c r="AM265" s="511"/>
      <c r="AN265" s="511"/>
      <c r="AO265" s="511"/>
      <c r="AP265" s="511"/>
      <c r="AQ265" s="511"/>
      <c r="AR265" s="511"/>
      <c r="AS265" s="511"/>
      <c r="AT265" s="511"/>
      <c r="AU265" s="511"/>
      <c r="AV265" s="511"/>
      <c r="AW265" s="511"/>
      <c r="AX265" s="511"/>
      <c r="AY265" s="511"/>
      <c r="AZ265" s="511"/>
      <c r="BA265" s="511"/>
      <c r="BB265" s="511"/>
      <c r="BC265" s="511"/>
    </row>
    <row r="266" spans="1:55" ht="16.5" customHeight="1" x14ac:dyDescent="0.3">
      <c r="A266" s="511"/>
      <c r="B266" s="511"/>
      <c r="C266" s="511"/>
      <c r="D266" s="511"/>
      <c r="E266" s="511"/>
      <c r="F266" s="511"/>
      <c r="G266" s="511"/>
      <c r="H266" s="511"/>
      <c r="I266" s="511"/>
      <c r="J266" s="511"/>
      <c r="K266" s="511"/>
      <c r="L266" s="511"/>
      <c r="M266" s="511"/>
      <c r="N266" s="511"/>
      <c r="O266" s="511"/>
      <c r="P266" s="511"/>
      <c r="Q266" s="511"/>
      <c r="R266" s="511"/>
      <c r="S266" s="511"/>
      <c r="T266" s="511"/>
      <c r="U266" s="511"/>
      <c r="V266" s="511"/>
      <c r="W266" s="511"/>
      <c r="X266" s="511"/>
      <c r="Y266" s="511"/>
      <c r="Z266" s="511"/>
      <c r="AA266" s="511"/>
      <c r="AB266" s="511"/>
      <c r="AC266" s="511"/>
      <c r="AD266" s="511"/>
      <c r="AE266" s="511"/>
      <c r="AF266" s="511"/>
      <c r="AG266" s="511"/>
      <c r="AH266" s="511"/>
      <c r="AI266" s="511"/>
      <c r="AJ266" s="511"/>
      <c r="AK266" s="511"/>
      <c r="AL266" s="511"/>
      <c r="AM266" s="511"/>
      <c r="AN266" s="511"/>
      <c r="AO266" s="511"/>
      <c r="AP266" s="511"/>
      <c r="AQ266" s="511"/>
      <c r="AR266" s="511"/>
      <c r="AS266" s="511"/>
      <c r="AT266" s="511"/>
      <c r="AU266" s="511"/>
      <c r="AV266" s="511"/>
      <c r="AW266" s="511"/>
      <c r="AX266" s="511"/>
      <c r="AY266" s="511"/>
      <c r="AZ266" s="511"/>
      <c r="BA266" s="511"/>
      <c r="BB266" s="511"/>
      <c r="BC266" s="511"/>
    </row>
    <row r="267" spans="1:55" ht="16.5" customHeight="1" x14ac:dyDescent="0.3">
      <c r="A267" s="511"/>
      <c r="B267" s="511"/>
      <c r="C267" s="511"/>
      <c r="D267" s="511"/>
      <c r="E267" s="511"/>
      <c r="F267" s="511"/>
      <c r="G267" s="511"/>
      <c r="H267" s="511"/>
      <c r="I267" s="511"/>
      <c r="J267" s="511"/>
      <c r="K267" s="511"/>
      <c r="L267" s="511"/>
      <c r="M267" s="511"/>
      <c r="N267" s="511"/>
      <c r="O267" s="511"/>
      <c r="P267" s="511"/>
      <c r="Q267" s="511"/>
      <c r="R267" s="511"/>
      <c r="S267" s="511"/>
      <c r="T267" s="511"/>
      <c r="U267" s="511"/>
      <c r="V267" s="511"/>
      <c r="W267" s="511"/>
      <c r="X267" s="511"/>
      <c r="Y267" s="511"/>
      <c r="Z267" s="511"/>
      <c r="AA267" s="511"/>
      <c r="AB267" s="511"/>
      <c r="AC267" s="511"/>
      <c r="AD267" s="511"/>
      <c r="AE267" s="511"/>
      <c r="AF267" s="511"/>
      <c r="AG267" s="511"/>
      <c r="AH267" s="511"/>
      <c r="AI267" s="511"/>
      <c r="AJ267" s="511"/>
      <c r="AK267" s="511"/>
      <c r="AL267" s="511"/>
      <c r="AM267" s="511"/>
      <c r="AN267" s="511"/>
      <c r="AO267" s="511"/>
      <c r="AP267" s="511"/>
      <c r="AQ267" s="511"/>
      <c r="AR267" s="511"/>
      <c r="AS267" s="511"/>
      <c r="AT267" s="511"/>
      <c r="AU267" s="511"/>
      <c r="AV267" s="511"/>
      <c r="AW267" s="511"/>
      <c r="AX267" s="511"/>
      <c r="AY267" s="511"/>
      <c r="AZ267" s="511"/>
      <c r="BA267" s="511"/>
      <c r="BB267" s="511"/>
      <c r="BC267" s="511"/>
    </row>
    <row r="268" spans="1:55" ht="16.5" customHeight="1" x14ac:dyDescent="0.3">
      <c r="A268" s="511"/>
      <c r="B268" s="511"/>
      <c r="C268" s="511"/>
      <c r="D268" s="511"/>
      <c r="E268" s="511"/>
      <c r="F268" s="511"/>
      <c r="G268" s="511"/>
      <c r="H268" s="511"/>
      <c r="I268" s="511"/>
      <c r="J268" s="511"/>
      <c r="K268" s="511"/>
      <c r="L268" s="511"/>
      <c r="M268" s="511"/>
      <c r="N268" s="511"/>
      <c r="O268" s="511"/>
      <c r="P268" s="511"/>
      <c r="Q268" s="511"/>
      <c r="R268" s="511"/>
      <c r="S268" s="511"/>
      <c r="T268" s="511"/>
      <c r="U268" s="511"/>
      <c r="V268" s="511"/>
      <c r="W268" s="511"/>
      <c r="X268" s="511"/>
      <c r="Y268" s="511"/>
      <c r="Z268" s="511"/>
      <c r="AA268" s="511"/>
      <c r="AB268" s="511"/>
      <c r="AC268" s="511"/>
      <c r="AD268" s="511"/>
      <c r="AE268" s="511"/>
      <c r="AF268" s="511"/>
      <c r="AG268" s="511"/>
      <c r="AH268" s="511"/>
      <c r="AI268" s="511"/>
      <c r="AJ268" s="511"/>
      <c r="AK268" s="511"/>
      <c r="AL268" s="511"/>
      <c r="AM268" s="511"/>
      <c r="AN268" s="511"/>
      <c r="AO268" s="511"/>
      <c r="AP268" s="511"/>
      <c r="AQ268" s="511"/>
      <c r="AR268" s="511"/>
      <c r="AS268" s="511"/>
      <c r="AT268" s="511"/>
      <c r="AU268" s="511"/>
      <c r="AV268" s="511"/>
      <c r="AW268" s="511"/>
      <c r="AX268" s="511"/>
      <c r="AY268" s="511"/>
      <c r="AZ268" s="511"/>
      <c r="BA268" s="511"/>
      <c r="BB268" s="511"/>
      <c r="BC268" s="511"/>
    </row>
    <row r="269" spans="1:55" ht="16.5" customHeight="1" x14ac:dyDescent="0.3">
      <c r="A269" s="511"/>
      <c r="B269" s="511"/>
      <c r="C269" s="511"/>
      <c r="D269" s="511"/>
      <c r="E269" s="511"/>
      <c r="F269" s="511"/>
      <c r="G269" s="511"/>
      <c r="H269" s="511"/>
      <c r="I269" s="511"/>
      <c r="J269" s="511"/>
      <c r="K269" s="511"/>
      <c r="L269" s="511"/>
      <c r="M269" s="511"/>
      <c r="N269" s="511"/>
      <c r="O269" s="511"/>
      <c r="P269" s="511"/>
      <c r="Q269" s="511"/>
      <c r="R269" s="511"/>
      <c r="S269" s="511"/>
      <c r="T269" s="511"/>
      <c r="U269" s="511"/>
      <c r="V269" s="511"/>
      <c r="W269" s="511"/>
      <c r="X269" s="511"/>
      <c r="Y269" s="511"/>
      <c r="Z269" s="511"/>
      <c r="AA269" s="511"/>
      <c r="AB269" s="511"/>
      <c r="AC269" s="511"/>
      <c r="AD269" s="511"/>
      <c r="AE269" s="511"/>
      <c r="AF269" s="511"/>
      <c r="AG269" s="511"/>
      <c r="AH269" s="511"/>
      <c r="AI269" s="511"/>
      <c r="AJ269" s="511"/>
      <c r="AK269" s="511"/>
      <c r="AL269" s="511"/>
      <c r="AM269" s="511"/>
      <c r="AN269" s="511"/>
      <c r="AO269" s="511"/>
      <c r="AP269" s="511"/>
      <c r="AQ269" s="511"/>
      <c r="AR269" s="511"/>
      <c r="AS269" s="511"/>
      <c r="AT269" s="511"/>
      <c r="AU269" s="511"/>
      <c r="AV269" s="511"/>
      <c r="AW269" s="511"/>
      <c r="AX269" s="511"/>
      <c r="AY269" s="511"/>
      <c r="AZ269" s="511"/>
      <c r="BA269" s="511"/>
      <c r="BB269" s="511"/>
      <c r="BC269" s="511"/>
    </row>
    <row r="270" spans="1:55" ht="16.5" customHeight="1" x14ac:dyDescent="0.3">
      <c r="A270" s="511"/>
      <c r="B270" s="511"/>
      <c r="C270" s="511"/>
      <c r="D270" s="511"/>
      <c r="E270" s="511"/>
      <c r="F270" s="511"/>
      <c r="G270" s="511"/>
      <c r="H270" s="511"/>
      <c r="I270" s="511"/>
      <c r="J270" s="511"/>
      <c r="K270" s="511"/>
      <c r="L270" s="511"/>
      <c r="M270" s="511"/>
      <c r="N270" s="511"/>
      <c r="O270" s="511"/>
      <c r="P270" s="511"/>
      <c r="Q270" s="511"/>
      <c r="R270" s="511"/>
      <c r="S270" s="511"/>
      <c r="T270" s="511"/>
      <c r="U270" s="511"/>
      <c r="V270" s="511"/>
      <c r="W270" s="511"/>
      <c r="X270" s="511"/>
      <c r="Y270" s="511"/>
      <c r="Z270" s="511"/>
      <c r="AA270" s="511"/>
      <c r="AB270" s="511"/>
      <c r="AC270" s="511"/>
      <c r="AD270" s="511"/>
      <c r="AE270" s="511"/>
      <c r="AF270" s="511"/>
      <c r="AG270" s="511"/>
      <c r="AH270" s="511"/>
      <c r="AI270" s="511"/>
      <c r="AJ270" s="511"/>
      <c r="AK270" s="511"/>
      <c r="AL270" s="511"/>
      <c r="AM270" s="511"/>
      <c r="AN270" s="511"/>
      <c r="AO270" s="511"/>
      <c r="AP270" s="511"/>
      <c r="AQ270" s="511"/>
      <c r="AR270" s="511"/>
      <c r="AS270" s="511"/>
      <c r="AT270" s="511"/>
      <c r="AU270" s="511"/>
      <c r="AV270" s="511"/>
      <c r="AW270" s="511"/>
      <c r="AX270" s="511"/>
      <c r="AY270" s="511"/>
      <c r="AZ270" s="511"/>
      <c r="BA270" s="511"/>
      <c r="BB270" s="511"/>
      <c r="BC270" s="511"/>
    </row>
    <row r="271" spans="1:55" ht="16.5" customHeight="1" x14ac:dyDescent="0.3">
      <c r="A271" s="511"/>
      <c r="B271" s="511"/>
      <c r="C271" s="511"/>
      <c r="D271" s="511"/>
      <c r="E271" s="511"/>
      <c r="F271" s="511"/>
      <c r="G271" s="511"/>
      <c r="H271" s="511"/>
      <c r="I271" s="511"/>
      <c r="J271" s="511"/>
      <c r="K271" s="511"/>
      <c r="L271" s="511"/>
      <c r="M271" s="511"/>
      <c r="N271" s="511"/>
      <c r="O271" s="511"/>
      <c r="P271" s="511"/>
      <c r="Q271" s="511"/>
      <c r="R271" s="511"/>
      <c r="S271" s="511"/>
      <c r="T271" s="511"/>
      <c r="U271" s="511"/>
      <c r="V271" s="511"/>
      <c r="W271" s="511"/>
      <c r="X271" s="511"/>
      <c r="Y271" s="511"/>
      <c r="Z271" s="511"/>
      <c r="AA271" s="511"/>
      <c r="AB271" s="511"/>
      <c r="AC271" s="511"/>
      <c r="AD271" s="511"/>
      <c r="AE271" s="511"/>
      <c r="AF271" s="511"/>
      <c r="AG271" s="511"/>
      <c r="AH271" s="511"/>
      <c r="AI271" s="511"/>
      <c r="AJ271" s="511"/>
      <c r="AK271" s="511"/>
      <c r="AL271" s="511"/>
      <c r="AM271" s="511"/>
      <c r="AN271" s="511"/>
      <c r="AO271" s="511"/>
      <c r="AP271" s="511"/>
      <c r="AQ271" s="511"/>
      <c r="AR271" s="511"/>
      <c r="AS271" s="511"/>
      <c r="AT271" s="511"/>
      <c r="AU271" s="511"/>
      <c r="AV271" s="511"/>
      <c r="AW271" s="511"/>
      <c r="AX271" s="511"/>
      <c r="AY271" s="511"/>
      <c r="AZ271" s="511"/>
      <c r="BA271" s="511"/>
      <c r="BB271" s="511"/>
      <c r="BC271" s="511"/>
    </row>
    <row r="272" spans="1:55" ht="16.5" customHeight="1" x14ac:dyDescent="0.3">
      <c r="A272" s="511"/>
      <c r="B272" s="511"/>
      <c r="C272" s="511"/>
      <c r="D272" s="511"/>
      <c r="E272" s="511"/>
      <c r="F272" s="511"/>
      <c r="G272" s="511"/>
      <c r="H272" s="511"/>
      <c r="I272" s="511"/>
      <c r="J272" s="511"/>
      <c r="K272" s="511"/>
      <c r="L272" s="511"/>
      <c r="M272" s="511"/>
      <c r="N272" s="511"/>
      <c r="O272" s="511"/>
      <c r="P272" s="511"/>
      <c r="Q272" s="511"/>
      <c r="R272" s="511"/>
      <c r="S272" s="511"/>
      <c r="T272" s="511"/>
      <c r="U272" s="511"/>
      <c r="V272" s="511"/>
      <c r="W272" s="511"/>
      <c r="X272" s="511"/>
      <c r="Y272" s="511"/>
      <c r="Z272" s="511"/>
      <c r="AA272" s="511"/>
      <c r="AB272" s="511"/>
      <c r="AC272" s="511"/>
      <c r="AD272" s="511"/>
      <c r="AE272" s="511"/>
      <c r="AF272" s="511"/>
      <c r="AG272" s="511"/>
      <c r="AH272" s="511"/>
      <c r="AI272" s="511"/>
      <c r="AJ272" s="511"/>
      <c r="AK272" s="511"/>
      <c r="AL272" s="511"/>
      <c r="AM272" s="511"/>
      <c r="AN272" s="511"/>
      <c r="AO272" s="511"/>
      <c r="AP272" s="511"/>
      <c r="AQ272" s="511"/>
      <c r="AR272" s="511"/>
      <c r="AS272" s="511"/>
      <c r="AT272" s="511"/>
      <c r="AU272" s="511"/>
      <c r="AV272" s="511"/>
      <c r="AW272" s="511"/>
      <c r="AX272" s="511"/>
      <c r="AY272" s="511"/>
      <c r="AZ272" s="511"/>
      <c r="BA272" s="511"/>
      <c r="BB272" s="511"/>
      <c r="BC272" s="511"/>
    </row>
    <row r="273" spans="1:55" ht="16.5" customHeight="1" x14ac:dyDescent="0.3">
      <c r="A273" s="511"/>
      <c r="B273" s="511"/>
      <c r="C273" s="511"/>
      <c r="D273" s="511"/>
      <c r="E273" s="511"/>
      <c r="F273" s="511"/>
      <c r="G273" s="511"/>
      <c r="H273" s="511"/>
      <c r="I273" s="511"/>
      <c r="J273" s="511"/>
      <c r="K273" s="511"/>
      <c r="L273" s="511"/>
      <c r="M273" s="511"/>
      <c r="N273" s="511"/>
      <c r="O273" s="511"/>
      <c r="P273" s="511"/>
      <c r="Q273" s="511"/>
      <c r="R273" s="511"/>
      <c r="S273" s="511"/>
      <c r="T273" s="511"/>
      <c r="U273" s="511"/>
      <c r="V273" s="511"/>
      <c r="W273" s="511"/>
      <c r="X273" s="511"/>
      <c r="Y273" s="511"/>
      <c r="Z273" s="511"/>
      <c r="AA273" s="511"/>
      <c r="AB273" s="511"/>
      <c r="AC273" s="511"/>
      <c r="AD273" s="511"/>
      <c r="AE273" s="511"/>
      <c r="AF273" s="511"/>
      <c r="AG273" s="511"/>
      <c r="AH273" s="511"/>
      <c r="AI273" s="511"/>
      <c r="AJ273" s="511"/>
      <c r="AK273" s="511"/>
      <c r="AL273" s="511"/>
      <c r="AM273" s="511"/>
      <c r="AN273" s="511"/>
      <c r="AO273" s="511"/>
      <c r="AP273" s="511"/>
      <c r="AQ273" s="511"/>
      <c r="AR273" s="511"/>
      <c r="AS273" s="511"/>
      <c r="AT273" s="511"/>
      <c r="AU273" s="511"/>
      <c r="AV273" s="511"/>
      <c r="AW273" s="511"/>
      <c r="AX273" s="511"/>
      <c r="AY273" s="511"/>
      <c r="AZ273" s="511"/>
      <c r="BA273" s="511"/>
      <c r="BB273" s="511"/>
      <c r="BC273" s="511"/>
    </row>
    <row r="274" spans="1:55" ht="16.5" customHeight="1" x14ac:dyDescent="0.3">
      <c r="A274" s="511"/>
      <c r="B274" s="511"/>
      <c r="C274" s="511"/>
      <c r="D274" s="511"/>
      <c r="E274" s="511"/>
      <c r="F274" s="511"/>
      <c r="G274" s="511"/>
      <c r="H274" s="511"/>
      <c r="I274" s="511"/>
      <c r="J274" s="511"/>
      <c r="K274" s="511"/>
      <c r="L274" s="511"/>
      <c r="M274" s="511"/>
      <c r="N274" s="511"/>
      <c r="O274" s="511"/>
      <c r="P274" s="511"/>
      <c r="Q274" s="511"/>
      <c r="R274" s="511"/>
      <c r="S274" s="511"/>
      <c r="T274" s="511"/>
      <c r="U274" s="511"/>
      <c r="V274" s="511"/>
      <c r="W274" s="511"/>
      <c r="X274" s="511"/>
      <c r="Y274" s="511"/>
      <c r="Z274" s="511"/>
      <c r="AA274" s="511"/>
      <c r="AB274" s="511"/>
      <c r="AC274" s="511"/>
      <c r="AD274" s="511"/>
      <c r="AE274" s="511"/>
      <c r="AF274" s="511"/>
      <c r="AG274" s="511"/>
      <c r="AH274" s="511"/>
      <c r="AI274" s="511"/>
      <c r="AJ274" s="511"/>
      <c r="AK274" s="511"/>
      <c r="AL274" s="511"/>
      <c r="AM274" s="511"/>
      <c r="AN274" s="511"/>
      <c r="AO274" s="511"/>
      <c r="AP274" s="511"/>
      <c r="AQ274" s="511"/>
      <c r="AR274" s="511"/>
      <c r="AS274" s="511"/>
      <c r="AT274" s="511"/>
      <c r="AU274" s="511"/>
      <c r="AV274" s="511"/>
      <c r="AW274" s="511"/>
      <c r="AX274" s="511"/>
      <c r="AY274" s="511"/>
      <c r="AZ274" s="511"/>
      <c r="BA274" s="511"/>
      <c r="BB274" s="511"/>
      <c r="BC274" s="511"/>
    </row>
    <row r="275" spans="1:55" ht="16.5" customHeight="1" x14ac:dyDescent="0.3">
      <c r="A275" s="511"/>
      <c r="B275" s="511"/>
      <c r="C275" s="511"/>
      <c r="D275" s="511"/>
      <c r="E275" s="511"/>
      <c r="F275" s="511"/>
      <c r="G275" s="511"/>
      <c r="H275" s="511"/>
      <c r="I275" s="511"/>
      <c r="J275" s="511"/>
      <c r="K275" s="511"/>
      <c r="L275" s="511"/>
      <c r="M275" s="511"/>
      <c r="N275" s="511"/>
      <c r="O275" s="511"/>
      <c r="P275" s="511"/>
      <c r="Q275" s="511"/>
      <c r="R275" s="511"/>
      <c r="S275" s="511"/>
      <c r="T275" s="511"/>
      <c r="U275" s="511"/>
      <c r="V275" s="511"/>
      <c r="W275" s="511"/>
      <c r="X275" s="511"/>
      <c r="Y275" s="511"/>
      <c r="Z275" s="511"/>
      <c r="AA275" s="511"/>
      <c r="AB275" s="511"/>
      <c r="AC275" s="511"/>
      <c r="AD275" s="511"/>
      <c r="AE275" s="511"/>
      <c r="AF275" s="511"/>
      <c r="AG275" s="511"/>
      <c r="AH275" s="511"/>
      <c r="AI275" s="511"/>
      <c r="AJ275" s="511"/>
      <c r="AK275" s="511"/>
      <c r="AL275" s="511"/>
      <c r="AM275" s="511"/>
      <c r="AN275" s="511"/>
      <c r="AO275" s="511"/>
      <c r="AP275" s="511"/>
      <c r="AQ275" s="511"/>
      <c r="AR275" s="511"/>
      <c r="AS275" s="511"/>
      <c r="AT275" s="511"/>
      <c r="AU275" s="511"/>
      <c r="AV275" s="511"/>
      <c r="AW275" s="511"/>
      <c r="AX275" s="511"/>
      <c r="AY275" s="511"/>
      <c r="AZ275" s="511"/>
      <c r="BA275" s="511"/>
      <c r="BB275" s="511"/>
      <c r="BC275" s="511"/>
    </row>
    <row r="276" spans="1:55" ht="16.5" customHeight="1" x14ac:dyDescent="0.3">
      <c r="A276" s="511"/>
      <c r="B276" s="511"/>
      <c r="C276" s="511"/>
      <c r="D276" s="511"/>
      <c r="E276" s="511"/>
      <c r="F276" s="511"/>
      <c r="G276" s="511"/>
      <c r="H276" s="511"/>
      <c r="I276" s="511"/>
      <c r="J276" s="511"/>
      <c r="K276" s="511"/>
      <c r="L276" s="511"/>
      <c r="M276" s="511"/>
      <c r="N276" s="511"/>
      <c r="O276" s="511"/>
      <c r="P276" s="511"/>
      <c r="Q276" s="511"/>
      <c r="R276" s="511"/>
      <c r="S276" s="511"/>
      <c r="T276" s="511"/>
      <c r="U276" s="511"/>
      <c r="V276" s="511"/>
      <c r="W276" s="511"/>
      <c r="X276" s="511"/>
      <c r="Y276" s="511"/>
      <c r="Z276" s="511"/>
      <c r="AA276" s="511"/>
      <c r="AB276" s="511"/>
      <c r="AC276" s="511"/>
      <c r="AD276" s="511"/>
      <c r="AE276" s="511"/>
      <c r="AF276" s="511"/>
      <c r="AG276" s="511"/>
      <c r="AH276" s="511"/>
      <c r="AI276" s="511"/>
      <c r="AJ276" s="511"/>
      <c r="AK276" s="511"/>
      <c r="AL276" s="511"/>
      <c r="AM276" s="511"/>
      <c r="AN276" s="511"/>
      <c r="AO276" s="511"/>
      <c r="AP276" s="511"/>
      <c r="AQ276" s="511"/>
      <c r="AR276" s="511"/>
      <c r="AS276" s="511"/>
      <c r="AT276" s="511"/>
      <c r="AU276" s="511"/>
      <c r="AV276" s="511"/>
      <c r="AW276" s="511"/>
      <c r="AX276" s="511"/>
      <c r="AY276" s="511"/>
      <c r="AZ276" s="511"/>
      <c r="BA276" s="511"/>
      <c r="BB276" s="511"/>
      <c r="BC276" s="511"/>
    </row>
    <row r="277" spans="1:55" ht="16.5" customHeight="1" x14ac:dyDescent="0.3">
      <c r="A277" s="511"/>
      <c r="B277" s="511"/>
      <c r="C277" s="511"/>
      <c r="D277" s="511"/>
      <c r="E277" s="511"/>
      <c r="F277" s="511"/>
      <c r="G277" s="511"/>
      <c r="H277" s="511"/>
      <c r="I277" s="511"/>
      <c r="J277" s="511"/>
      <c r="K277" s="511"/>
      <c r="L277" s="511"/>
      <c r="M277" s="511"/>
      <c r="N277" s="511"/>
      <c r="O277" s="511"/>
      <c r="P277" s="511"/>
      <c r="Q277" s="511"/>
      <c r="R277" s="511"/>
      <c r="S277" s="511"/>
      <c r="T277" s="511"/>
      <c r="U277" s="511"/>
      <c r="V277" s="511"/>
      <c r="W277" s="511"/>
      <c r="X277" s="511"/>
      <c r="Y277" s="511"/>
      <c r="Z277" s="511"/>
      <c r="AA277" s="511"/>
      <c r="AB277" s="511"/>
      <c r="AC277" s="511"/>
      <c r="AD277" s="511"/>
      <c r="AE277" s="511"/>
      <c r="AF277" s="511"/>
      <c r="AG277" s="511"/>
      <c r="AH277" s="511"/>
      <c r="AI277" s="511"/>
      <c r="AJ277" s="511"/>
      <c r="AK277" s="511"/>
      <c r="AL277" s="511"/>
      <c r="AM277" s="511"/>
      <c r="AN277" s="511"/>
      <c r="AO277" s="511"/>
      <c r="AP277" s="511"/>
      <c r="AQ277" s="511"/>
      <c r="AR277" s="511"/>
      <c r="AS277" s="511"/>
      <c r="AT277" s="511"/>
      <c r="AU277" s="511"/>
      <c r="AV277" s="511"/>
      <c r="AW277" s="511"/>
      <c r="AX277" s="511"/>
      <c r="AY277" s="511"/>
      <c r="AZ277" s="511"/>
      <c r="BA277" s="511"/>
      <c r="BB277" s="511"/>
      <c r="BC277" s="511"/>
    </row>
    <row r="278" spans="1:55" ht="16.5" customHeight="1" x14ac:dyDescent="0.3">
      <c r="A278" s="511"/>
      <c r="B278" s="511"/>
      <c r="C278" s="511"/>
      <c r="D278" s="511"/>
      <c r="E278" s="511"/>
      <c r="F278" s="511"/>
      <c r="G278" s="511"/>
      <c r="H278" s="511"/>
      <c r="I278" s="511"/>
      <c r="J278" s="511"/>
      <c r="K278" s="511"/>
      <c r="L278" s="511"/>
      <c r="M278" s="511"/>
      <c r="N278" s="511"/>
      <c r="O278" s="511"/>
      <c r="P278" s="511"/>
      <c r="Q278" s="511"/>
      <c r="R278" s="511"/>
      <c r="S278" s="511"/>
      <c r="T278" s="511"/>
      <c r="U278" s="511"/>
      <c r="V278" s="511"/>
      <c r="W278" s="511"/>
      <c r="X278" s="511"/>
      <c r="Y278" s="511"/>
      <c r="Z278" s="511"/>
      <c r="AA278" s="511"/>
      <c r="AB278" s="511"/>
      <c r="AC278" s="511"/>
      <c r="AD278" s="511"/>
      <c r="AE278" s="511"/>
      <c r="AF278" s="511"/>
      <c r="AG278" s="511"/>
      <c r="AH278" s="511"/>
      <c r="AI278" s="511"/>
      <c r="AJ278" s="511"/>
      <c r="AK278" s="511"/>
      <c r="AL278" s="511"/>
      <c r="AM278" s="511"/>
      <c r="AN278" s="511"/>
      <c r="AO278" s="511"/>
      <c r="AP278" s="511"/>
      <c r="AQ278" s="511"/>
      <c r="AR278" s="511"/>
      <c r="AS278" s="511"/>
      <c r="AT278" s="511"/>
      <c r="AU278" s="511"/>
      <c r="AV278" s="511"/>
      <c r="AW278" s="511"/>
      <c r="AX278" s="511"/>
      <c r="AY278" s="511"/>
      <c r="AZ278" s="511"/>
      <c r="BA278" s="511"/>
      <c r="BB278" s="511"/>
      <c r="BC278" s="511"/>
    </row>
    <row r="279" spans="1:55" ht="16.5" customHeight="1" x14ac:dyDescent="0.3">
      <c r="A279" s="511"/>
      <c r="B279" s="511"/>
      <c r="C279" s="511"/>
      <c r="D279" s="511"/>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c r="AA279" s="511"/>
      <c r="AB279" s="511"/>
      <c r="AC279" s="511"/>
      <c r="AD279" s="511"/>
      <c r="AE279" s="511"/>
      <c r="AF279" s="511"/>
      <c r="AG279" s="511"/>
      <c r="AH279" s="511"/>
      <c r="AI279" s="511"/>
      <c r="AJ279" s="511"/>
      <c r="AK279" s="511"/>
      <c r="AL279" s="511"/>
      <c r="AM279" s="511"/>
      <c r="AN279" s="511"/>
      <c r="AO279" s="511"/>
      <c r="AP279" s="511"/>
      <c r="AQ279" s="511"/>
      <c r="AR279" s="511"/>
      <c r="AS279" s="511"/>
      <c r="AT279" s="511"/>
      <c r="AU279" s="511"/>
      <c r="AV279" s="511"/>
      <c r="AW279" s="511"/>
      <c r="AX279" s="511"/>
      <c r="AY279" s="511"/>
      <c r="AZ279" s="511"/>
      <c r="BA279" s="511"/>
      <c r="BB279" s="511"/>
      <c r="BC279" s="511"/>
    </row>
    <row r="280" spans="1:55" ht="16.5" customHeight="1" x14ac:dyDescent="0.3">
      <c r="A280" s="511"/>
      <c r="B280" s="511"/>
      <c r="C280" s="511"/>
      <c r="D280" s="511"/>
      <c r="E280" s="511"/>
      <c r="F280" s="511"/>
      <c r="G280" s="511"/>
      <c r="H280" s="511"/>
      <c r="I280" s="511"/>
      <c r="J280" s="511"/>
      <c r="K280" s="511"/>
      <c r="L280" s="511"/>
      <c r="M280" s="511"/>
      <c r="N280" s="511"/>
      <c r="O280" s="511"/>
      <c r="P280" s="511"/>
      <c r="Q280" s="511"/>
      <c r="R280" s="511"/>
      <c r="S280" s="511"/>
      <c r="T280" s="511"/>
      <c r="U280" s="511"/>
      <c r="V280" s="511"/>
      <c r="W280" s="511"/>
      <c r="X280" s="511"/>
      <c r="Y280" s="511"/>
      <c r="Z280" s="511"/>
      <c r="AA280" s="511"/>
      <c r="AB280" s="511"/>
      <c r="AC280" s="511"/>
      <c r="AD280" s="511"/>
      <c r="AE280" s="511"/>
      <c r="AF280" s="511"/>
      <c r="AG280" s="511"/>
      <c r="AH280" s="511"/>
      <c r="AI280" s="511"/>
      <c r="AJ280" s="511"/>
      <c r="AK280" s="511"/>
      <c r="AL280" s="511"/>
      <c r="AM280" s="511"/>
      <c r="AN280" s="511"/>
      <c r="AO280" s="511"/>
      <c r="AP280" s="511"/>
      <c r="AQ280" s="511"/>
      <c r="AR280" s="511"/>
      <c r="AS280" s="511"/>
      <c r="AT280" s="511"/>
      <c r="AU280" s="511"/>
      <c r="AV280" s="511"/>
      <c r="AW280" s="511"/>
      <c r="AX280" s="511"/>
      <c r="AY280" s="511"/>
      <c r="AZ280" s="511"/>
      <c r="BA280" s="511"/>
      <c r="BB280" s="511"/>
      <c r="BC280" s="511"/>
    </row>
    <row r="281" spans="1:55" ht="16.5" customHeight="1" x14ac:dyDescent="0.3">
      <c r="A281" s="511"/>
      <c r="B281" s="511"/>
      <c r="C281" s="511"/>
      <c r="D281" s="511"/>
      <c r="E281" s="511"/>
      <c r="F281" s="511"/>
      <c r="G281" s="511"/>
      <c r="H281" s="511"/>
      <c r="I281" s="511"/>
      <c r="J281" s="511"/>
      <c r="K281" s="511"/>
      <c r="L281" s="511"/>
      <c r="M281" s="511"/>
      <c r="N281" s="511"/>
      <c r="O281" s="511"/>
      <c r="P281" s="511"/>
      <c r="Q281" s="511"/>
      <c r="R281" s="511"/>
      <c r="S281" s="511"/>
      <c r="T281" s="511"/>
      <c r="U281" s="511"/>
      <c r="V281" s="511"/>
      <c r="W281" s="511"/>
      <c r="X281" s="511"/>
      <c r="Y281" s="511"/>
      <c r="Z281" s="511"/>
      <c r="AA281" s="511"/>
      <c r="AB281" s="511"/>
      <c r="AC281" s="511"/>
      <c r="AD281" s="511"/>
      <c r="AE281" s="511"/>
      <c r="AF281" s="511"/>
      <c r="AG281" s="511"/>
      <c r="AH281" s="511"/>
      <c r="AI281" s="511"/>
      <c r="AJ281" s="511"/>
      <c r="AK281" s="511"/>
      <c r="AL281" s="511"/>
      <c r="AM281" s="511"/>
      <c r="AN281" s="511"/>
      <c r="AO281" s="511"/>
      <c r="AP281" s="511"/>
      <c r="AQ281" s="511"/>
      <c r="AR281" s="511"/>
      <c r="AS281" s="511"/>
      <c r="AT281" s="511"/>
      <c r="AU281" s="511"/>
      <c r="AV281" s="511"/>
      <c r="AW281" s="511"/>
      <c r="AX281" s="511"/>
      <c r="AY281" s="511"/>
      <c r="AZ281" s="511"/>
      <c r="BA281" s="511"/>
      <c r="BB281" s="511"/>
      <c r="BC281" s="511"/>
    </row>
    <row r="282" spans="1:55" ht="16.5" customHeight="1" x14ac:dyDescent="0.3">
      <c r="A282" s="511"/>
      <c r="B282" s="511"/>
      <c r="C282" s="511"/>
      <c r="D282" s="511"/>
      <c r="E282" s="511"/>
      <c r="F282" s="511"/>
      <c r="G282" s="511"/>
      <c r="H282" s="511"/>
      <c r="I282" s="511"/>
      <c r="J282" s="511"/>
      <c r="K282" s="511"/>
      <c r="L282" s="511"/>
      <c r="M282" s="511"/>
      <c r="N282" s="511"/>
      <c r="O282" s="511"/>
      <c r="P282" s="511"/>
      <c r="Q282" s="511"/>
      <c r="R282" s="511"/>
      <c r="S282" s="511"/>
      <c r="T282" s="511"/>
      <c r="U282" s="511"/>
      <c r="V282" s="511"/>
      <c r="W282" s="511"/>
      <c r="X282" s="511"/>
      <c r="Y282" s="511"/>
      <c r="Z282" s="511"/>
      <c r="AA282" s="511"/>
      <c r="AB282" s="511"/>
      <c r="AC282" s="511"/>
      <c r="AD282" s="511"/>
      <c r="AE282" s="511"/>
      <c r="AF282" s="511"/>
      <c r="AG282" s="511"/>
      <c r="AH282" s="511"/>
      <c r="AI282" s="511"/>
      <c r="AJ282" s="511"/>
      <c r="AK282" s="511"/>
      <c r="AL282" s="511"/>
      <c r="AM282" s="511"/>
      <c r="AN282" s="511"/>
      <c r="AO282" s="511"/>
      <c r="AP282" s="511"/>
      <c r="AQ282" s="511"/>
      <c r="AR282" s="511"/>
      <c r="AS282" s="511"/>
      <c r="AT282" s="511"/>
      <c r="AU282" s="511"/>
      <c r="AV282" s="511"/>
      <c r="AW282" s="511"/>
      <c r="AX282" s="511"/>
      <c r="AY282" s="511"/>
      <c r="AZ282" s="511"/>
      <c r="BA282" s="511"/>
      <c r="BB282" s="511"/>
      <c r="BC282" s="511"/>
    </row>
    <row r="283" spans="1:55" ht="16.5" customHeight="1" x14ac:dyDescent="0.3">
      <c r="A283" s="511"/>
      <c r="B283" s="511"/>
      <c r="C283" s="511"/>
      <c r="D283" s="511"/>
      <c r="E283" s="511"/>
      <c r="F283" s="511"/>
      <c r="G283" s="511"/>
      <c r="H283" s="511"/>
      <c r="I283" s="511"/>
      <c r="J283" s="511"/>
      <c r="K283" s="511"/>
      <c r="L283" s="511"/>
      <c r="M283" s="511"/>
      <c r="N283" s="511"/>
      <c r="O283" s="511"/>
      <c r="P283" s="511"/>
      <c r="Q283" s="511"/>
      <c r="R283" s="511"/>
      <c r="S283" s="511"/>
      <c r="T283" s="511"/>
      <c r="U283" s="511"/>
      <c r="V283" s="511"/>
      <c r="W283" s="511"/>
      <c r="X283" s="511"/>
      <c r="Y283" s="511"/>
      <c r="Z283" s="511"/>
      <c r="AA283" s="511"/>
      <c r="AB283" s="511"/>
      <c r="AC283" s="511"/>
      <c r="AD283" s="511"/>
      <c r="AE283" s="511"/>
      <c r="AF283" s="511"/>
      <c r="AG283" s="511"/>
      <c r="AH283" s="511"/>
      <c r="AI283" s="511"/>
      <c r="AJ283" s="511"/>
      <c r="AK283" s="511"/>
      <c r="AL283" s="511"/>
      <c r="AM283" s="511"/>
      <c r="AN283" s="511"/>
      <c r="AO283" s="511"/>
      <c r="AP283" s="511"/>
      <c r="AQ283" s="511"/>
      <c r="AR283" s="511"/>
      <c r="AS283" s="511"/>
      <c r="AT283" s="511"/>
      <c r="AU283" s="511"/>
      <c r="AV283" s="511"/>
      <c r="AW283" s="511"/>
      <c r="AX283" s="511"/>
      <c r="AY283" s="511"/>
      <c r="AZ283" s="511"/>
      <c r="BA283" s="511"/>
      <c r="BB283" s="511"/>
      <c r="BC283" s="511"/>
    </row>
    <row r="284" spans="1:55" ht="16.5" customHeight="1" x14ac:dyDescent="0.3">
      <c r="A284" s="511"/>
      <c r="B284" s="511"/>
      <c r="C284" s="511"/>
      <c r="D284" s="511"/>
      <c r="E284" s="511"/>
      <c r="F284" s="511"/>
      <c r="G284" s="511"/>
      <c r="H284" s="511"/>
      <c r="I284" s="511"/>
      <c r="J284" s="511"/>
      <c r="K284" s="511"/>
      <c r="L284" s="511"/>
      <c r="M284" s="511"/>
      <c r="N284" s="511"/>
      <c r="O284" s="511"/>
      <c r="P284" s="511"/>
      <c r="Q284" s="511"/>
      <c r="R284" s="511"/>
      <c r="S284" s="511"/>
      <c r="T284" s="511"/>
      <c r="U284" s="511"/>
      <c r="V284" s="511"/>
      <c r="W284" s="511"/>
      <c r="X284" s="511"/>
      <c r="Y284" s="511"/>
      <c r="Z284" s="511"/>
      <c r="AA284" s="511"/>
      <c r="AB284" s="511"/>
      <c r="AC284" s="511"/>
      <c r="AD284" s="511"/>
      <c r="AE284" s="511"/>
      <c r="AF284" s="511"/>
      <c r="AG284" s="511"/>
      <c r="AH284" s="511"/>
      <c r="AI284" s="511"/>
      <c r="AJ284" s="511"/>
      <c r="AK284" s="511"/>
      <c r="AL284" s="511"/>
      <c r="AM284" s="511"/>
      <c r="AN284" s="511"/>
      <c r="AO284" s="511"/>
      <c r="AP284" s="511"/>
      <c r="AQ284" s="511"/>
      <c r="AR284" s="511"/>
      <c r="AS284" s="511"/>
      <c r="AT284" s="511"/>
      <c r="AU284" s="511"/>
      <c r="AV284" s="511"/>
      <c r="AW284" s="511"/>
      <c r="AX284" s="511"/>
      <c r="AY284" s="511"/>
      <c r="AZ284" s="511"/>
      <c r="BA284" s="511"/>
      <c r="BB284" s="511"/>
      <c r="BC284" s="511"/>
    </row>
    <row r="285" spans="1:55" ht="16.5" customHeight="1" x14ac:dyDescent="0.3">
      <c r="A285" s="511"/>
      <c r="B285" s="511"/>
      <c r="C285" s="511"/>
      <c r="D285" s="511"/>
      <c r="E285" s="511"/>
      <c r="F285" s="511"/>
      <c r="G285" s="511"/>
      <c r="H285" s="511"/>
      <c r="I285" s="511"/>
      <c r="J285" s="511"/>
      <c r="K285" s="511"/>
      <c r="L285" s="511"/>
      <c r="M285" s="511"/>
      <c r="N285" s="511"/>
      <c r="O285" s="511"/>
      <c r="P285" s="511"/>
      <c r="Q285" s="511"/>
      <c r="R285" s="511"/>
      <c r="S285" s="511"/>
      <c r="T285" s="511"/>
      <c r="U285" s="511"/>
      <c r="V285" s="511"/>
      <c r="W285" s="511"/>
      <c r="X285" s="511"/>
      <c r="Y285" s="511"/>
      <c r="Z285" s="511"/>
      <c r="AA285" s="511"/>
      <c r="AB285" s="511"/>
      <c r="AC285" s="511"/>
      <c r="AD285" s="511"/>
      <c r="AE285" s="511"/>
      <c r="AF285" s="511"/>
      <c r="AG285" s="511"/>
      <c r="AH285" s="511"/>
      <c r="AI285" s="511"/>
      <c r="AJ285" s="511"/>
      <c r="AK285" s="511"/>
      <c r="AL285" s="511"/>
      <c r="AM285" s="511"/>
      <c r="AN285" s="511"/>
      <c r="AO285" s="511"/>
      <c r="AP285" s="511"/>
      <c r="AQ285" s="511"/>
      <c r="AR285" s="511"/>
      <c r="AS285" s="511"/>
      <c r="AT285" s="511"/>
      <c r="AU285" s="511"/>
      <c r="AV285" s="511"/>
      <c r="AW285" s="511"/>
      <c r="AX285" s="511"/>
      <c r="AY285" s="511"/>
      <c r="AZ285" s="511"/>
      <c r="BA285" s="511"/>
      <c r="BB285" s="511"/>
      <c r="BC285" s="511"/>
    </row>
    <row r="286" spans="1:55" ht="16.5" customHeight="1" x14ac:dyDescent="0.3">
      <c r="A286" s="511"/>
      <c r="B286" s="511"/>
      <c r="C286" s="511"/>
      <c r="D286" s="511"/>
      <c r="E286" s="511"/>
      <c r="F286" s="511"/>
      <c r="G286" s="511"/>
      <c r="H286" s="511"/>
      <c r="I286" s="511"/>
      <c r="J286" s="511"/>
      <c r="K286" s="511"/>
      <c r="L286" s="511"/>
      <c r="M286" s="511"/>
      <c r="N286" s="511"/>
      <c r="O286" s="511"/>
      <c r="P286" s="511"/>
      <c r="Q286" s="511"/>
      <c r="R286" s="511"/>
      <c r="S286" s="511"/>
      <c r="T286" s="511"/>
      <c r="U286" s="511"/>
      <c r="V286" s="511"/>
      <c r="W286" s="511"/>
      <c r="X286" s="511"/>
      <c r="Y286" s="511"/>
      <c r="Z286" s="511"/>
      <c r="AA286" s="511"/>
      <c r="AB286" s="511"/>
      <c r="AC286" s="511"/>
      <c r="AD286" s="511"/>
      <c r="AE286" s="511"/>
      <c r="AF286" s="511"/>
      <c r="AG286" s="511"/>
      <c r="AH286" s="511"/>
      <c r="AI286" s="511"/>
      <c r="AJ286" s="511"/>
      <c r="AK286" s="511"/>
      <c r="AL286" s="511"/>
      <c r="AM286" s="511"/>
      <c r="AN286" s="511"/>
      <c r="AO286" s="511"/>
      <c r="AP286" s="511"/>
      <c r="AQ286" s="511"/>
      <c r="AR286" s="511"/>
      <c r="AS286" s="511"/>
      <c r="AT286" s="511"/>
      <c r="AU286" s="511"/>
      <c r="AV286" s="511"/>
      <c r="AW286" s="511"/>
      <c r="AX286" s="511"/>
      <c r="AY286" s="511"/>
      <c r="AZ286" s="511"/>
      <c r="BA286" s="511"/>
      <c r="BB286" s="511"/>
      <c r="BC286" s="511"/>
    </row>
    <row r="287" spans="1:55" ht="16.5" customHeight="1" x14ac:dyDescent="0.3">
      <c r="A287" s="511"/>
      <c r="B287" s="511"/>
      <c r="C287" s="511"/>
      <c r="D287" s="511"/>
      <c r="E287" s="511"/>
      <c r="F287" s="511"/>
      <c r="G287" s="511"/>
      <c r="H287" s="511"/>
      <c r="I287" s="511"/>
      <c r="J287" s="511"/>
      <c r="K287" s="511"/>
      <c r="L287" s="511"/>
      <c r="M287" s="511"/>
      <c r="N287" s="511"/>
      <c r="O287" s="511"/>
      <c r="P287" s="511"/>
      <c r="Q287" s="511"/>
      <c r="R287" s="511"/>
      <c r="S287" s="511"/>
      <c r="T287" s="511"/>
      <c r="U287" s="511"/>
      <c r="V287" s="511"/>
      <c r="W287" s="511"/>
      <c r="X287" s="511"/>
      <c r="Y287" s="511"/>
      <c r="Z287" s="511"/>
      <c r="AA287" s="511"/>
      <c r="AB287" s="511"/>
      <c r="AC287" s="511"/>
      <c r="AD287" s="511"/>
      <c r="AE287" s="511"/>
      <c r="AF287" s="511"/>
      <c r="AG287" s="511"/>
      <c r="AH287" s="511"/>
      <c r="AI287" s="511"/>
      <c r="AJ287" s="511"/>
      <c r="AK287" s="511"/>
      <c r="AL287" s="511"/>
      <c r="AM287" s="511"/>
      <c r="AN287" s="511"/>
      <c r="AO287" s="511"/>
      <c r="AP287" s="511"/>
      <c r="AQ287" s="511"/>
      <c r="AR287" s="511"/>
      <c r="AS287" s="511"/>
      <c r="AT287" s="511"/>
      <c r="AU287" s="511"/>
      <c r="AV287" s="511"/>
      <c r="AW287" s="511"/>
      <c r="AX287" s="511"/>
      <c r="AY287" s="511"/>
      <c r="AZ287" s="511"/>
      <c r="BA287" s="511"/>
      <c r="BB287" s="511"/>
      <c r="BC287" s="511"/>
    </row>
    <row r="288" spans="1:55" ht="16.5" customHeight="1" x14ac:dyDescent="0.3">
      <c r="A288" s="511"/>
      <c r="B288" s="511"/>
      <c r="C288" s="511"/>
      <c r="D288" s="511"/>
      <c r="E288" s="511"/>
      <c r="F288" s="511"/>
      <c r="G288" s="511"/>
      <c r="H288" s="511"/>
      <c r="I288" s="511"/>
      <c r="J288" s="511"/>
      <c r="K288" s="511"/>
      <c r="L288" s="511"/>
      <c r="M288" s="511"/>
      <c r="N288" s="511"/>
      <c r="O288" s="511"/>
      <c r="P288" s="511"/>
      <c r="Q288" s="511"/>
      <c r="R288" s="511"/>
      <c r="S288" s="511"/>
      <c r="T288" s="511"/>
      <c r="U288" s="511"/>
      <c r="V288" s="511"/>
      <c r="W288" s="511"/>
      <c r="X288" s="511"/>
      <c r="Y288" s="511"/>
      <c r="Z288" s="511"/>
      <c r="AA288" s="511"/>
      <c r="AB288" s="511"/>
      <c r="AC288" s="511"/>
      <c r="AD288" s="511"/>
      <c r="AE288" s="511"/>
      <c r="AF288" s="511"/>
      <c r="AG288" s="511"/>
      <c r="AH288" s="511"/>
      <c r="AI288" s="511"/>
      <c r="AJ288" s="511"/>
      <c r="AK288" s="511"/>
      <c r="AL288" s="511"/>
      <c r="AM288" s="511"/>
      <c r="AN288" s="511"/>
      <c r="AO288" s="511"/>
      <c r="AP288" s="511"/>
      <c r="AQ288" s="511"/>
      <c r="AR288" s="511"/>
      <c r="AS288" s="511"/>
      <c r="AT288" s="511"/>
      <c r="AU288" s="511"/>
      <c r="AV288" s="511"/>
      <c r="AW288" s="511"/>
      <c r="AX288" s="511"/>
      <c r="AY288" s="511"/>
      <c r="AZ288" s="511"/>
      <c r="BA288" s="511"/>
      <c r="BB288" s="511"/>
      <c r="BC288" s="511"/>
    </row>
    <row r="289" spans="1:55" ht="16.5" customHeight="1" x14ac:dyDescent="0.3">
      <c r="A289" s="511"/>
      <c r="B289" s="511"/>
      <c r="C289" s="511"/>
      <c r="D289" s="511"/>
      <c r="E289" s="511"/>
      <c r="F289" s="511"/>
      <c r="G289" s="511"/>
      <c r="H289" s="511"/>
      <c r="I289" s="511"/>
      <c r="J289" s="511"/>
      <c r="K289" s="511"/>
      <c r="L289" s="511"/>
      <c r="M289" s="511"/>
      <c r="N289" s="511"/>
      <c r="O289" s="511"/>
      <c r="P289" s="511"/>
      <c r="Q289" s="511"/>
      <c r="R289" s="511"/>
      <c r="S289" s="511"/>
      <c r="T289" s="511"/>
      <c r="U289" s="511"/>
      <c r="V289" s="511"/>
      <c r="W289" s="511"/>
      <c r="X289" s="511"/>
      <c r="Y289" s="511"/>
      <c r="Z289" s="511"/>
      <c r="AA289" s="511"/>
      <c r="AB289" s="511"/>
      <c r="AC289" s="511"/>
      <c r="AD289" s="511"/>
      <c r="AE289" s="511"/>
      <c r="AF289" s="511"/>
      <c r="AG289" s="511"/>
      <c r="AH289" s="511"/>
      <c r="AI289" s="511"/>
      <c r="AJ289" s="511"/>
      <c r="AK289" s="511"/>
      <c r="AL289" s="511"/>
      <c r="AM289" s="511"/>
      <c r="AN289" s="511"/>
      <c r="AO289" s="511"/>
      <c r="AP289" s="511"/>
      <c r="AQ289" s="511"/>
      <c r="AR289" s="511"/>
      <c r="AS289" s="511"/>
      <c r="AT289" s="511"/>
      <c r="AU289" s="511"/>
      <c r="AV289" s="511"/>
      <c r="AW289" s="511"/>
      <c r="AX289" s="511"/>
      <c r="AY289" s="511"/>
      <c r="AZ289" s="511"/>
      <c r="BA289" s="511"/>
      <c r="BB289" s="511"/>
      <c r="BC289" s="511"/>
    </row>
    <row r="290" spans="1:55" ht="16.5" customHeight="1" x14ac:dyDescent="0.3">
      <c r="A290" s="511"/>
      <c r="B290" s="511"/>
      <c r="C290" s="511"/>
      <c r="D290" s="511"/>
      <c r="E290" s="511"/>
      <c r="F290" s="511"/>
      <c r="G290" s="511"/>
      <c r="H290" s="511"/>
      <c r="I290" s="511"/>
      <c r="J290" s="511"/>
      <c r="K290" s="511"/>
      <c r="L290" s="511"/>
      <c r="M290" s="511"/>
      <c r="N290" s="511"/>
      <c r="O290" s="511"/>
      <c r="P290" s="511"/>
      <c r="Q290" s="511"/>
      <c r="R290" s="511"/>
      <c r="S290" s="511"/>
      <c r="T290" s="511"/>
      <c r="U290" s="511"/>
      <c r="V290" s="511"/>
      <c r="W290" s="511"/>
      <c r="X290" s="511"/>
      <c r="Y290" s="511"/>
      <c r="Z290" s="511"/>
      <c r="AA290" s="511"/>
      <c r="AB290" s="511"/>
      <c r="AC290" s="511"/>
      <c r="AD290" s="511"/>
      <c r="AE290" s="511"/>
      <c r="AF290" s="511"/>
      <c r="AG290" s="511"/>
      <c r="AH290" s="511"/>
      <c r="AI290" s="511"/>
      <c r="AJ290" s="511"/>
      <c r="AK290" s="511"/>
      <c r="AL290" s="511"/>
      <c r="AM290" s="511"/>
      <c r="AN290" s="511"/>
      <c r="AO290" s="511"/>
      <c r="AP290" s="511"/>
      <c r="AQ290" s="511"/>
      <c r="AR290" s="511"/>
      <c r="AS290" s="511"/>
      <c r="AT290" s="511"/>
      <c r="AU290" s="511"/>
      <c r="AV290" s="511"/>
      <c r="AW290" s="511"/>
      <c r="AX290" s="511"/>
      <c r="AY290" s="511"/>
      <c r="AZ290" s="511"/>
      <c r="BA290" s="511"/>
      <c r="BB290" s="511"/>
      <c r="BC290" s="511"/>
    </row>
    <row r="291" spans="1:55" ht="16.5" customHeight="1" x14ac:dyDescent="0.3">
      <c r="A291" s="511"/>
      <c r="B291" s="511"/>
      <c r="C291" s="511"/>
      <c r="D291" s="511"/>
      <c r="E291" s="511"/>
      <c r="F291" s="511"/>
      <c r="G291" s="511"/>
      <c r="H291" s="511"/>
      <c r="I291" s="511"/>
      <c r="J291" s="511"/>
      <c r="K291" s="511"/>
      <c r="L291" s="511"/>
      <c r="M291" s="511"/>
      <c r="N291" s="511"/>
      <c r="O291" s="511"/>
      <c r="P291" s="511"/>
      <c r="Q291" s="511"/>
      <c r="R291" s="511"/>
      <c r="S291" s="511"/>
      <c r="T291" s="511"/>
      <c r="U291" s="511"/>
      <c r="V291" s="511"/>
      <c r="W291" s="511"/>
      <c r="X291" s="511"/>
      <c r="Y291" s="511"/>
      <c r="Z291" s="511"/>
      <c r="AA291" s="511"/>
      <c r="AB291" s="511"/>
      <c r="AC291" s="511"/>
      <c r="AD291" s="511"/>
      <c r="AE291" s="511"/>
      <c r="AF291" s="511"/>
      <c r="AG291" s="511"/>
      <c r="AH291" s="511"/>
      <c r="AI291" s="511"/>
      <c r="AJ291" s="511"/>
      <c r="AK291" s="511"/>
      <c r="AL291" s="511"/>
      <c r="AM291" s="511"/>
      <c r="AN291" s="511"/>
      <c r="AO291" s="511"/>
      <c r="AP291" s="511"/>
      <c r="AQ291" s="511"/>
      <c r="AR291" s="511"/>
      <c r="AS291" s="511"/>
      <c r="AT291" s="511"/>
      <c r="AU291" s="511"/>
      <c r="AV291" s="511"/>
      <c r="AW291" s="511"/>
      <c r="AX291" s="511"/>
      <c r="AY291" s="511"/>
      <c r="AZ291" s="511"/>
      <c r="BA291" s="511"/>
      <c r="BB291" s="511"/>
      <c r="BC291" s="511"/>
    </row>
    <row r="292" spans="1:55" ht="16.5" customHeight="1" x14ac:dyDescent="0.3">
      <c r="A292" s="511"/>
      <c r="B292" s="511"/>
      <c r="C292" s="511"/>
      <c r="D292" s="511"/>
      <c r="E292" s="511"/>
      <c r="F292" s="511"/>
      <c r="G292" s="511"/>
      <c r="H292" s="511"/>
      <c r="I292" s="511"/>
      <c r="J292" s="511"/>
      <c r="K292" s="511"/>
      <c r="L292" s="511"/>
      <c r="M292" s="511"/>
      <c r="N292" s="511"/>
      <c r="O292" s="511"/>
      <c r="P292" s="511"/>
      <c r="Q292" s="511"/>
      <c r="R292" s="511"/>
      <c r="S292" s="511"/>
      <c r="T292" s="511"/>
      <c r="U292" s="511"/>
      <c r="V292" s="511"/>
      <c r="W292" s="511"/>
      <c r="X292" s="511"/>
      <c r="Y292" s="511"/>
      <c r="Z292" s="511"/>
      <c r="AA292" s="511"/>
      <c r="AB292" s="511"/>
      <c r="AC292" s="511"/>
      <c r="AD292" s="511"/>
      <c r="AE292" s="511"/>
      <c r="AF292" s="511"/>
      <c r="AG292" s="511"/>
      <c r="AH292" s="511"/>
      <c r="AI292" s="511"/>
      <c r="AJ292" s="511"/>
      <c r="AK292" s="511"/>
      <c r="AL292" s="511"/>
      <c r="AM292" s="511"/>
      <c r="AN292" s="511"/>
      <c r="AO292" s="511"/>
      <c r="AP292" s="511"/>
      <c r="AQ292" s="511"/>
      <c r="AR292" s="511"/>
      <c r="AS292" s="511"/>
      <c r="AT292" s="511"/>
      <c r="AU292" s="511"/>
      <c r="AV292" s="511"/>
      <c r="AW292" s="511"/>
      <c r="AX292" s="511"/>
      <c r="AY292" s="511"/>
      <c r="AZ292" s="511"/>
      <c r="BA292" s="511"/>
      <c r="BB292" s="511"/>
      <c r="BC292" s="511"/>
    </row>
    <row r="293" spans="1:55" ht="16.5" customHeight="1" x14ac:dyDescent="0.3">
      <c r="A293" s="511"/>
      <c r="B293" s="511"/>
      <c r="C293" s="511"/>
      <c r="D293" s="511"/>
      <c r="E293" s="511"/>
      <c r="F293" s="511"/>
      <c r="G293" s="511"/>
      <c r="H293" s="511"/>
      <c r="I293" s="511"/>
      <c r="J293" s="511"/>
      <c r="K293" s="511"/>
      <c r="L293" s="511"/>
      <c r="M293" s="511"/>
      <c r="N293" s="511"/>
      <c r="O293" s="511"/>
      <c r="P293" s="511"/>
      <c r="Q293" s="511"/>
      <c r="R293" s="511"/>
      <c r="S293" s="511"/>
      <c r="T293" s="511"/>
      <c r="U293" s="511"/>
      <c r="V293" s="511"/>
      <c r="W293" s="511"/>
      <c r="X293" s="511"/>
      <c r="Y293" s="511"/>
      <c r="Z293" s="511"/>
      <c r="AA293" s="511"/>
      <c r="AB293" s="511"/>
      <c r="AC293" s="511"/>
      <c r="AD293" s="511"/>
      <c r="AE293" s="511"/>
      <c r="AF293" s="511"/>
      <c r="AG293" s="511"/>
      <c r="AH293" s="511"/>
      <c r="AI293" s="511"/>
      <c r="AJ293" s="511"/>
      <c r="AK293" s="511"/>
      <c r="AL293" s="511"/>
      <c r="AM293" s="511"/>
      <c r="AN293" s="511"/>
      <c r="AO293" s="511"/>
      <c r="AP293" s="511"/>
      <c r="AQ293" s="511"/>
      <c r="AR293" s="511"/>
      <c r="AS293" s="511"/>
      <c r="AT293" s="511"/>
      <c r="AU293" s="511"/>
      <c r="AV293" s="511"/>
      <c r="AW293" s="511"/>
      <c r="AX293" s="511"/>
      <c r="AY293" s="511"/>
      <c r="AZ293" s="511"/>
      <c r="BA293" s="511"/>
      <c r="BB293" s="511"/>
      <c r="BC293" s="511"/>
    </row>
    <row r="294" spans="1:55" ht="16.5" customHeight="1" x14ac:dyDescent="0.3">
      <c r="A294" s="511"/>
      <c r="B294" s="511"/>
      <c r="C294" s="511"/>
      <c r="D294" s="511"/>
      <c r="E294" s="511"/>
      <c r="F294" s="511"/>
      <c r="G294" s="511"/>
      <c r="H294" s="511"/>
      <c r="I294" s="511"/>
      <c r="J294" s="511"/>
      <c r="K294" s="511"/>
      <c r="L294" s="511"/>
      <c r="M294" s="511"/>
      <c r="N294" s="511"/>
      <c r="O294" s="511"/>
      <c r="P294" s="511"/>
      <c r="Q294" s="511"/>
      <c r="R294" s="511"/>
      <c r="S294" s="511"/>
      <c r="T294" s="511"/>
      <c r="U294" s="511"/>
      <c r="V294" s="511"/>
      <c r="W294" s="511"/>
      <c r="X294" s="511"/>
      <c r="Y294" s="511"/>
      <c r="Z294" s="511"/>
      <c r="AA294" s="511"/>
      <c r="AB294" s="511"/>
      <c r="AC294" s="511"/>
      <c r="AD294" s="511"/>
      <c r="AE294" s="511"/>
      <c r="AF294" s="511"/>
      <c r="AG294" s="511"/>
      <c r="AH294" s="511"/>
      <c r="AI294" s="511"/>
      <c r="AJ294" s="511"/>
      <c r="AK294" s="511"/>
      <c r="AL294" s="511"/>
      <c r="AM294" s="511"/>
      <c r="AN294" s="511"/>
      <c r="AO294" s="511"/>
      <c r="AP294" s="511"/>
      <c r="AQ294" s="511"/>
      <c r="AR294" s="511"/>
      <c r="AS294" s="511"/>
      <c r="AT294" s="511"/>
      <c r="AU294" s="511"/>
      <c r="AV294" s="511"/>
      <c r="AW294" s="511"/>
      <c r="AX294" s="511"/>
      <c r="AY294" s="511"/>
      <c r="AZ294" s="511"/>
      <c r="BA294" s="511"/>
      <c r="BB294" s="511"/>
      <c r="BC294" s="511"/>
    </row>
    <row r="295" spans="1:55" ht="16.5" customHeight="1" x14ac:dyDescent="0.3">
      <c r="A295" s="511"/>
      <c r="B295" s="511"/>
      <c r="C295" s="511"/>
      <c r="D295" s="511"/>
      <c r="E295" s="511"/>
      <c r="F295" s="511"/>
      <c r="G295" s="511"/>
      <c r="H295" s="511"/>
      <c r="I295" s="511"/>
      <c r="J295" s="511"/>
      <c r="K295" s="511"/>
      <c r="L295" s="511"/>
      <c r="M295" s="511"/>
      <c r="N295" s="511"/>
      <c r="O295" s="511"/>
      <c r="P295" s="511"/>
      <c r="Q295" s="511"/>
      <c r="R295" s="511"/>
      <c r="S295" s="511"/>
      <c r="T295" s="511"/>
      <c r="U295" s="511"/>
      <c r="V295" s="511"/>
      <c r="W295" s="511"/>
      <c r="X295" s="511"/>
      <c r="Y295" s="511"/>
      <c r="Z295" s="511"/>
      <c r="AA295" s="511"/>
      <c r="AB295" s="511"/>
      <c r="AC295" s="511"/>
      <c r="AD295" s="511"/>
      <c r="AE295" s="511"/>
      <c r="AF295" s="511"/>
      <c r="AG295" s="511"/>
      <c r="AH295" s="511"/>
      <c r="AI295" s="511"/>
      <c r="AJ295" s="511"/>
      <c r="AK295" s="511"/>
      <c r="AL295" s="511"/>
      <c r="AM295" s="511"/>
      <c r="AN295" s="511"/>
      <c r="AO295" s="511"/>
      <c r="AP295" s="511"/>
      <c r="AQ295" s="511"/>
      <c r="AR295" s="511"/>
      <c r="AS295" s="511"/>
      <c r="AT295" s="511"/>
      <c r="AU295" s="511"/>
      <c r="AV295" s="511"/>
      <c r="AW295" s="511"/>
      <c r="AX295" s="511"/>
      <c r="AY295" s="511"/>
      <c r="AZ295" s="511"/>
      <c r="BA295" s="511"/>
      <c r="BB295" s="511"/>
      <c r="BC295" s="511"/>
    </row>
    <row r="296" spans="1:55" ht="16.5" customHeight="1" x14ac:dyDescent="0.3">
      <c r="A296" s="511"/>
      <c r="B296" s="511"/>
      <c r="C296" s="511"/>
      <c r="D296" s="511"/>
      <c r="E296" s="511"/>
      <c r="F296" s="511"/>
      <c r="G296" s="511"/>
      <c r="H296" s="511"/>
      <c r="I296" s="511"/>
      <c r="J296" s="511"/>
      <c r="K296" s="511"/>
      <c r="L296" s="511"/>
      <c r="M296" s="511"/>
      <c r="N296" s="511"/>
      <c r="O296" s="511"/>
      <c r="P296" s="511"/>
      <c r="Q296" s="511"/>
      <c r="R296" s="511"/>
      <c r="S296" s="511"/>
      <c r="T296" s="511"/>
      <c r="U296" s="511"/>
      <c r="V296" s="511"/>
      <c r="W296" s="511"/>
      <c r="X296" s="511"/>
      <c r="Y296" s="511"/>
      <c r="Z296" s="511"/>
      <c r="AA296" s="511"/>
      <c r="AB296" s="511"/>
      <c r="AC296" s="511"/>
      <c r="AD296" s="511"/>
      <c r="AE296" s="511"/>
      <c r="AF296" s="511"/>
      <c r="AG296" s="511"/>
      <c r="AH296" s="511"/>
      <c r="AI296" s="511"/>
      <c r="AJ296" s="511"/>
      <c r="AK296" s="511"/>
      <c r="AL296" s="511"/>
      <c r="AM296" s="511"/>
      <c r="AN296" s="511"/>
      <c r="AO296" s="511"/>
      <c r="AP296" s="511"/>
      <c r="AQ296" s="511"/>
      <c r="AR296" s="511"/>
      <c r="AS296" s="511"/>
      <c r="AT296" s="511"/>
      <c r="AU296" s="511"/>
      <c r="AV296" s="511"/>
      <c r="AW296" s="511"/>
      <c r="AX296" s="511"/>
      <c r="AY296" s="511"/>
      <c r="AZ296" s="511"/>
      <c r="BA296" s="511"/>
      <c r="BB296" s="511"/>
      <c r="BC296" s="511"/>
    </row>
    <row r="297" spans="1:55" ht="16.5" customHeight="1" x14ac:dyDescent="0.3">
      <c r="A297" s="511"/>
      <c r="B297" s="511"/>
      <c r="C297" s="511"/>
      <c r="D297" s="511"/>
      <c r="E297" s="511"/>
      <c r="F297" s="511"/>
      <c r="G297" s="511"/>
      <c r="H297" s="511"/>
      <c r="I297" s="511"/>
      <c r="J297" s="511"/>
      <c r="K297" s="511"/>
      <c r="L297" s="511"/>
      <c r="M297" s="511"/>
      <c r="N297" s="511"/>
      <c r="O297" s="511"/>
      <c r="P297" s="511"/>
      <c r="Q297" s="511"/>
      <c r="R297" s="511"/>
      <c r="S297" s="511"/>
      <c r="T297" s="511"/>
      <c r="U297" s="511"/>
      <c r="V297" s="511"/>
      <c r="W297" s="511"/>
      <c r="X297" s="511"/>
      <c r="Y297" s="511"/>
      <c r="Z297" s="511"/>
      <c r="AA297" s="511"/>
      <c r="AB297" s="511"/>
      <c r="AC297" s="511"/>
      <c r="AD297" s="511"/>
      <c r="AE297" s="511"/>
      <c r="AF297" s="511"/>
      <c r="AG297" s="511"/>
      <c r="AH297" s="511"/>
      <c r="AI297" s="511"/>
      <c r="AJ297" s="511"/>
      <c r="AK297" s="511"/>
      <c r="AL297" s="511"/>
      <c r="AM297" s="511"/>
      <c r="AN297" s="511"/>
      <c r="AO297" s="511"/>
      <c r="AP297" s="511"/>
      <c r="AQ297" s="511"/>
      <c r="AR297" s="511"/>
      <c r="AS297" s="511"/>
      <c r="AT297" s="511"/>
      <c r="AU297" s="511"/>
      <c r="AV297" s="511"/>
      <c r="AW297" s="511"/>
      <c r="AX297" s="511"/>
      <c r="AY297" s="511"/>
      <c r="AZ297" s="511"/>
      <c r="BA297" s="511"/>
      <c r="BB297" s="511"/>
      <c r="BC297" s="511"/>
    </row>
    <row r="298" spans="1:55" ht="16.5" customHeight="1" x14ac:dyDescent="0.3">
      <c r="A298" s="511"/>
      <c r="B298" s="511"/>
      <c r="C298" s="511"/>
      <c r="D298" s="51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c r="AC298" s="511"/>
      <c r="AD298" s="511"/>
      <c r="AE298" s="511"/>
      <c r="AF298" s="511"/>
      <c r="AG298" s="511"/>
      <c r="AH298" s="511"/>
      <c r="AI298" s="511"/>
      <c r="AJ298" s="511"/>
      <c r="AK298" s="511"/>
      <c r="AL298" s="511"/>
      <c r="AM298" s="511"/>
      <c r="AN298" s="511"/>
      <c r="AO298" s="511"/>
      <c r="AP298" s="511"/>
      <c r="AQ298" s="511"/>
      <c r="AR298" s="511"/>
      <c r="AS298" s="511"/>
      <c r="AT298" s="511"/>
      <c r="AU298" s="511"/>
      <c r="AV298" s="511"/>
      <c r="AW298" s="511"/>
      <c r="AX298" s="511"/>
      <c r="AY298" s="511"/>
      <c r="AZ298" s="511"/>
      <c r="BA298" s="511"/>
      <c r="BB298" s="511"/>
      <c r="BC298" s="511"/>
    </row>
    <row r="299" spans="1:55" ht="16.5" customHeight="1" x14ac:dyDescent="0.3">
      <c r="A299" s="511"/>
      <c r="B299" s="511"/>
      <c r="C299" s="511"/>
      <c r="D299" s="511"/>
      <c r="E299" s="511"/>
      <c r="F299" s="511"/>
      <c r="G299" s="511"/>
      <c r="H299" s="511"/>
      <c r="I299" s="511"/>
      <c r="J299" s="511"/>
      <c r="K299" s="511"/>
      <c r="L299" s="511"/>
      <c r="M299" s="511"/>
      <c r="N299" s="511"/>
      <c r="O299" s="511"/>
      <c r="P299" s="511"/>
      <c r="Q299" s="511"/>
      <c r="R299" s="511"/>
      <c r="S299" s="511"/>
      <c r="T299" s="511"/>
      <c r="U299" s="511"/>
      <c r="V299" s="511"/>
      <c r="W299" s="511"/>
      <c r="X299" s="511"/>
      <c r="Y299" s="511"/>
      <c r="Z299" s="511"/>
      <c r="AA299" s="511"/>
      <c r="AB299" s="511"/>
      <c r="AC299" s="511"/>
      <c r="AD299" s="511"/>
      <c r="AE299" s="511"/>
      <c r="AF299" s="511"/>
      <c r="AG299" s="511"/>
      <c r="AH299" s="511"/>
      <c r="AI299" s="511"/>
      <c r="AJ299" s="511"/>
      <c r="AK299" s="511"/>
      <c r="AL299" s="511"/>
      <c r="AM299" s="511"/>
      <c r="AN299" s="511"/>
      <c r="AO299" s="511"/>
      <c r="AP299" s="511"/>
      <c r="AQ299" s="511"/>
      <c r="AR299" s="511"/>
      <c r="AS299" s="511"/>
      <c r="AT299" s="511"/>
      <c r="AU299" s="511"/>
      <c r="AV299" s="511"/>
      <c r="AW299" s="511"/>
      <c r="AX299" s="511"/>
      <c r="AY299" s="511"/>
      <c r="AZ299" s="511"/>
      <c r="BA299" s="511"/>
      <c r="BB299" s="511"/>
      <c r="BC299" s="511"/>
    </row>
    <row r="300" spans="1:55" ht="16.5" customHeight="1" x14ac:dyDescent="0.3">
      <c r="A300" s="511"/>
      <c r="B300" s="511"/>
      <c r="C300" s="511"/>
      <c r="D300" s="511"/>
      <c r="E300" s="511"/>
      <c r="F300" s="511"/>
      <c r="G300" s="511"/>
      <c r="H300" s="511"/>
      <c r="I300" s="511"/>
      <c r="J300" s="511"/>
      <c r="K300" s="511"/>
      <c r="L300" s="511"/>
      <c r="M300" s="511"/>
      <c r="N300" s="511"/>
      <c r="O300" s="511"/>
      <c r="P300" s="511"/>
      <c r="Q300" s="511"/>
      <c r="R300" s="511"/>
      <c r="S300" s="511"/>
      <c r="T300" s="511"/>
      <c r="U300" s="511"/>
      <c r="V300" s="511"/>
      <c r="W300" s="511"/>
      <c r="X300" s="511"/>
      <c r="Y300" s="511"/>
      <c r="Z300" s="511"/>
      <c r="AA300" s="511"/>
      <c r="AB300" s="511"/>
      <c r="AC300" s="511"/>
      <c r="AD300" s="511"/>
      <c r="AE300" s="511"/>
      <c r="AF300" s="511"/>
      <c r="AG300" s="511"/>
      <c r="AH300" s="511"/>
      <c r="AI300" s="511"/>
      <c r="AJ300" s="511"/>
      <c r="AK300" s="511"/>
      <c r="AL300" s="511"/>
      <c r="AM300" s="511"/>
      <c r="AN300" s="511"/>
      <c r="AO300" s="511"/>
      <c r="AP300" s="511"/>
      <c r="AQ300" s="511"/>
      <c r="AR300" s="511"/>
      <c r="AS300" s="511"/>
      <c r="AT300" s="511"/>
      <c r="AU300" s="511"/>
      <c r="AV300" s="511"/>
      <c r="AW300" s="511"/>
      <c r="AX300" s="511"/>
      <c r="AY300" s="511"/>
      <c r="AZ300" s="511"/>
      <c r="BA300" s="511"/>
      <c r="BB300" s="511"/>
      <c r="BC300" s="511"/>
    </row>
    <row r="301" spans="1:55" ht="16.5" customHeight="1" x14ac:dyDescent="0.3">
      <c r="A301" s="511"/>
      <c r="B301" s="511"/>
      <c r="C301" s="511"/>
      <c r="D301" s="511"/>
      <c r="E301" s="511"/>
      <c r="F301" s="511"/>
      <c r="G301" s="511"/>
      <c r="H301" s="511"/>
      <c r="I301" s="511"/>
      <c r="J301" s="511"/>
      <c r="K301" s="511"/>
      <c r="L301" s="511"/>
      <c r="M301" s="511"/>
      <c r="N301" s="511"/>
      <c r="O301" s="511"/>
      <c r="P301" s="511"/>
      <c r="Q301" s="511"/>
      <c r="R301" s="511"/>
      <c r="S301" s="511"/>
      <c r="T301" s="511"/>
      <c r="U301" s="511"/>
      <c r="V301" s="511"/>
      <c r="W301" s="511"/>
      <c r="X301" s="511"/>
      <c r="Y301" s="511"/>
      <c r="Z301" s="511"/>
      <c r="AA301" s="511"/>
      <c r="AB301" s="511"/>
      <c r="AC301" s="511"/>
      <c r="AD301" s="511"/>
      <c r="AE301" s="511"/>
      <c r="AF301" s="511"/>
      <c r="AG301" s="511"/>
      <c r="AH301" s="511"/>
      <c r="AI301" s="511"/>
      <c r="AJ301" s="511"/>
      <c r="AK301" s="511"/>
      <c r="AL301" s="511"/>
      <c r="AM301" s="511"/>
      <c r="AN301" s="511"/>
      <c r="AO301" s="511"/>
      <c r="AP301" s="511"/>
      <c r="AQ301" s="511"/>
      <c r="AR301" s="511"/>
      <c r="AS301" s="511"/>
      <c r="AT301" s="511"/>
      <c r="AU301" s="511"/>
      <c r="AV301" s="511"/>
      <c r="AW301" s="511"/>
      <c r="AX301" s="511"/>
      <c r="AY301" s="511"/>
      <c r="AZ301" s="511"/>
      <c r="BA301" s="511"/>
      <c r="BB301" s="511"/>
      <c r="BC301" s="511"/>
    </row>
    <row r="302" spans="1:55" ht="16.5" customHeight="1" x14ac:dyDescent="0.3">
      <c r="A302" s="511"/>
      <c r="B302" s="511"/>
      <c r="C302" s="511"/>
      <c r="D302" s="511"/>
      <c r="E302" s="511"/>
      <c r="F302" s="511"/>
      <c r="G302" s="511"/>
      <c r="H302" s="511"/>
      <c r="I302" s="511"/>
      <c r="J302" s="511"/>
      <c r="K302" s="511"/>
      <c r="L302" s="511"/>
      <c r="M302" s="511"/>
      <c r="N302" s="511"/>
      <c r="O302" s="511"/>
      <c r="P302" s="511"/>
      <c r="Q302" s="511"/>
      <c r="R302" s="511"/>
      <c r="S302" s="511"/>
      <c r="T302" s="511"/>
      <c r="U302" s="511"/>
      <c r="V302" s="511"/>
      <c r="W302" s="511"/>
      <c r="X302" s="511"/>
      <c r="Y302" s="511"/>
      <c r="Z302" s="511"/>
      <c r="AA302" s="511"/>
      <c r="AB302" s="511"/>
      <c r="AC302" s="511"/>
      <c r="AD302" s="511"/>
      <c r="AE302" s="511"/>
      <c r="AF302" s="511"/>
      <c r="AG302" s="511"/>
      <c r="AH302" s="511"/>
      <c r="AI302" s="511"/>
      <c r="AJ302" s="511"/>
      <c r="AK302" s="511"/>
      <c r="AL302" s="511"/>
      <c r="AM302" s="511"/>
      <c r="AN302" s="511"/>
      <c r="AO302" s="511"/>
      <c r="AP302" s="511"/>
      <c r="AQ302" s="511"/>
      <c r="AR302" s="511"/>
      <c r="AS302" s="511"/>
      <c r="AT302" s="511"/>
      <c r="AU302" s="511"/>
      <c r="AV302" s="511"/>
      <c r="AW302" s="511"/>
      <c r="AX302" s="511"/>
      <c r="AY302" s="511"/>
      <c r="AZ302" s="511"/>
      <c r="BA302" s="511"/>
      <c r="BB302" s="511"/>
      <c r="BC302" s="511"/>
    </row>
    <row r="303" spans="1:55" ht="16.5" customHeight="1" x14ac:dyDescent="0.3">
      <c r="A303" s="511"/>
      <c r="B303" s="511"/>
      <c r="C303" s="511"/>
      <c r="D303" s="511"/>
      <c r="E303" s="511"/>
      <c r="F303" s="511"/>
      <c r="G303" s="511"/>
      <c r="H303" s="511"/>
      <c r="I303" s="511"/>
      <c r="J303" s="511"/>
      <c r="K303" s="511"/>
      <c r="L303" s="511"/>
      <c r="M303" s="511"/>
      <c r="N303" s="511"/>
      <c r="O303" s="511"/>
      <c r="P303" s="511"/>
      <c r="Q303" s="511"/>
      <c r="R303" s="511"/>
      <c r="S303" s="511"/>
      <c r="T303" s="511"/>
      <c r="U303" s="511"/>
      <c r="V303" s="511"/>
      <c r="W303" s="511"/>
      <c r="X303" s="511"/>
      <c r="Y303" s="511"/>
      <c r="Z303" s="511"/>
      <c r="AA303" s="511"/>
      <c r="AB303" s="511"/>
      <c r="AC303" s="511"/>
      <c r="AD303" s="511"/>
      <c r="AE303" s="511"/>
      <c r="AF303" s="511"/>
      <c r="AG303" s="511"/>
      <c r="AH303" s="511"/>
      <c r="AI303" s="511"/>
      <c r="AJ303" s="511"/>
      <c r="AK303" s="511"/>
      <c r="AL303" s="511"/>
      <c r="AM303" s="511"/>
      <c r="AN303" s="511"/>
      <c r="AO303" s="511"/>
      <c r="AP303" s="511"/>
      <c r="AQ303" s="511"/>
      <c r="AR303" s="511"/>
      <c r="AS303" s="511"/>
      <c r="AT303" s="511"/>
      <c r="AU303" s="511"/>
      <c r="AV303" s="511"/>
      <c r="AW303" s="511"/>
      <c r="AX303" s="511"/>
      <c r="AY303" s="511"/>
      <c r="AZ303" s="511"/>
      <c r="BA303" s="511"/>
      <c r="BB303" s="511"/>
      <c r="BC303" s="511"/>
    </row>
    <row r="304" spans="1:55" ht="16.5" customHeight="1" x14ac:dyDescent="0.3">
      <c r="A304" s="511"/>
      <c r="B304" s="511"/>
      <c r="C304" s="511"/>
      <c r="D304" s="511"/>
      <c r="E304" s="511"/>
      <c r="F304" s="511"/>
      <c r="G304" s="511"/>
      <c r="H304" s="511"/>
      <c r="I304" s="511"/>
      <c r="J304" s="511"/>
      <c r="K304" s="511"/>
      <c r="L304" s="511"/>
      <c r="M304" s="511"/>
      <c r="N304" s="511"/>
      <c r="O304" s="511"/>
      <c r="P304" s="511"/>
      <c r="Q304" s="511"/>
      <c r="R304" s="511"/>
      <c r="S304" s="511"/>
      <c r="T304" s="511"/>
      <c r="U304" s="511"/>
      <c r="V304" s="511"/>
      <c r="W304" s="511"/>
      <c r="X304" s="511"/>
      <c r="Y304" s="511"/>
      <c r="Z304" s="511"/>
      <c r="AA304" s="511"/>
      <c r="AB304" s="511"/>
      <c r="AC304" s="511"/>
      <c r="AD304" s="511"/>
      <c r="AE304" s="511"/>
      <c r="AF304" s="511"/>
      <c r="AG304" s="511"/>
      <c r="AH304" s="511"/>
      <c r="AI304" s="511"/>
      <c r="AJ304" s="511"/>
      <c r="AK304" s="511"/>
      <c r="AL304" s="511"/>
      <c r="AM304" s="511"/>
      <c r="AN304" s="511"/>
      <c r="AO304" s="511"/>
      <c r="AP304" s="511"/>
      <c r="AQ304" s="511"/>
      <c r="AR304" s="511"/>
      <c r="AS304" s="511"/>
      <c r="AT304" s="511"/>
      <c r="AU304" s="511"/>
      <c r="AV304" s="511"/>
      <c r="AW304" s="511"/>
      <c r="AX304" s="511"/>
      <c r="AY304" s="511"/>
      <c r="AZ304" s="511"/>
      <c r="BA304" s="511"/>
      <c r="BB304" s="511"/>
      <c r="BC304" s="511"/>
    </row>
    <row r="305" spans="1:55" ht="16.5" customHeight="1" x14ac:dyDescent="0.3">
      <c r="A305" s="511"/>
      <c r="B305" s="511"/>
      <c r="C305" s="511"/>
      <c r="D305" s="511"/>
      <c r="E305" s="511"/>
      <c r="F305" s="511"/>
      <c r="G305" s="511"/>
      <c r="H305" s="511"/>
      <c r="I305" s="511"/>
      <c r="J305" s="511"/>
      <c r="K305" s="511"/>
      <c r="L305" s="511"/>
      <c r="M305" s="511"/>
      <c r="N305" s="511"/>
      <c r="O305" s="511"/>
      <c r="P305" s="511"/>
      <c r="Q305" s="511"/>
      <c r="R305" s="511"/>
      <c r="S305" s="511"/>
      <c r="T305" s="511"/>
      <c r="U305" s="511"/>
      <c r="V305" s="511"/>
      <c r="W305" s="511"/>
      <c r="X305" s="511"/>
      <c r="Y305" s="511"/>
      <c r="Z305" s="511"/>
      <c r="AA305" s="511"/>
      <c r="AB305" s="511"/>
      <c r="AC305" s="511"/>
      <c r="AD305" s="511"/>
      <c r="AE305" s="511"/>
      <c r="AF305" s="511"/>
      <c r="AG305" s="511"/>
      <c r="AH305" s="511"/>
      <c r="AI305" s="511"/>
      <c r="AJ305" s="511"/>
      <c r="AK305" s="511"/>
      <c r="AL305" s="511"/>
      <c r="AM305" s="511"/>
      <c r="AN305" s="511"/>
      <c r="AO305" s="511"/>
      <c r="AP305" s="511"/>
      <c r="AQ305" s="511"/>
      <c r="AR305" s="511"/>
      <c r="AS305" s="511"/>
      <c r="AT305" s="511"/>
      <c r="AU305" s="511"/>
      <c r="AV305" s="511"/>
      <c r="AW305" s="511"/>
      <c r="AX305" s="511"/>
      <c r="AY305" s="511"/>
      <c r="AZ305" s="511"/>
      <c r="BA305" s="511"/>
      <c r="BB305" s="511"/>
      <c r="BC305" s="511"/>
    </row>
    <row r="306" spans="1:55" ht="16.5" customHeight="1" x14ac:dyDescent="0.3">
      <c r="A306" s="511"/>
      <c r="B306" s="511"/>
      <c r="C306" s="511"/>
      <c r="D306" s="511"/>
      <c r="E306" s="511"/>
      <c r="F306" s="511"/>
      <c r="G306" s="511"/>
      <c r="H306" s="511"/>
      <c r="I306" s="511"/>
      <c r="J306" s="511"/>
      <c r="K306" s="511"/>
      <c r="L306" s="511"/>
      <c r="M306" s="511"/>
      <c r="N306" s="511"/>
      <c r="O306" s="511"/>
      <c r="P306" s="511"/>
      <c r="Q306" s="511"/>
      <c r="R306" s="511"/>
      <c r="S306" s="511"/>
      <c r="T306" s="511"/>
      <c r="U306" s="511"/>
      <c r="V306" s="511"/>
      <c r="W306" s="511"/>
      <c r="X306" s="511"/>
      <c r="Y306" s="511"/>
      <c r="Z306" s="511"/>
      <c r="AA306" s="511"/>
      <c r="AB306" s="511"/>
      <c r="AC306" s="511"/>
      <c r="AD306" s="511"/>
      <c r="AE306" s="511"/>
      <c r="AF306" s="511"/>
      <c r="AG306" s="511"/>
      <c r="AH306" s="511"/>
      <c r="AI306" s="511"/>
      <c r="AJ306" s="511"/>
      <c r="AK306" s="511"/>
      <c r="AL306" s="511"/>
      <c r="AM306" s="511"/>
      <c r="AN306" s="511"/>
      <c r="AO306" s="511"/>
      <c r="AP306" s="511"/>
      <c r="AQ306" s="511"/>
      <c r="AR306" s="511"/>
      <c r="AS306" s="511"/>
      <c r="AT306" s="511"/>
      <c r="AU306" s="511"/>
      <c r="AV306" s="511"/>
      <c r="AW306" s="511"/>
      <c r="AX306" s="511"/>
      <c r="AY306" s="511"/>
      <c r="AZ306" s="511"/>
      <c r="BA306" s="511"/>
      <c r="BB306" s="511"/>
      <c r="BC306" s="511"/>
    </row>
    <row r="307" spans="1:55" ht="16.5" customHeight="1" x14ac:dyDescent="0.3">
      <c r="A307" s="511"/>
      <c r="B307" s="511"/>
      <c r="C307" s="511"/>
      <c r="D307" s="511"/>
      <c r="E307" s="511"/>
      <c r="F307" s="511"/>
      <c r="G307" s="511"/>
      <c r="H307" s="511"/>
      <c r="I307" s="511"/>
      <c r="J307" s="511"/>
      <c r="K307" s="511"/>
      <c r="L307" s="511"/>
      <c r="M307" s="511"/>
      <c r="N307" s="511"/>
      <c r="O307" s="511"/>
      <c r="P307" s="511"/>
      <c r="Q307" s="511"/>
      <c r="R307" s="511"/>
      <c r="S307" s="511"/>
      <c r="T307" s="511"/>
      <c r="U307" s="511"/>
      <c r="V307" s="511"/>
      <c r="W307" s="511"/>
      <c r="X307" s="511"/>
      <c r="Y307" s="511"/>
      <c r="Z307" s="511"/>
      <c r="AA307" s="511"/>
      <c r="AB307" s="511"/>
      <c r="AC307" s="511"/>
      <c r="AD307" s="511"/>
      <c r="AE307" s="511"/>
      <c r="AF307" s="511"/>
      <c r="AG307" s="511"/>
      <c r="AH307" s="511"/>
      <c r="AI307" s="511"/>
      <c r="AJ307" s="511"/>
      <c r="AK307" s="511"/>
      <c r="AL307" s="511"/>
      <c r="AM307" s="511"/>
      <c r="AN307" s="511"/>
      <c r="AO307" s="511"/>
      <c r="AP307" s="511"/>
      <c r="AQ307" s="511"/>
      <c r="AR307" s="511"/>
      <c r="AS307" s="511"/>
      <c r="AT307" s="511"/>
      <c r="AU307" s="511"/>
      <c r="AV307" s="511"/>
      <c r="AW307" s="511"/>
      <c r="AX307" s="511"/>
      <c r="AY307" s="511"/>
      <c r="AZ307" s="511"/>
      <c r="BA307" s="511"/>
      <c r="BB307" s="511"/>
      <c r="BC307" s="511"/>
    </row>
    <row r="308" spans="1:55" ht="16.5" customHeight="1" x14ac:dyDescent="0.3">
      <c r="A308" s="511"/>
      <c r="B308" s="511"/>
      <c r="C308" s="511"/>
      <c r="D308" s="511"/>
      <c r="E308" s="511"/>
      <c r="F308" s="511"/>
      <c r="G308" s="511"/>
      <c r="H308" s="511"/>
      <c r="I308" s="511"/>
      <c r="J308" s="511"/>
      <c r="K308" s="511"/>
      <c r="L308" s="511"/>
      <c r="M308" s="511"/>
      <c r="N308" s="511"/>
      <c r="O308" s="511"/>
      <c r="P308" s="511"/>
      <c r="Q308" s="511"/>
      <c r="R308" s="511"/>
      <c r="S308" s="511"/>
      <c r="T308" s="511"/>
      <c r="U308" s="511"/>
      <c r="V308" s="511"/>
      <c r="W308" s="511"/>
      <c r="X308" s="511"/>
      <c r="Y308" s="511"/>
      <c r="Z308" s="511"/>
      <c r="AA308" s="511"/>
      <c r="AB308" s="511"/>
      <c r="AC308" s="511"/>
      <c r="AD308" s="511"/>
      <c r="AE308" s="511"/>
      <c r="AF308" s="511"/>
      <c r="AG308" s="511"/>
      <c r="AH308" s="511"/>
      <c r="AI308" s="511"/>
      <c r="AJ308" s="511"/>
      <c r="AK308" s="511"/>
      <c r="AL308" s="511"/>
      <c r="AM308" s="511"/>
      <c r="AN308" s="511"/>
      <c r="AO308" s="511"/>
      <c r="AP308" s="511"/>
      <c r="AQ308" s="511"/>
      <c r="AR308" s="511"/>
      <c r="AS308" s="511"/>
      <c r="AT308" s="511"/>
      <c r="AU308" s="511"/>
      <c r="AV308" s="511"/>
      <c r="AW308" s="511"/>
      <c r="AX308" s="511"/>
      <c r="AY308" s="511"/>
      <c r="AZ308" s="511"/>
      <c r="BA308" s="511"/>
      <c r="BB308" s="511"/>
      <c r="BC308" s="511"/>
    </row>
    <row r="309" spans="1:55" ht="16.5" customHeight="1" x14ac:dyDescent="0.3">
      <c r="A309" s="511"/>
      <c r="B309" s="511"/>
      <c r="C309" s="511"/>
      <c r="D309" s="511"/>
      <c r="E309" s="511"/>
      <c r="F309" s="511"/>
      <c r="G309" s="511"/>
      <c r="H309" s="511"/>
      <c r="I309" s="511"/>
      <c r="J309" s="511"/>
      <c r="K309" s="511"/>
      <c r="L309" s="511"/>
      <c r="M309" s="511"/>
      <c r="N309" s="511"/>
      <c r="O309" s="511"/>
      <c r="P309" s="511"/>
      <c r="Q309" s="511"/>
      <c r="R309" s="511"/>
      <c r="S309" s="511"/>
      <c r="T309" s="511"/>
      <c r="U309" s="511"/>
      <c r="V309" s="511"/>
      <c r="W309" s="511"/>
      <c r="X309" s="511"/>
      <c r="Y309" s="511"/>
      <c r="Z309" s="511"/>
      <c r="AA309" s="511"/>
      <c r="AB309" s="511"/>
      <c r="AC309" s="511"/>
      <c r="AD309" s="511"/>
      <c r="AE309" s="511"/>
      <c r="AF309" s="511"/>
      <c r="AG309" s="511"/>
      <c r="AH309" s="511"/>
      <c r="AI309" s="511"/>
      <c r="AJ309" s="511"/>
      <c r="AK309" s="511"/>
      <c r="AL309" s="511"/>
      <c r="AM309" s="511"/>
      <c r="AN309" s="511"/>
      <c r="AO309" s="511"/>
      <c r="AP309" s="511"/>
      <c r="AQ309" s="511"/>
      <c r="AR309" s="511"/>
      <c r="AS309" s="511"/>
      <c r="AT309" s="511"/>
      <c r="AU309" s="511"/>
      <c r="AV309" s="511"/>
      <c r="AW309" s="511"/>
      <c r="AX309" s="511"/>
      <c r="AY309" s="511"/>
      <c r="AZ309" s="511"/>
      <c r="BA309" s="511"/>
      <c r="BB309" s="511"/>
      <c r="BC309" s="511"/>
    </row>
    <row r="310" spans="1:55" ht="16.5" customHeight="1" x14ac:dyDescent="0.3">
      <c r="A310" s="511"/>
      <c r="B310" s="511"/>
      <c r="C310" s="511"/>
      <c r="D310" s="511"/>
      <c r="E310" s="511"/>
      <c r="F310" s="511"/>
      <c r="G310" s="511"/>
      <c r="H310" s="511"/>
      <c r="I310" s="511"/>
      <c r="J310" s="511"/>
      <c r="K310" s="511"/>
      <c r="L310" s="511"/>
      <c r="M310" s="511"/>
      <c r="N310" s="511"/>
      <c r="O310" s="511"/>
      <c r="P310" s="511"/>
      <c r="Q310" s="511"/>
      <c r="R310" s="511"/>
      <c r="S310" s="511"/>
      <c r="T310" s="511"/>
      <c r="U310" s="511"/>
      <c r="V310" s="511"/>
      <c r="W310" s="511"/>
      <c r="X310" s="511"/>
      <c r="Y310" s="511"/>
      <c r="Z310" s="511"/>
      <c r="AA310" s="511"/>
      <c r="AB310" s="511"/>
      <c r="AC310" s="511"/>
      <c r="AD310" s="511"/>
      <c r="AE310" s="511"/>
      <c r="AF310" s="511"/>
      <c r="AG310" s="511"/>
      <c r="AH310" s="511"/>
      <c r="AI310" s="511"/>
      <c r="AJ310" s="511"/>
      <c r="AK310" s="511"/>
      <c r="AL310" s="511"/>
      <c r="AM310" s="511"/>
      <c r="AN310" s="511"/>
      <c r="AO310" s="511"/>
      <c r="AP310" s="511"/>
      <c r="AQ310" s="511"/>
      <c r="AR310" s="511"/>
      <c r="AS310" s="511"/>
      <c r="AT310" s="511"/>
      <c r="AU310" s="511"/>
      <c r="AV310" s="511"/>
      <c r="AW310" s="511"/>
      <c r="AX310" s="511"/>
      <c r="AY310" s="511"/>
      <c r="AZ310" s="511"/>
      <c r="BA310" s="511"/>
      <c r="BB310" s="511"/>
      <c r="BC310" s="511"/>
    </row>
    <row r="311" spans="1:55" ht="16.5" customHeight="1" x14ac:dyDescent="0.3">
      <c r="A311" s="511"/>
      <c r="B311" s="511"/>
      <c r="C311" s="511"/>
      <c r="D311" s="511"/>
      <c r="E311" s="511"/>
      <c r="F311" s="511"/>
      <c r="G311" s="511"/>
      <c r="H311" s="511"/>
      <c r="I311" s="511"/>
      <c r="J311" s="511"/>
      <c r="K311" s="511"/>
      <c r="L311" s="511"/>
      <c r="M311" s="511"/>
      <c r="N311" s="511"/>
      <c r="O311" s="511"/>
      <c r="P311" s="511"/>
      <c r="Q311" s="511"/>
      <c r="R311" s="511"/>
      <c r="S311" s="511"/>
      <c r="T311" s="511"/>
      <c r="U311" s="511"/>
      <c r="V311" s="511"/>
      <c r="W311" s="511"/>
      <c r="X311" s="511"/>
      <c r="Y311" s="511"/>
      <c r="Z311" s="511"/>
      <c r="AA311" s="511"/>
      <c r="AB311" s="511"/>
      <c r="AC311" s="511"/>
      <c r="AD311" s="511"/>
      <c r="AE311" s="511"/>
      <c r="AF311" s="511"/>
      <c r="AG311" s="511"/>
      <c r="AH311" s="511"/>
      <c r="AI311" s="511"/>
      <c r="AJ311" s="511"/>
      <c r="AK311" s="511"/>
      <c r="AL311" s="511"/>
      <c r="AM311" s="511"/>
      <c r="AN311" s="511"/>
      <c r="AO311" s="511"/>
      <c r="AP311" s="511"/>
      <c r="AQ311" s="511"/>
      <c r="AR311" s="511"/>
      <c r="AS311" s="511"/>
      <c r="AT311" s="511"/>
      <c r="AU311" s="511"/>
      <c r="AV311" s="511"/>
      <c r="AW311" s="511"/>
      <c r="AX311" s="511"/>
      <c r="AY311" s="511"/>
      <c r="AZ311" s="511"/>
      <c r="BA311" s="511"/>
      <c r="BB311" s="511"/>
      <c r="BC311" s="511"/>
    </row>
    <row r="312" spans="1:55" ht="16.5" customHeight="1" x14ac:dyDescent="0.3">
      <c r="A312" s="511"/>
      <c r="B312" s="511"/>
      <c r="C312" s="511"/>
      <c r="D312" s="511"/>
      <c r="E312" s="511"/>
      <c r="F312" s="511"/>
      <c r="G312" s="511"/>
      <c r="H312" s="511"/>
      <c r="I312" s="511"/>
      <c r="J312" s="511"/>
      <c r="K312" s="511"/>
      <c r="L312" s="511"/>
      <c r="M312" s="511"/>
      <c r="N312" s="511"/>
      <c r="O312" s="511"/>
      <c r="P312" s="511"/>
      <c r="Q312" s="511"/>
      <c r="R312" s="511"/>
      <c r="S312" s="511"/>
      <c r="T312" s="511"/>
      <c r="U312" s="511"/>
      <c r="V312" s="511"/>
      <c r="W312" s="511"/>
      <c r="X312" s="511"/>
      <c r="Y312" s="511"/>
      <c r="Z312" s="511"/>
      <c r="AA312" s="511"/>
      <c r="AB312" s="511"/>
      <c r="AC312" s="511"/>
      <c r="AD312" s="511"/>
      <c r="AE312" s="511"/>
      <c r="AF312" s="511"/>
      <c r="AG312" s="511"/>
      <c r="AH312" s="511"/>
      <c r="AI312" s="511"/>
      <c r="AJ312" s="511"/>
      <c r="AK312" s="511"/>
      <c r="AL312" s="511"/>
      <c r="AM312" s="511"/>
      <c r="AN312" s="511"/>
      <c r="AO312" s="511"/>
      <c r="AP312" s="511"/>
      <c r="AQ312" s="511"/>
      <c r="AR312" s="511"/>
      <c r="AS312" s="511"/>
      <c r="AT312" s="511"/>
      <c r="AU312" s="511"/>
      <c r="AV312" s="511"/>
      <c r="AW312" s="511"/>
      <c r="AX312" s="511"/>
      <c r="AY312" s="511"/>
      <c r="AZ312" s="511"/>
      <c r="BA312" s="511"/>
      <c r="BB312" s="511"/>
      <c r="BC312" s="511"/>
    </row>
    <row r="313" spans="1:55" ht="16.5" customHeight="1" x14ac:dyDescent="0.3">
      <c r="A313" s="511"/>
      <c r="B313" s="511"/>
      <c r="C313" s="511"/>
      <c r="D313" s="511"/>
      <c r="E313" s="511"/>
      <c r="F313" s="511"/>
      <c r="G313" s="511"/>
      <c r="H313" s="511"/>
      <c r="I313" s="511"/>
      <c r="J313" s="511"/>
      <c r="K313" s="511"/>
      <c r="L313" s="511"/>
      <c r="M313" s="511"/>
      <c r="N313" s="511"/>
      <c r="O313" s="511"/>
      <c r="P313" s="511"/>
      <c r="Q313" s="511"/>
      <c r="R313" s="511"/>
      <c r="S313" s="511"/>
      <c r="T313" s="511"/>
      <c r="U313" s="511"/>
      <c r="V313" s="511"/>
      <c r="W313" s="511"/>
      <c r="X313" s="511"/>
      <c r="Y313" s="511"/>
      <c r="Z313" s="511"/>
      <c r="AA313" s="511"/>
      <c r="AB313" s="511"/>
      <c r="AC313" s="511"/>
      <c r="AD313" s="511"/>
      <c r="AE313" s="511"/>
      <c r="AF313" s="511"/>
      <c r="AG313" s="511"/>
      <c r="AH313" s="511"/>
      <c r="AI313" s="511"/>
      <c r="AJ313" s="511"/>
      <c r="AK313" s="511"/>
      <c r="AL313" s="511"/>
      <c r="AM313" s="511"/>
      <c r="AN313" s="511"/>
      <c r="AO313" s="511"/>
      <c r="AP313" s="511"/>
      <c r="AQ313" s="511"/>
      <c r="AR313" s="511"/>
      <c r="AS313" s="511"/>
      <c r="AT313" s="511"/>
      <c r="AU313" s="511"/>
      <c r="AV313" s="511"/>
      <c r="AW313" s="511"/>
      <c r="AX313" s="511"/>
      <c r="AY313" s="511"/>
      <c r="AZ313" s="511"/>
      <c r="BA313" s="511"/>
      <c r="BB313" s="511"/>
      <c r="BC313" s="511"/>
    </row>
    <row r="314" spans="1:55" ht="16.5" customHeight="1" x14ac:dyDescent="0.3">
      <c r="A314" s="511"/>
      <c r="B314" s="511"/>
      <c r="C314" s="511"/>
      <c r="D314" s="511"/>
      <c r="E314" s="511"/>
      <c r="F314" s="511"/>
      <c r="G314" s="511"/>
      <c r="H314" s="511"/>
      <c r="I314" s="511"/>
      <c r="J314" s="511"/>
      <c r="K314" s="511"/>
      <c r="L314" s="511"/>
      <c r="M314" s="511"/>
      <c r="N314" s="511"/>
      <c r="O314" s="511"/>
      <c r="P314" s="511"/>
      <c r="Q314" s="511"/>
      <c r="R314" s="511"/>
      <c r="S314" s="511"/>
      <c r="T314" s="511"/>
      <c r="U314" s="511"/>
      <c r="V314" s="511"/>
      <c r="W314" s="511"/>
      <c r="X314" s="511"/>
      <c r="Y314" s="511"/>
      <c r="Z314" s="511"/>
      <c r="AA314" s="511"/>
      <c r="AB314" s="511"/>
      <c r="AC314" s="511"/>
      <c r="AD314" s="511"/>
      <c r="AE314" s="511"/>
      <c r="AF314" s="511"/>
      <c r="AG314" s="511"/>
      <c r="AH314" s="511"/>
      <c r="AI314" s="511"/>
      <c r="AJ314" s="511"/>
      <c r="AK314" s="511"/>
      <c r="AL314" s="511"/>
      <c r="AM314" s="511"/>
      <c r="AN314" s="511"/>
      <c r="AO314" s="511"/>
      <c r="AP314" s="511"/>
      <c r="AQ314" s="511"/>
      <c r="AR314" s="511"/>
      <c r="AS314" s="511"/>
      <c r="AT314" s="511"/>
      <c r="AU314" s="511"/>
      <c r="AV314" s="511"/>
      <c r="AW314" s="511"/>
      <c r="AX314" s="511"/>
      <c r="AY314" s="511"/>
      <c r="AZ314" s="511"/>
      <c r="BA314" s="511"/>
      <c r="BB314" s="511"/>
      <c r="BC314" s="511"/>
    </row>
    <row r="315" spans="1:55" ht="16.5" customHeight="1" x14ac:dyDescent="0.3">
      <c r="A315" s="511"/>
      <c r="B315" s="511"/>
      <c r="C315" s="511"/>
      <c r="D315" s="511"/>
      <c r="E315" s="511"/>
      <c r="F315" s="511"/>
      <c r="G315" s="511"/>
      <c r="H315" s="511"/>
      <c r="I315" s="511"/>
      <c r="J315" s="511"/>
      <c r="K315" s="511"/>
      <c r="L315" s="511"/>
      <c r="M315" s="511"/>
      <c r="N315" s="511"/>
      <c r="O315" s="511"/>
      <c r="P315" s="511"/>
      <c r="Q315" s="511"/>
      <c r="R315" s="511"/>
      <c r="S315" s="511"/>
      <c r="T315" s="511"/>
      <c r="U315" s="511"/>
      <c r="V315" s="511"/>
      <c r="W315" s="511"/>
      <c r="X315" s="511"/>
      <c r="Y315" s="511"/>
      <c r="Z315" s="511"/>
      <c r="AA315" s="511"/>
      <c r="AB315" s="511"/>
      <c r="AC315" s="511"/>
      <c r="AD315" s="511"/>
      <c r="AE315" s="511"/>
      <c r="AF315" s="511"/>
      <c r="AG315" s="511"/>
      <c r="AH315" s="511"/>
      <c r="AI315" s="511"/>
      <c r="AJ315" s="511"/>
      <c r="AK315" s="511"/>
      <c r="AL315" s="511"/>
      <c r="AM315" s="511"/>
      <c r="AN315" s="511"/>
      <c r="AO315" s="511"/>
      <c r="AP315" s="511"/>
      <c r="AQ315" s="511"/>
      <c r="AR315" s="511"/>
      <c r="AS315" s="511"/>
      <c r="AT315" s="511"/>
      <c r="AU315" s="511"/>
      <c r="AV315" s="511"/>
      <c r="AW315" s="511"/>
      <c r="AX315" s="511"/>
      <c r="AY315" s="511"/>
      <c r="AZ315" s="511"/>
      <c r="BA315" s="511"/>
      <c r="BB315" s="511"/>
      <c r="BC315" s="511"/>
    </row>
    <row r="316" spans="1:55" ht="16.5" customHeight="1" x14ac:dyDescent="0.3">
      <c r="A316" s="511"/>
      <c r="B316" s="511"/>
      <c r="C316" s="511"/>
      <c r="D316" s="511"/>
      <c r="E316" s="511"/>
      <c r="F316" s="511"/>
      <c r="G316" s="511"/>
      <c r="H316" s="511"/>
      <c r="I316" s="511"/>
      <c r="J316" s="511"/>
      <c r="K316" s="511"/>
      <c r="L316" s="511"/>
      <c r="M316" s="511"/>
      <c r="N316" s="511"/>
      <c r="O316" s="511"/>
      <c r="P316" s="511"/>
      <c r="Q316" s="511"/>
      <c r="R316" s="511"/>
      <c r="S316" s="511"/>
      <c r="T316" s="511"/>
      <c r="U316" s="511"/>
      <c r="V316" s="511"/>
      <c r="W316" s="511"/>
      <c r="X316" s="511"/>
      <c r="Y316" s="511"/>
      <c r="Z316" s="511"/>
      <c r="AA316" s="511"/>
      <c r="AB316" s="511"/>
      <c r="AC316" s="511"/>
      <c r="AD316" s="511"/>
      <c r="AE316" s="511"/>
      <c r="AF316" s="511"/>
      <c r="AG316" s="511"/>
      <c r="AH316" s="511"/>
      <c r="AI316" s="511"/>
      <c r="AJ316" s="511"/>
      <c r="AK316" s="511"/>
      <c r="AL316" s="511"/>
      <c r="AM316" s="511"/>
      <c r="AN316" s="511"/>
      <c r="AO316" s="511"/>
      <c r="AP316" s="511"/>
      <c r="AQ316" s="511"/>
      <c r="AR316" s="511"/>
      <c r="AS316" s="511"/>
      <c r="AT316" s="511"/>
      <c r="AU316" s="511"/>
      <c r="AV316" s="511"/>
      <c r="AW316" s="511"/>
      <c r="AX316" s="511"/>
      <c r="AY316" s="511"/>
      <c r="AZ316" s="511"/>
      <c r="BA316" s="511"/>
      <c r="BB316" s="511"/>
      <c r="BC316" s="511"/>
    </row>
    <row r="317" spans="1:55" ht="16.5" customHeight="1" x14ac:dyDescent="0.3">
      <c r="A317" s="511"/>
      <c r="B317" s="511"/>
      <c r="C317" s="511"/>
      <c r="D317" s="511"/>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c r="AA317" s="511"/>
      <c r="AB317" s="511"/>
      <c r="AC317" s="511"/>
      <c r="AD317" s="511"/>
      <c r="AE317" s="511"/>
      <c r="AF317" s="511"/>
      <c r="AG317" s="511"/>
      <c r="AH317" s="511"/>
      <c r="AI317" s="511"/>
      <c r="AJ317" s="511"/>
      <c r="AK317" s="511"/>
      <c r="AL317" s="511"/>
      <c r="AM317" s="511"/>
      <c r="AN317" s="511"/>
      <c r="AO317" s="511"/>
      <c r="AP317" s="511"/>
      <c r="AQ317" s="511"/>
      <c r="AR317" s="511"/>
      <c r="AS317" s="511"/>
      <c r="AT317" s="511"/>
      <c r="AU317" s="511"/>
      <c r="AV317" s="511"/>
      <c r="AW317" s="511"/>
      <c r="AX317" s="511"/>
      <c r="AY317" s="511"/>
      <c r="AZ317" s="511"/>
      <c r="BA317" s="511"/>
      <c r="BB317" s="511"/>
      <c r="BC317" s="511"/>
    </row>
    <row r="318" spans="1:55" ht="16.5" customHeight="1" x14ac:dyDescent="0.3">
      <c r="A318" s="511"/>
      <c r="B318" s="511"/>
      <c r="C318" s="511"/>
      <c r="D318" s="511"/>
      <c r="E318" s="511"/>
      <c r="F318" s="511"/>
      <c r="G318" s="511"/>
      <c r="H318" s="511"/>
      <c r="I318" s="511"/>
      <c r="J318" s="511"/>
      <c r="K318" s="511"/>
      <c r="L318" s="511"/>
      <c r="M318" s="511"/>
      <c r="N318" s="511"/>
      <c r="O318" s="511"/>
      <c r="P318" s="511"/>
      <c r="Q318" s="511"/>
      <c r="R318" s="511"/>
      <c r="S318" s="511"/>
      <c r="T318" s="511"/>
      <c r="U318" s="511"/>
      <c r="V318" s="511"/>
      <c r="W318" s="511"/>
      <c r="X318" s="511"/>
      <c r="Y318" s="511"/>
      <c r="Z318" s="511"/>
      <c r="AA318" s="511"/>
      <c r="AB318" s="511"/>
      <c r="AC318" s="511"/>
      <c r="AD318" s="511"/>
      <c r="AE318" s="511"/>
      <c r="AF318" s="511"/>
      <c r="AG318" s="511"/>
      <c r="AH318" s="511"/>
      <c r="AI318" s="511"/>
      <c r="AJ318" s="511"/>
      <c r="AK318" s="511"/>
      <c r="AL318" s="511"/>
      <c r="AM318" s="511"/>
      <c r="AN318" s="511"/>
      <c r="AO318" s="511"/>
      <c r="AP318" s="511"/>
      <c r="AQ318" s="511"/>
      <c r="AR318" s="511"/>
      <c r="AS318" s="511"/>
      <c r="AT318" s="511"/>
      <c r="AU318" s="511"/>
      <c r="AV318" s="511"/>
      <c r="AW318" s="511"/>
      <c r="AX318" s="511"/>
      <c r="AY318" s="511"/>
      <c r="AZ318" s="511"/>
      <c r="BA318" s="511"/>
      <c r="BB318" s="511"/>
      <c r="BC318" s="511"/>
    </row>
    <row r="319" spans="1:55" ht="16.5" customHeight="1" x14ac:dyDescent="0.3">
      <c r="A319" s="511"/>
      <c r="B319" s="511"/>
      <c r="C319" s="511"/>
      <c r="D319" s="511"/>
      <c r="E319" s="511"/>
      <c r="F319" s="511"/>
      <c r="G319" s="511"/>
      <c r="H319" s="511"/>
      <c r="I319" s="511"/>
      <c r="J319" s="511"/>
      <c r="K319" s="511"/>
      <c r="L319" s="511"/>
      <c r="M319" s="511"/>
      <c r="N319" s="511"/>
      <c r="O319" s="511"/>
      <c r="P319" s="511"/>
      <c r="Q319" s="511"/>
      <c r="R319" s="511"/>
      <c r="S319" s="511"/>
      <c r="T319" s="511"/>
      <c r="U319" s="511"/>
      <c r="V319" s="511"/>
      <c r="W319" s="511"/>
      <c r="X319" s="511"/>
      <c r="Y319" s="511"/>
      <c r="Z319" s="511"/>
      <c r="AA319" s="511"/>
      <c r="AB319" s="511"/>
      <c r="AC319" s="511"/>
      <c r="AD319" s="511"/>
      <c r="AE319" s="511"/>
      <c r="AF319" s="511"/>
      <c r="AG319" s="511"/>
      <c r="AH319" s="511"/>
      <c r="AI319" s="511"/>
      <c r="AJ319" s="511"/>
      <c r="AK319" s="511"/>
      <c r="AL319" s="511"/>
      <c r="AM319" s="511"/>
      <c r="AN319" s="511"/>
      <c r="AO319" s="511"/>
      <c r="AP319" s="511"/>
      <c r="AQ319" s="511"/>
      <c r="AR319" s="511"/>
      <c r="AS319" s="511"/>
      <c r="AT319" s="511"/>
      <c r="AU319" s="511"/>
      <c r="AV319" s="511"/>
      <c r="AW319" s="511"/>
      <c r="AX319" s="511"/>
      <c r="AY319" s="511"/>
      <c r="AZ319" s="511"/>
      <c r="BA319" s="511"/>
      <c r="BB319" s="511"/>
      <c r="BC319" s="511"/>
    </row>
    <row r="320" spans="1:55" ht="16.5" customHeight="1" x14ac:dyDescent="0.3">
      <c r="A320" s="511"/>
      <c r="B320" s="511"/>
      <c r="C320" s="511"/>
      <c r="D320" s="511"/>
      <c r="E320" s="511"/>
      <c r="F320" s="511"/>
      <c r="G320" s="511"/>
      <c r="H320" s="511"/>
      <c r="I320" s="511"/>
      <c r="J320" s="511"/>
      <c r="K320" s="511"/>
      <c r="L320" s="511"/>
      <c r="M320" s="511"/>
      <c r="N320" s="511"/>
      <c r="O320" s="511"/>
      <c r="P320" s="511"/>
      <c r="Q320" s="511"/>
      <c r="R320" s="511"/>
      <c r="S320" s="511"/>
      <c r="T320" s="511"/>
      <c r="U320" s="511"/>
      <c r="V320" s="511"/>
      <c r="W320" s="511"/>
      <c r="X320" s="511"/>
      <c r="Y320" s="511"/>
      <c r="Z320" s="511"/>
      <c r="AA320" s="511"/>
      <c r="AB320" s="511"/>
      <c r="AC320" s="511"/>
      <c r="AD320" s="511"/>
      <c r="AE320" s="511"/>
      <c r="AF320" s="511"/>
      <c r="AG320" s="511"/>
      <c r="AH320" s="511"/>
      <c r="AI320" s="511"/>
      <c r="AJ320" s="511"/>
      <c r="AK320" s="511"/>
      <c r="AL320" s="511"/>
      <c r="AM320" s="511"/>
      <c r="AN320" s="511"/>
      <c r="AO320" s="511"/>
      <c r="AP320" s="511"/>
      <c r="AQ320" s="511"/>
      <c r="AR320" s="511"/>
      <c r="AS320" s="511"/>
      <c r="AT320" s="511"/>
      <c r="AU320" s="511"/>
      <c r="AV320" s="511"/>
      <c r="AW320" s="511"/>
      <c r="AX320" s="511"/>
      <c r="AY320" s="511"/>
      <c r="AZ320" s="511"/>
      <c r="BA320" s="511"/>
      <c r="BB320" s="511"/>
      <c r="BC320" s="511"/>
    </row>
    <row r="321" spans="1:55" ht="16.5" customHeight="1" x14ac:dyDescent="0.3">
      <c r="A321" s="511"/>
      <c r="B321" s="511"/>
      <c r="C321" s="511"/>
      <c r="D321" s="511"/>
      <c r="E321" s="511"/>
      <c r="F321" s="511"/>
      <c r="G321" s="511"/>
      <c r="H321" s="511"/>
      <c r="I321" s="511"/>
      <c r="J321" s="511"/>
      <c r="K321" s="511"/>
      <c r="L321" s="511"/>
      <c r="M321" s="511"/>
      <c r="N321" s="511"/>
      <c r="O321" s="511"/>
      <c r="P321" s="511"/>
      <c r="Q321" s="511"/>
      <c r="R321" s="511"/>
      <c r="S321" s="511"/>
      <c r="T321" s="511"/>
      <c r="U321" s="511"/>
      <c r="V321" s="511"/>
      <c r="W321" s="511"/>
      <c r="X321" s="511"/>
      <c r="Y321" s="511"/>
      <c r="Z321" s="511"/>
      <c r="AA321" s="511"/>
      <c r="AB321" s="511"/>
      <c r="AC321" s="511"/>
      <c r="AD321" s="511"/>
      <c r="AE321" s="511"/>
      <c r="AF321" s="511"/>
      <c r="AG321" s="511"/>
      <c r="AH321" s="511"/>
      <c r="AI321" s="511"/>
      <c r="AJ321" s="511"/>
      <c r="AK321" s="511"/>
      <c r="AL321" s="511"/>
      <c r="AM321" s="511"/>
      <c r="AN321" s="511"/>
      <c r="AO321" s="511"/>
      <c r="AP321" s="511"/>
      <c r="AQ321" s="511"/>
      <c r="AR321" s="511"/>
      <c r="AS321" s="511"/>
      <c r="AT321" s="511"/>
      <c r="AU321" s="511"/>
      <c r="AV321" s="511"/>
      <c r="AW321" s="511"/>
      <c r="AX321" s="511"/>
      <c r="AY321" s="511"/>
      <c r="AZ321" s="511"/>
      <c r="BA321" s="511"/>
      <c r="BB321" s="511"/>
      <c r="BC321" s="511"/>
    </row>
    <row r="322" spans="1:55" ht="16.5" customHeight="1" x14ac:dyDescent="0.3">
      <c r="A322" s="511"/>
      <c r="B322" s="511"/>
      <c r="C322" s="511"/>
      <c r="D322" s="511"/>
      <c r="E322" s="511"/>
      <c r="F322" s="511"/>
      <c r="G322" s="511"/>
      <c r="H322" s="511"/>
      <c r="I322" s="511"/>
      <c r="J322" s="511"/>
      <c r="K322" s="511"/>
      <c r="L322" s="511"/>
      <c r="M322" s="511"/>
      <c r="N322" s="511"/>
      <c r="O322" s="511"/>
      <c r="P322" s="511"/>
      <c r="Q322" s="511"/>
      <c r="R322" s="511"/>
      <c r="S322" s="511"/>
      <c r="T322" s="511"/>
      <c r="U322" s="511"/>
      <c r="V322" s="511"/>
      <c r="W322" s="511"/>
      <c r="X322" s="511"/>
      <c r="Y322" s="511"/>
      <c r="Z322" s="511"/>
      <c r="AA322" s="511"/>
      <c r="AB322" s="511"/>
      <c r="AC322" s="511"/>
      <c r="AD322" s="511"/>
      <c r="AE322" s="511"/>
      <c r="AF322" s="511"/>
      <c r="AG322" s="511"/>
      <c r="AH322" s="511"/>
      <c r="AI322" s="511"/>
      <c r="AJ322" s="511"/>
      <c r="AK322" s="511"/>
      <c r="AL322" s="511"/>
      <c r="AM322" s="511"/>
      <c r="AN322" s="511"/>
      <c r="AO322" s="511"/>
      <c r="AP322" s="511"/>
      <c r="AQ322" s="511"/>
      <c r="AR322" s="511"/>
      <c r="AS322" s="511"/>
      <c r="AT322" s="511"/>
      <c r="AU322" s="511"/>
      <c r="AV322" s="511"/>
      <c r="AW322" s="511"/>
      <c r="AX322" s="511"/>
      <c r="AY322" s="511"/>
      <c r="AZ322" s="511"/>
      <c r="BA322" s="511"/>
      <c r="BB322" s="511"/>
      <c r="BC322" s="511"/>
    </row>
    <row r="323" spans="1:55" ht="16.5" customHeight="1" x14ac:dyDescent="0.3">
      <c r="A323" s="511"/>
      <c r="B323" s="511"/>
      <c r="C323" s="511"/>
      <c r="D323" s="511"/>
      <c r="E323" s="511"/>
      <c r="F323" s="511"/>
      <c r="G323" s="511"/>
      <c r="H323" s="511"/>
      <c r="I323" s="511"/>
      <c r="J323" s="511"/>
      <c r="K323" s="511"/>
      <c r="L323" s="511"/>
      <c r="M323" s="511"/>
      <c r="N323" s="511"/>
      <c r="O323" s="511"/>
      <c r="P323" s="511"/>
      <c r="Q323" s="511"/>
      <c r="R323" s="511"/>
      <c r="S323" s="511"/>
      <c r="T323" s="511"/>
      <c r="U323" s="511"/>
      <c r="V323" s="511"/>
      <c r="W323" s="511"/>
      <c r="X323" s="511"/>
      <c r="Y323" s="511"/>
      <c r="Z323" s="511"/>
      <c r="AA323" s="511"/>
      <c r="AB323" s="511"/>
      <c r="AC323" s="511"/>
      <c r="AD323" s="511"/>
      <c r="AE323" s="511"/>
      <c r="AF323" s="511"/>
      <c r="AG323" s="511"/>
      <c r="AH323" s="511"/>
      <c r="AI323" s="511"/>
      <c r="AJ323" s="511"/>
      <c r="AK323" s="511"/>
      <c r="AL323" s="511"/>
      <c r="AM323" s="511"/>
      <c r="AN323" s="511"/>
      <c r="AO323" s="511"/>
      <c r="AP323" s="511"/>
      <c r="AQ323" s="511"/>
      <c r="AR323" s="511"/>
      <c r="AS323" s="511"/>
      <c r="AT323" s="511"/>
      <c r="AU323" s="511"/>
      <c r="AV323" s="511"/>
      <c r="AW323" s="511"/>
      <c r="AX323" s="511"/>
      <c r="AY323" s="511"/>
      <c r="AZ323" s="511"/>
      <c r="BA323" s="511"/>
      <c r="BB323" s="511"/>
      <c r="BC323" s="511"/>
    </row>
    <row r="324" spans="1:55" ht="16.5" customHeight="1" x14ac:dyDescent="0.3">
      <c r="A324" s="511"/>
      <c r="B324" s="511"/>
      <c r="C324" s="511"/>
      <c r="D324" s="511"/>
      <c r="E324" s="511"/>
      <c r="F324" s="511"/>
      <c r="G324" s="511"/>
      <c r="H324" s="511"/>
      <c r="I324" s="511"/>
      <c r="J324" s="511"/>
      <c r="K324" s="511"/>
      <c r="L324" s="511"/>
      <c r="M324" s="511"/>
      <c r="N324" s="511"/>
      <c r="O324" s="511"/>
      <c r="P324" s="511"/>
      <c r="Q324" s="511"/>
      <c r="R324" s="511"/>
      <c r="S324" s="511"/>
      <c r="T324" s="511"/>
      <c r="U324" s="511"/>
      <c r="V324" s="511"/>
      <c r="W324" s="511"/>
      <c r="X324" s="511"/>
      <c r="Y324" s="511"/>
      <c r="Z324" s="511"/>
      <c r="AA324" s="511"/>
      <c r="AB324" s="511"/>
      <c r="AC324" s="511"/>
      <c r="AD324" s="511"/>
      <c r="AE324" s="511"/>
      <c r="AF324" s="511"/>
      <c r="AG324" s="511"/>
      <c r="AH324" s="511"/>
      <c r="AI324" s="511"/>
      <c r="AJ324" s="511"/>
      <c r="AK324" s="511"/>
      <c r="AL324" s="511"/>
      <c r="AM324" s="511"/>
      <c r="AN324" s="511"/>
      <c r="AO324" s="511"/>
      <c r="AP324" s="511"/>
      <c r="AQ324" s="511"/>
      <c r="AR324" s="511"/>
      <c r="AS324" s="511"/>
      <c r="AT324" s="511"/>
      <c r="AU324" s="511"/>
      <c r="AV324" s="511"/>
      <c r="AW324" s="511"/>
      <c r="AX324" s="511"/>
      <c r="AY324" s="511"/>
      <c r="AZ324" s="511"/>
      <c r="BA324" s="511"/>
      <c r="BB324" s="511"/>
      <c r="BC324" s="511"/>
    </row>
    <row r="325" spans="1:55" ht="16.5" customHeight="1" x14ac:dyDescent="0.3">
      <c r="A325" s="511"/>
      <c r="B325" s="511"/>
      <c r="C325" s="511"/>
      <c r="D325" s="511"/>
      <c r="E325" s="511"/>
      <c r="F325" s="511"/>
      <c r="G325" s="511"/>
      <c r="H325" s="511"/>
      <c r="I325" s="511"/>
      <c r="J325" s="511"/>
      <c r="K325" s="511"/>
      <c r="L325" s="511"/>
      <c r="M325" s="511"/>
      <c r="N325" s="511"/>
      <c r="O325" s="511"/>
      <c r="P325" s="511"/>
      <c r="Q325" s="511"/>
      <c r="R325" s="511"/>
      <c r="S325" s="511"/>
      <c r="T325" s="511"/>
      <c r="U325" s="511"/>
      <c r="V325" s="511"/>
      <c r="W325" s="511"/>
      <c r="X325" s="511"/>
      <c r="Y325" s="511"/>
      <c r="Z325" s="511"/>
      <c r="AA325" s="511"/>
      <c r="AB325" s="511"/>
      <c r="AC325" s="511"/>
      <c r="AD325" s="511"/>
      <c r="AE325" s="511"/>
      <c r="AF325" s="511"/>
      <c r="AG325" s="511"/>
      <c r="AH325" s="511"/>
      <c r="AI325" s="511"/>
      <c r="AJ325" s="511"/>
      <c r="AK325" s="511"/>
      <c r="AL325" s="511"/>
      <c r="AM325" s="511"/>
      <c r="AN325" s="511"/>
      <c r="AO325" s="511"/>
      <c r="AP325" s="511"/>
      <c r="AQ325" s="511"/>
      <c r="AR325" s="511"/>
      <c r="AS325" s="511"/>
      <c r="AT325" s="511"/>
      <c r="AU325" s="511"/>
      <c r="AV325" s="511"/>
      <c r="AW325" s="511"/>
      <c r="AX325" s="511"/>
      <c r="AY325" s="511"/>
      <c r="AZ325" s="511"/>
      <c r="BA325" s="511"/>
      <c r="BB325" s="511"/>
      <c r="BC325" s="511"/>
    </row>
    <row r="326" spans="1:55" ht="16.5" customHeight="1" x14ac:dyDescent="0.3">
      <c r="A326" s="511"/>
      <c r="B326" s="511"/>
      <c r="C326" s="511"/>
      <c r="D326" s="511"/>
      <c r="E326" s="511"/>
      <c r="F326" s="511"/>
      <c r="G326" s="511"/>
      <c r="H326" s="511"/>
      <c r="I326" s="511"/>
      <c r="J326" s="511"/>
      <c r="K326" s="511"/>
      <c r="L326" s="511"/>
      <c r="M326" s="511"/>
      <c r="N326" s="511"/>
      <c r="O326" s="511"/>
      <c r="P326" s="511"/>
      <c r="Q326" s="511"/>
      <c r="R326" s="511"/>
      <c r="S326" s="511"/>
      <c r="T326" s="511"/>
      <c r="U326" s="511"/>
      <c r="V326" s="511"/>
      <c r="W326" s="511"/>
      <c r="X326" s="511"/>
      <c r="Y326" s="511"/>
      <c r="Z326" s="511"/>
      <c r="AA326" s="511"/>
      <c r="AB326" s="511"/>
      <c r="AC326" s="511"/>
      <c r="AD326" s="511"/>
      <c r="AE326" s="511"/>
      <c r="AF326" s="511"/>
      <c r="AG326" s="511"/>
      <c r="AH326" s="511"/>
      <c r="AI326" s="511"/>
      <c r="AJ326" s="511"/>
      <c r="AK326" s="511"/>
      <c r="AL326" s="511"/>
      <c r="AM326" s="511"/>
      <c r="AN326" s="511"/>
      <c r="AO326" s="511"/>
      <c r="AP326" s="511"/>
      <c r="AQ326" s="511"/>
      <c r="AR326" s="511"/>
      <c r="AS326" s="511"/>
      <c r="AT326" s="511"/>
      <c r="AU326" s="511"/>
      <c r="AV326" s="511"/>
      <c r="AW326" s="511"/>
      <c r="AX326" s="511"/>
      <c r="AY326" s="511"/>
      <c r="AZ326" s="511"/>
      <c r="BA326" s="511"/>
      <c r="BB326" s="511"/>
      <c r="BC326" s="511"/>
    </row>
    <row r="327" spans="1:55" ht="16.5" customHeight="1" x14ac:dyDescent="0.3">
      <c r="A327" s="511"/>
      <c r="B327" s="511"/>
      <c r="C327" s="511"/>
      <c r="D327" s="511"/>
      <c r="E327" s="511"/>
      <c r="F327" s="511"/>
      <c r="G327" s="511"/>
      <c r="H327" s="511"/>
      <c r="I327" s="511"/>
      <c r="J327" s="511"/>
      <c r="K327" s="511"/>
      <c r="L327" s="511"/>
      <c r="M327" s="511"/>
      <c r="N327" s="511"/>
      <c r="O327" s="511"/>
      <c r="P327" s="511"/>
      <c r="Q327" s="511"/>
      <c r="R327" s="511"/>
      <c r="S327" s="511"/>
      <c r="T327" s="511"/>
      <c r="U327" s="511"/>
      <c r="V327" s="511"/>
      <c r="W327" s="511"/>
      <c r="X327" s="511"/>
      <c r="Y327" s="511"/>
      <c r="Z327" s="511"/>
      <c r="AA327" s="511"/>
      <c r="AB327" s="511"/>
      <c r="AC327" s="511"/>
      <c r="AD327" s="511"/>
      <c r="AE327" s="511"/>
      <c r="AF327" s="511"/>
      <c r="AG327" s="511"/>
      <c r="AH327" s="511"/>
      <c r="AI327" s="511"/>
      <c r="AJ327" s="511"/>
      <c r="AK327" s="511"/>
      <c r="AL327" s="511"/>
      <c r="AM327" s="511"/>
      <c r="AN327" s="511"/>
      <c r="AO327" s="511"/>
      <c r="AP327" s="511"/>
      <c r="AQ327" s="511"/>
      <c r="AR327" s="511"/>
      <c r="AS327" s="511"/>
      <c r="AT327" s="511"/>
      <c r="AU327" s="511"/>
      <c r="AV327" s="511"/>
      <c r="AW327" s="511"/>
      <c r="AX327" s="511"/>
      <c r="AY327" s="511"/>
      <c r="AZ327" s="511"/>
      <c r="BA327" s="511"/>
      <c r="BB327" s="511"/>
      <c r="BC327" s="511"/>
    </row>
    <row r="328" spans="1:55" ht="16.5" customHeight="1" x14ac:dyDescent="0.3">
      <c r="A328" s="511"/>
      <c r="B328" s="511"/>
      <c r="C328" s="511"/>
      <c r="D328" s="511"/>
      <c r="E328" s="511"/>
      <c r="F328" s="511"/>
      <c r="G328" s="511"/>
      <c r="H328" s="511"/>
      <c r="I328" s="511"/>
      <c r="J328" s="511"/>
      <c r="K328" s="511"/>
      <c r="L328" s="511"/>
      <c r="M328" s="511"/>
      <c r="N328" s="511"/>
      <c r="O328" s="511"/>
      <c r="P328" s="511"/>
      <c r="Q328" s="511"/>
      <c r="R328" s="511"/>
      <c r="S328" s="511"/>
      <c r="T328" s="511"/>
      <c r="U328" s="511"/>
      <c r="V328" s="511"/>
      <c r="W328" s="511"/>
      <c r="X328" s="511"/>
      <c r="Y328" s="511"/>
      <c r="Z328" s="511"/>
      <c r="AA328" s="511"/>
      <c r="AB328" s="511"/>
      <c r="AC328" s="511"/>
      <c r="AD328" s="511"/>
      <c r="AE328" s="511"/>
      <c r="AF328" s="511"/>
      <c r="AG328" s="511"/>
      <c r="AH328" s="511"/>
      <c r="AI328" s="511"/>
      <c r="AJ328" s="511"/>
      <c r="AK328" s="511"/>
      <c r="AL328" s="511"/>
      <c r="AM328" s="511"/>
      <c r="AN328" s="511"/>
      <c r="AO328" s="511"/>
      <c r="AP328" s="511"/>
      <c r="AQ328" s="511"/>
      <c r="AR328" s="511"/>
      <c r="AS328" s="511"/>
      <c r="AT328" s="511"/>
      <c r="AU328" s="511"/>
      <c r="AV328" s="511"/>
      <c r="AW328" s="511"/>
      <c r="AX328" s="511"/>
      <c r="AY328" s="511"/>
      <c r="AZ328" s="511"/>
      <c r="BA328" s="511"/>
      <c r="BB328" s="511"/>
      <c r="BC328" s="511"/>
    </row>
    <row r="329" spans="1:55" ht="16.5" customHeight="1" x14ac:dyDescent="0.3">
      <c r="A329" s="511"/>
      <c r="B329" s="511"/>
      <c r="C329" s="511"/>
      <c r="D329" s="511"/>
      <c r="E329" s="511"/>
      <c r="F329" s="511"/>
      <c r="G329" s="511"/>
      <c r="H329" s="511"/>
      <c r="I329" s="511"/>
      <c r="J329" s="511"/>
      <c r="K329" s="511"/>
      <c r="L329" s="511"/>
      <c r="M329" s="511"/>
      <c r="N329" s="511"/>
      <c r="O329" s="511"/>
      <c r="P329" s="511"/>
      <c r="Q329" s="511"/>
      <c r="R329" s="511"/>
      <c r="S329" s="511"/>
      <c r="T329" s="511"/>
      <c r="U329" s="511"/>
      <c r="V329" s="511"/>
      <c r="W329" s="511"/>
      <c r="X329" s="511"/>
      <c r="Y329" s="511"/>
      <c r="Z329" s="511"/>
      <c r="AA329" s="511"/>
      <c r="AB329" s="511"/>
      <c r="AC329" s="511"/>
      <c r="AD329" s="511"/>
      <c r="AE329" s="511"/>
      <c r="AF329" s="511"/>
      <c r="AG329" s="511"/>
      <c r="AH329" s="511"/>
      <c r="AI329" s="511"/>
      <c r="AJ329" s="511"/>
      <c r="AK329" s="511"/>
      <c r="AL329" s="511"/>
      <c r="AM329" s="511"/>
      <c r="AN329" s="511"/>
      <c r="AO329" s="511"/>
      <c r="AP329" s="511"/>
      <c r="AQ329" s="511"/>
      <c r="AR329" s="511"/>
      <c r="AS329" s="511"/>
      <c r="AT329" s="511"/>
      <c r="AU329" s="511"/>
      <c r="AV329" s="511"/>
      <c r="AW329" s="511"/>
      <c r="AX329" s="511"/>
      <c r="AY329" s="511"/>
      <c r="AZ329" s="511"/>
      <c r="BA329" s="511"/>
      <c r="BB329" s="511"/>
      <c r="BC329" s="511"/>
    </row>
    <row r="330" spans="1:55" ht="16.5" customHeight="1" x14ac:dyDescent="0.3">
      <c r="A330" s="511"/>
      <c r="B330" s="511"/>
      <c r="C330" s="511"/>
      <c r="D330" s="511"/>
      <c r="E330" s="511"/>
      <c r="F330" s="511"/>
      <c r="G330" s="511"/>
      <c r="H330" s="511"/>
      <c r="I330" s="511"/>
      <c r="J330" s="511"/>
      <c r="K330" s="511"/>
      <c r="L330" s="511"/>
      <c r="M330" s="511"/>
      <c r="N330" s="511"/>
      <c r="O330" s="511"/>
      <c r="P330" s="511"/>
      <c r="Q330" s="511"/>
      <c r="R330" s="511"/>
      <c r="S330" s="511"/>
      <c r="T330" s="511"/>
      <c r="U330" s="511"/>
      <c r="V330" s="511"/>
      <c r="W330" s="511"/>
      <c r="X330" s="511"/>
      <c r="Y330" s="511"/>
      <c r="Z330" s="511"/>
      <c r="AA330" s="511"/>
      <c r="AB330" s="511"/>
      <c r="AC330" s="511"/>
      <c r="AD330" s="511"/>
      <c r="AE330" s="511"/>
      <c r="AF330" s="511"/>
      <c r="AG330" s="511"/>
      <c r="AH330" s="511"/>
      <c r="AI330" s="511"/>
      <c r="AJ330" s="511"/>
      <c r="AK330" s="511"/>
      <c r="AL330" s="511"/>
      <c r="AM330" s="511"/>
      <c r="AN330" s="511"/>
      <c r="AO330" s="511"/>
      <c r="AP330" s="511"/>
      <c r="AQ330" s="511"/>
      <c r="AR330" s="511"/>
      <c r="AS330" s="511"/>
      <c r="AT330" s="511"/>
      <c r="AU330" s="511"/>
      <c r="AV330" s="511"/>
      <c r="AW330" s="511"/>
      <c r="AX330" s="511"/>
      <c r="AY330" s="511"/>
      <c r="AZ330" s="511"/>
      <c r="BA330" s="511"/>
      <c r="BB330" s="511"/>
      <c r="BC330" s="511"/>
    </row>
    <row r="331" spans="1:55" ht="16.5" customHeight="1" x14ac:dyDescent="0.3">
      <c r="A331" s="511"/>
      <c r="B331" s="511"/>
      <c r="C331" s="511"/>
      <c r="D331" s="511"/>
      <c r="E331" s="511"/>
      <c r="F331" s="511"/>
      <c r="G331" s="511"/>
      <c r="H331" s="511"/>
      <c r="I331" s="511"/>
      <c r="J331" s="511"/>
      <c r="K331" s="511"/>
      <c r="L331" s="511"/>
      <c r="M331" s="511"/>
      <c r="N331" s="511"/>
      <c r="O331" s="511"/>
      <c r="P331" s="511"/>
      <c r="Q331" s="511"/>
      <c r="R331" s="511"/>
      <c r="S331" s="511"/>
      <c r="T331" s="511"/>
      <c r="U331" s="511"/>
      <c r="V331" s="511"/>
      <c r="W331" s="511"/>
      <c r="X331" s="511"/>
      <c r="Y331" s="511"/>
      <c r="Z331" s="511"/>
      <c r="AA331" s="511"/>
      <c r="AB331" s="511"/>
      <c r="AC331" s="511"/>
      <c r="AD331" s="511"/>
      <c r="AE331" s="511"/>
      <c r="AF331" s="511"/>
      <c r="AG331" s="511"/>
      <c r="AH331" s="511"/>
      <c r="AI331" s="511"/>
      <c r="AJ331" s="511"/>
      <c r="AK331" s="511"/>
      <c r="AL331" s="511"/>
      <c r="AM331" s="511"/>
      <c r="AN331" s="511"/>
      <c r="AO331" s="511"/>
      <c r="AP331" s="511"/>
      <c r="AQ331" s="511"/>
      <c r="AR331" s="511"/>
      <c r="AS331" s="511"/>
      <c r="AT331" s="511"/>
      <c r="AU331" s="511"/>
      <c r="AV331" s="511"/>
      <c r="AW331" s="511"/>
      <c r="AX331" s="511"/>
      <c r="AY331" s="511"/>
      <c r="AZ331" s="511"/>
      <c r="BA331" s="511"/>
      <c r="BB331" s="511"/>
      <c r="BC331" s="511"/>
    </row>
    <row r="332" spans="1:55" ht="16.5" customHeight="1" x14ac:dyDescent="0.3">
      <c r="A332" s="511"/>
      <c r="B332" s="511"/>
      <c r="C332" s="511"/>
      <c r="D332" s="511"/>
      <c r="E332" s="511"/>
      <c r="F332" s="511"/>
      <c r="G332" s="511"/>
      <c r="H332" s="511"/>
      <c r="I332" s="511"/>
      <c r="J332" s="511"/>
      <c r="K332" s="511"/>
      <c r="L332" s="511"/>
      <c r="M332" s="511"/>
      <c r="N332" s="511"/>
      <c r="O332" s="511"/>
      <c r="P332" s="511"/>
      <c r="Q332" s="511"/>
      <c r="R332" s="511"/>
      <c r="S332" s="511"/>
      <c r="T332" s="511"/>
      <c r="U332" s="511"/>
      <c r="V332" s="511"/>
      <c r="W332" s="511"/>
      <c r="X332" s="511"/>
      <c r="Y332" s="511"/>
      <c r="Z332" s="511"/>
      <c r="AA332" s="511"/>
      <c r="AB332" s="511"/>
      <c r="AC332" s="511"/>
      <c r="AD332" s="511"/>
      <c r="AE332" s="511"/>
      <c r="AF332" s="511"/>
      <c r="AG332" s="511"/>
      <c r="AH332" s="511"/>
      <c r="AI332" s="511"/>
      <c r="AJ332" s="511"/>
      <c r="AK332" s="511"/>
      <c r="AL332" s="511"/>
      <c r="AM332" s="511"/>
      <c r="AN332" s="511"/>
      <c r="AO332" s="511"/>
      <c r="AP332" s="511"/>
      <c r="AQ332" s="511"/>
      <c r="AR332" s="511"/>
      <c r="AS332" s="511"/>
      <c r="AT332" s="511"/>
      <c r="AU332" s="511"/>
      <c r="AV332" s="511"/>
      <c r="AW332" s="511"/>
      <c r="AX332" s="511"/>
      <c r="AY332" s="511"/>
      <c r="AZ332" s="511"/>
      <c r="BA332" s="511"/>
      <c r="BB332" s="511"/>
      <c r="BC332" s="511"/>
    </row>
    <row r="333" spans="1:55" ht="16.5" customHeight="1" x14ac:dyDescent="0.3">
      <c r="A333" s="511"/>
      <c r="B333" s="511"/>
      <c r="C333" s="511"/>
      <c r="D333" s="511"/>
      <c r="E333" s="511"/>
      <c r="F333" s="511"/>
      <c r="G333" s="511"/>
      <c r="H333" s="511"/>
      <c r="I333" s="511"/>
      <c r="J333" s="511"/>
      <c r="K333" s="511"/>
      <c r="L333" s="511"/>
      <c r="M333" s="511"/>
      <c r="N333" s="511"/>
      <c r="O333" s="511"/>
      <c r="P333" s="511"/>
      <c r="Q333" s="511"/>
      <c r="R333" s="511"/>
      <c r="S333" s="511"/>
      <c r="T333" s="511"/>
      <c r="U333" s="511"/>
      <c r="V333" s="511"/>
      <c r="W333" s="511"/>
      <c r="X333" s="511"/>
      <c r="Y333" s="511"/>
      <c r="Z333" s="511"/>
      <c r="AA333" s="511"/>
      <c r="AB333" s="511"/>
      <c r="AC333" s="511"/>
      <c r="AD333" s="511"/>
      <c r="AE333" s="511"/>
      <c r="AF333" s="511"/>
      <c r="AG333" s="511"/>
      <c r="AH333" s="511"/>
      <c r="AI333" s="511"/>
      <c r="AJ333" s="511"/>
      <c r="AK333" s="511"/>
      <c r="AL333" s="511"/>
      <c r="AM333" s="511"/>
      <c r="AN333" s="511"/>
      <c r="AO333" s="511"/>
      <c r="AP333" s="511"/>
      <c r="AQ333" s="511"/>
      <c r="AR333" s="511"/>
      <c r="AS333" s="511"/>
      <c r="AT333" s="511"/>
      <c r="AU333" s="511"/>
      <c r="AV333" s="511"/>
      <c r="AW333" s="511"/>
      <c r="AX333" s="511"/>
      <c r="AY333" s="511"/>
      <c r="AZ333" s="511"/>
      <c r="BA333" s="511"/>
      <c r="BB333" s="511"/>
      <c r="BC333" s="511"/>
    </row>
    <row r="334" spans="1:55" ht="16.5" customHeight="1" x14ac:dyDescent="0.3">
      <c r="A334" s="511"/>
      <c r="B334" s="511"/>
      <c r="C334" s="511"/>
      <c r="D334" s="511"/>
      <c r="E334" s="511"/>
      <c r="F334" s="511"/>
      <c r="G334" s="511"/>
      <c r="H334" s="511"/>
      <c r="I334" s="511"/>
      <c r="J334" s="511"/>
      <c r="K334" s="511"/>
      <c r="L334" s="511"/>
      <c r="M334" s="511"/>
      <c r="N334" s="511"/>
      <c r="O334" s="511"/>
      <c r="P334" s="511"/>
      <c r="Q334" s="511"/>
      <c r="R334" s="511"/>
      <c r="S334" s="511"/>
      <c r="T334" s="511"/>
      <c r="U334" s="511"/>
      <c r="V334" s="511"/>
      <c r="W334" s="511"/>
      <c r="X334" s="511"/>
      <c r="Y334" s="511"/>
      <c r="Z334" s="511"/>
      <c r="AA334" s="511"/>
      <c r="AB334" s="511"/>
      <c r="AC334" s="511"/>
      <c r="AD334" s="511"/>
      <c r="AE334" s="511"/>
      <c r="AF334" s="511"/>
      <c r="AG334" s="511"/>
      <c r="AH334" s="511"/>
      <c r="AI334" s="511"/>
      <c r="AJ334" s="511"/>
      <c r="AK334" s="511"/>
      <c r="AL334" s="511"/>
      <c r="AM334" s="511"/>
      <c r="AN334" s="511"/>
      <c r="AO334" s="511"/>
      <c r="AP334" s="511"/>
      <c r="AQ334" s="511"/>
      <c r="AR334" s="511"/>
      <c r="AS334" s="511"/>
      <c r="AT334" s="511"/>
      <c r="AU334" s="511"/>
      <c r="AV334" s="511"/>
      <c r="AW334" s="511"/>
      <c r="AX334" s="511"/>
      <c r="AY334" s="511"/>
      <c r="AZ334" s="511"/>
      <c r="BA334" s="511"/>
      <c r="BB334" s="511"/>
      <c r="BC334" s="511"/>
    </row>
    <row r="335" spans="1:55" ht="16.5" customHeight="1" x14ac:dyDescent="0.3">
      <c r="A335" s="511"/>
      <c r="B335" s="511"/>
      <c r="C335" s="511"/>
      <c r="D335" s="511"/>
      <c r="E335" s="511"/>
      <c r="F335" s="511"/>
      <c r="G335" s="511"/>
      <c r="H335" s="511"/>
      <c r="I335" s="511"/>
      <c r="J335" s="511"/>
      <c r="K335" s="511"/>
      <c r="L335" s="511"/>
      <c r="M335" s="511"/>
      <c r="N335" s="511"/>
      <c r="O335" s="511"/>
      <c r="P335" s="511"/>
      <c r="Q335" s="511"/>
      <c r="R335" s="511"/>
      <c r="S335" s="511"/>
      <c r="T335" s="511"/>
      <c r="U335" s="511"/>
      <c r="V335" s="511"/>
      <c r="W335" s="511"/>
      <c r="X335" s="511"/>
      <c r="Y335" s="511"/>
      <c r="Z335" s="511"/>
      <c r="AA335" s="511"/>
      <c r="AB335" s="511"/>
      <c r="AC335" s="511"/>
      <c r="AD335" s="511"/>
      <c r="AE335" s="511"/>
      <c r="AF335" s="511"/>
      <c r="AG335" s="511"/>
      <c r="AH335" s="511"/>
      <c r="AI335" s="511"/>
      <c r="AJ335" s="511"/>
      <c r="AK335" s="511"/>
      <c r="AL335" s="511"/>
      <c r="AM335" s="511"/>
      <c r="AN335" s="511"/>
      <c r="AO335" s="511"/>
      <c r="AP335" s="511"/>
      <c r="AQ335" s="511"/>
      <c r="AR335" s="511"/>
      <c r="AS335" s="511"/>
      <c r="AT335" s="511"/>
      <c r="AU335" s="511"/>
      <c r="AV335" s="511"/>
      <c r="AW335" s="511"/>
      <c r="AX335" s="511"/>
      <c r="AY335" s="511"/>
      <c r="AZ335" s="511"/>
      <c r="BA335" s="511"/>
      <c r="BB335" s="511"/>
      <c r="BC335" s="511"/>
    </row>
    <row r="336" spans="1:55" ht="16.5" customHeight="1" x14ac:dyDescent="0.3">
      <c r="A336" s="511"/>
      <c r="B336" s="511"/>
      <c r="C336" s="511"/>
      <c r="D336" s="511"/>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511"/>
      <c r="AE336" s="511"/>
      <c r="AF336" s="511"/>
      <c r="AG336" s="511"/>
      <c r="AH336" s="511"/>
      <c r="AI336" s="511"/>
      <c r="AJ336" s="511"/>
      <c r="AK336" s="511"/>
      <c r="AL336" s="511"/>
      <c r="AM336" s="511"/>
      <c r="AN336" s="511"/>
      <c r="AO336" s="511"/>
      <c r="AP336" s="511"/>
      <c r="AQ336" s="511"/>
      <c r="AR336" s="511"/>
      <c r="AS336" s="511"/>
      <c r="AT336" s="511"/>
      <c r="AU336" s="511"/>
      <c r="AV336" s="511"/>
      <c r="AW336" s="511"/>
      <c r="AX336" s="511"/>
      <c r="AY336" s="511"/>
      <c r="AZ336" s="511"/>
      <c r="BA336" s="511"/>
      <c r="BB336" s="511"/>
      <c r="BC336" s="511"/>
    </row>
    <row r="337" spans="1:55" ht="16.5" customHeight="1" x14ac:dyDescent="0.3">
      <c r="A337" s="511"/>
      <c r="B337" s="511"/>
      <c r="C337" s="511"/>
      <c r="D337" s="511"/>
      <c r="E337" s="511"/>
      <c r="F337" s="511"/>
      <c r="G337" s="511"/>
      <c r="H337" s="511"/>
      <c r="I337" s="511"/>
      <c r="J337" s="511"/>
      <c r="K337" s="511"/>
      <c r="L337" s="511"/>
      <c r="M337" s="511"/>
      <c r="N337" s="511"/>
      <c r="O337" s="511"/>
      <c r="P337" s="511"/>
      <c r="Q337" s="511"/>
      <c r="R337" s="511"/>
      <c r="S337" s="511"/>
      <c r="T337" s="511"/>
      <c r="U337" s="511"/>
      <c r="V337" s="511"/>
      <c r="W337" s="511"/>
      <c r="X337" s="511"/>
      <c r="Y337" s="511"/>
      <c r="Z337" s="511"/>
      <c r="AA337" s="511"/>
      <c r="AB337" s="511"/>
      <c r="AC337" s="511"/>
      <c r="AD337" s="511"/>
      <c r="AE337" s="511"/>
      <c r="AF337" s="511"/>
      <c r="AG337" s="511"/>
      <c r="AH337" s="511"/>
      <c r="AI337" s="511"/>
      <c r="AJ337" s="511"/>
      <c r="AK337" s="511"/>
      <c r="AL337" s="511"/>
      <c r="AM337" s="511"/>
      <c r="AN337" s="511"/>
      <c r="AO337" s="511"/>
      <c r="AP337" s="511"/>
      <c r="AQ337" s="511"/>
      <c r="AR337" s="511"/>
      <c r="AS337" s="511"/>
      <c r="AT337" s="511"/>
      <c r="AU337" s="511"/>
      <c r="AV337" s="511"/>
      <c r="AW337" s="511"/>
      <c r="AX337" s="511"/>
      <c r="AY337" s="511"/>
      <c r="AZ337" s="511"/>
      <c r="BA337" s="511"/>
      <c r="BB337" s="511"/>
      <c r="BC337" s="511"/>
    </row>
    <row r="338" spans="1:55" ht="16.5" customHeight="1" x14ac:dyDescent="0.3">
      <c r="A338" s="511"/>
      <c r="B338" s="511"/>
      <c r="C338" s="511"/>
      <c r="D338" s="511"/>
      <c r="E338" s="511"/>
      <c r="F338" s="511"/>
      <c r="G338" s="511"/>
      <c r="H338" s="511"/>
      <c r="I338" s="511"/>
      <c r="J338" s="511"/>
      <c r="K338" s="511"/>
      <c r="L338" s="511"/>
      <c r="M338" s="511"/>
      <c r="N338" s="511"/>
      <c r="O338" s="511"/>
      <c r="P338" s="511"/>
      <c r="Q338" s="511"/>
      <c r="R338" s="511"/>
      <c r="S338" s="511"/>
      <c r="T338" s="511"/>
      <c r="U338" s="511"/>
      <c r="V338" s="511"/>
      <c r="W338" s="511"/>
      <c r="X338" s="511"/>
      <c r="Y338" s="511"/>
      <c r="Z338" s="511"/>
      <c r="AA338" s="511"/>
      <c r="AB338" s="511"/>
      <c r="AC338" s="511"/>
      <c r="AD338" s="511"/>
      <c r="AE338" s="511"/>
      <c r="AF338" s="511"/>
      <c r="AG338" s="511"/>
      <c r="AH338" s="511"/>
      <c r="AI338" s="511"/>
      <c r="AJ338" s="511"/>
      <c r="AK338" s="511"/>
      <c r="AL338" s="511"/>
      <c r="AM338" s="511"/>
      <c r="AN338" s="511"/>
      <c r="AO338" s="511"/>
      <c r="AP338" s="511"/>
      <c r="AQ338" s="511"/>
      <c r="AR338" s="511"/>
      <c r="AS338" s="511"/>
      <c r="AT338" s="511"/>
      <c r="AU338" s="511"/>
      <c r="AV338" s="511"/>
      <c r="AW338" s="511"/>
      <c r="AX338" s="511"/>
      <c r="AY338" s="511"/>
      <c r="AZ338" s="511"/>
      <c r="BA338" s="511"/>
      <c r="BB338" s="511"/>
      <c r="BC338" s="511"/>
    </row>
    <row r="339" spans="1:55" ht="16.5" customHeight="1" x14ac:dyDescent="0.3">
      <c r="A339" s="511"/>
      <c r="B339" s="511"/>
      <c r="C339" s="511"/>
      <c r="D339" s="511"/>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c r="AF339" s="511"/>
      <c r="AG339" s="511"/>
      <c r="AH339" s="511"/>
      <c r="AI339" s="511"/>
      <c r="AJ339" s="511"/>
      <c r="AK339" s="511"/>
      <c r="AL339" s="511"/>
      <c r="AM339" s="511"/>
      <c r="AN339" s="511"/>
      <c r="AO339" s="511"/>
      <c r="AP339" s="511"/>
      <c r="AQ339" s="511"/>
      <c r="AR339" s="511"/>
      <c r="AS339" s="511"/>
      <c r="AT339" s="511"/>
      <c r="AU339" s="511"/>
      <c r="AV339" s="511"/>
      <c r="AW339" s="511"/>
      <c r="AX339" s="511"/>
      <c r="AY339" s="511"/>
      <c r="AZ339" s="511"/>
      <c r="BA339" s="511"/>
      <c r="BB339" s="511"/>
      <c r="BC339" s="511"/>
    </row>
    <row r="340" spans="1:55" ht="16.5" customHeight="1" x14ac:dyDescent="0.3">
      <c r="A340" s="511"/>
      <c r="B340" s="511"/>
      <c r="C340" s="511"/>
      <c r="D340" s="511"/>
      <c r="E340" s="511"/>
      <c r="F340" s="511"/>
      <c r="G340" s="511"/>
      <c r="H340" s="511"/>
      <c r="I340" s="511"/>
      <c r="J340" s="511"/>
      <c r="K340" s="511"/>
      <c r="L340" s="511"/>
      <c r="M340" s="511"/>
      <c r="N340" s="511"/>
      <c r="O340" s="511"/>
      <c r="P340" s="511"/>
      <c r="Q340" s="511"/>
      <c r="R340" s="511"/>
      <c r="S340" s="511"/>
      <c r="T340" s="511"/>
      <c r="U340" s="511"/>
      <c r="V340" s="511"/>
      <c r="W340" s="511"/>
      <c r="X340" s="511"/>
      <c r="Y340" s="511"/>
      <c r="Z340" s="511"/>
      <c r="AA340" s="511"/>
      <c r="AB340" s="511"/>
      <c r="AC340" s="511"/>
      <c r="AD340" s="511"/>
      <c r="AE340" s="511"/>
      <c r="AF340" s="511"/>
      <c r="AG340" s="511"/>
      <c r="AH340" s="511"/>
      <c r="AI340" s="511"/>
      <c r="AJ340" s="511"/>
      <c r="AK340" s="511"/>
      <c r="AL340" s="511"/>
      <c r="AM340" s="511"/>
      <c r="AN340" s="511"/>
      <c r="AO340" s="511"/>
      <c r="AP340" s="511"/>
      <c r="AQ340" s="511"/>
      <c r="AR340" s="511"/>
      <c r="AS340" s="511"/>
      <c r="AT340" s="511"/>
      <c r="AU340" s="511"/>
      <c r="AV340" s="511"/>
      <c r="AW340" s="511"/>
      <c r="AX340" s="511"/>
      <c r="AY340" s="511"/>
      <c r="AZ340" s="511"/>
      <c r="BA340" s="511"/>
      <c r="BB340" s="511"/>
      <c r="BC340" s="511"/>
    </row>
    <row r="341" spans="1:55" ht="16.5" customHeight="1" x14ac:dyDescent="0.3">
      <c r="A341" s="511"/>
      <c r="B341" s="511"/>
      <c r="C341" s="511"/>
      <c r="D341" s="511"/>
      <c r="E341" s="511"/>
      <c r="F341" s="511"/>
      <c r="G341" s="511"/>
      <c r="H341" s="511"/>
      <c r="I341" s="511"/>
      <c r="J341" s="511"/>
      <c r="K341" s="511"/>
      <c r="L341" s="511"/>
      <c r="M341" s="511"/>
      <c r="N341" s="511"/>
      <c r="O341" s="511"/>
      <c r="P341" s="511"/>
      <c r="Q341" s="511"/>
      <c r="R341" s="511"/>
      <c r="S341" s="511"/>
      <c r="T341" s="511"/>
      <c r="U341" s="511"/>
      <c r="V341" s="511"/>
      <c r="W341" s="511"/>
      <c r="X341" s="511"/>
      <c r="Y341" s="511"/>
      <c r="Z341" s="511"/>
      <c r="AA341" s="511"/>
      <c r="AB341" s="511"/>
      <c r="AC341" s="511"/>
      <c r="AD341" s="511"/>
      <c r="AE341" s="511"/>
      <c r="AF341" s="511"/>
      <c r="AG341" s="511"/>
      <c r="AH341" s="511"/>
      <c r="AI341" s="511"/>
      <c r="AJ341" s="511"/>
      <c r="AK341" s="511"/>
      <c r="AL341" s="511"/>
      <c r="AM341" s="511"/>
      <c r="AN341" s="511"/>
      <c r="AO341" s="511"/>
      <c r="AP341" s="511"/>
      <c r="AQ341" s="511"/>
      <c r="AR341" s="511"/>
      <c r="AS341" s="511"/>
      <c r="AT341" s="511"/>
      <c r="AU341" s="511"/>
      <c r="AV341" s="511"/>
      <c r="AW341" s="511"/>
      <c r="AX341" s="511"/>
      <c r="AY341" s="511"/>
      <c r="AZ341" s="511"/>
      <c r="BA341" s="511"/>
      <c r="BB341" s="511"/>
      <c r="BC341" s="511"/>
    </row>
    <row r="342" spans="1:55" ht="16.5" customHeight="1" x14ac:dyDescent="0.3">
      <c r="A342" s="511"/>
      <c r="B342" s="511"/>
      <c r="C342" s="511"/>
      <c r="D342" s="511"/>
      <c r="E342" s="511"/>
      <c r="F342" s="511"/>
      <c r="G342" s="511"/>
      <c r="H342" s="511"/>
      <c r="I342" s="511"/>
      <c r="J342" s="511"/>
      <c r="K342" s="511"/>
      <c r="L342" s="511"/>
      <c r="M342" s="511"/>
      <c r="N342" s="511"/>
      <c r="O342" s="511"/>
      <c r="P342" s="511"/>
      <c r="Q342" s="511"/>
      <c r="R342" s="511"/>
      <c r="S342" s="511"/>
      <c r="T342" s="511"/>
      <c r="U342" s="511"/>
      <c r="V342" s="511"/>
      <c r="W342" s="511"/>
      <c r="X342" s="511"/>
      <c r="Y342" s="511"/>
      <c r="Z342" s="511"/>
      <c r="AA342" s="511"/>
      <c r="AB342" s="511"/>
      <c r="AC342" s="511"/>
      <c r="AD342" s="511"/>
      <c r="AE342" s="511"/>
      <c r="AF342" s="511"/>
      <c r="AG342" s="511"/>
      <c r="AH342" s="511"/>
      <c r="AI342" s="511"/>
      <c r="AJ342" s="511"/>
      <c r="AK342" s="511"/>
      <c r="AL342" s="511"/>
      <c r="AM342" s="511"/>
      <c r="AN342" s="511"/>
      <c r="AO342" s="511"/>
      <c r="AP342" s="511"/>
      <c r="AQ342" s="511"/>
      <c r="AR342" s="511"/>
      <c r="AS342" s="511"/>
      <c r="AT342" s="511"/>
      <c r="AU342" s="511"/>
      <c r="AV342" s="511"/>
      <c r="AW342" s="511"/>
      <c r="AX342" s="511"/>
      <c r="AY342" s="511"/>
      <c r="AZ342" s="511"/>
      <c r="BA342" s="511"/>
      <c r="BB342" s="511"/>
      <c r="BC342" s="511"/>
    </row>
    <row r="343" spans="1:55" ht="16.5" customHeight="1" x14ac:dyDescent="0.3">
      <c r="A343" s="511"/>
      <c r="B343" s="511"/>
      <c r="C343" s="511"/>
      <c r="D343" s="511"/>
      <c r="E343" s="511"/>
      <c r="F343" s="511"/>
      <c r="G343" s="511"/>
      <c r="H343" s="511"/>
      <c r="I343" s="511"/>
      <c r="J343" s="511"/>
      <c r="K343" s="511"/>
      <c r="L343" s="511"/>
      <c r="M343" s="511"/>
      <c r="N343" s="511"/>
      <c r="O343" s="511"/>
      <c r="P343" s="511"/>
      <c r="Q343" s="511"/>
      <c r="R343" s="511"/>
      <c r="S343" s="511"/>
      <c r="T343" s="511"/>
      <c r="U343" s="511"/>
      <c r="V343" s="511"/>
      <c r="W343" s="511"/>
      <c r="X343" s="511"/>
      <c r="Y343" s="511"/>
      <c r="Z343" s="511"/>
      <c r="AA343" s="511"/>
      <c r="AB343" s="511"/>
      <c r="AC343" s="511"/>
      <c r="AD343" s="511"/>
      <c r="AE343" s="511"/>
      <c r="AF343" s="511"/>
      <c r="AG343" s="511"/>
      <c r="AH343" s="511"/>
      <c r="AI343" s="511"/>
      <c r="AJ343" s="511"/>
      <c r="AK343" s="511"/>
      <c r="AL343" s="511"/>
      <c r="AM343" s="511"/>
      <c r="AN343" s="511"/>
      <c r="AO343" s="511"/>
      <c r="AP343" s="511"/>
      <c r="AQ343" s="511"/>
      <c r="AR343" s="511"/>
      <c r="AS343" s="511"/>
      <c r="AT343" s="511"/>
      <c r="AU343" s="511"/>
      <c r="AV343" s="511"/>
      <c r="AW343" s="511"/>
      <c r="AX343" s="511"/>
      <c r="AY343" s="511"/>
      <c r="AZ343" s="511"/>
      <c r="BA343" s="511"/>
      <c r="BB343" s="511"/>
      <c r="BC343" s="511"/>
    </row>
    <row r="344" spans="1:55" ht="16.5" customHeight="1" x14ac:dyDescent="0.3">
      <c r="A344" s="511"/>
      <c r="B344" s="511"/>
      <c r="C344" s="511"/>
      <c r="D344" s="511"/>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c r="AA344" s="511"/>
      <c r="AB344" s="511"/>
      <c r="AC344" s="511"/>
      <c r="AD344" s="511"/>
      <c r="AE344" s="511"/>
      <c r="AF344" s="511"/>
      <c r="AG344" s="511"/>
      <c r="AH344" s="511"/>
      <c r="AI344" s="511"/>
      <c r="AJ344" s="511"/>
      <c r="AK344" s="511"/>
      <c r="AL344" s="511"/>
      <c r="AM344" s="511"/>
      <c r="AN344" s="511"/>
      <c r="AO344" s="511"/>
      <c r="AP344" s="511"/>
      <c r="AQ344" s="511"/>
      <c r="AR344" s="511"/>
      <c r="AS344" s="511"/>
      <c r="AT344" s="511"/>
      <c r="AU344" s="511"/>
      <c r="AV344" s="511"/>
      <c r="AW344" s="511"/>
      <c r="AX344" s="511"/>
      <c r="AY344" s="511"/>
      <c r="AZ344" s="511"/>
      <c r="BA344" s="511"/>
      <c r="BB344" s="511"/>
      <c r="BC344" s="511"/>
    </row>
    <row r="345" spans="1:55" ht="16.5" customHeight="1" x14ac:dyDescent="0.3">
      <c r="A345" s="511"/>
      <c r="B345" s="511"/>
      <c r="C345" s="511"/>
      <c r="D345" s="511"/>
      <c r="E345" s="511"/>
      <c r="F345" s="511"/>
      <c r="G345" s="511"/>
      <c r="H345" s="511"/>
      <c r="I345" s="511"/>
      <c r="J345" s="511"/>
      <c r="K345" s="511"/>
      <c r="L345" s="511"/>
      <c r="M345" s="511"/>
      <c r="N345" s="511"/>
      <c r="O345" s="511"/>
      <c r="P345" s="511"/>
      <c r="Q345" s="511"/>
      <c r="R345" s="511"/>
      <c r="S345" s="511"/>
      <c r="T345" s="511"/>
      <c r="U345" s="511"/>
      <c r="V345" s="511"/>
      <c r="W345" s="511"/>
      <c r="X345" s="511"/>
      <c r="Y345" s="511"/>
      <c r="Z345" s="511"/>
      <c r="AA345" s="511"/>
      <c r="AB345" s="511"/>
      <c r="AC345" s="511"/>
      <c r="AD345" s="511"/>
      <c r="AE345" s="511"/>
      <c r="AF345" s="511"/>
      <c r="AG345" s="511"/>
      <c r="AH345" s="511"/>
      <c r="AI345" s="511"/>
      <c r="AJ345" s="511"/>
      <c r="AK345" s="511"/>
      <c r="AL345" s="511"/>
      <c r="AM345" s="511"/>
      <c r="AN345" s="511"/>
      <c r="AO345" s="511"/>
      <c r="AP345" s="511"/>
      <c r="AQ345" s="511"/>
      <c r="AR345" s="511"/>
      <c r="AS345" s="511"/>
      <c r="AT345" s="511"/>
      <c r="AU345" s="511"/>
      <c r="AV345" s="511"/>
      <c r="AW345" s="511"/>
      <c r="AX345" s="511"/>
      <c r="AY345" s="511"/>
      <c r="AZ345" s="511"/>
      <c r="BA345" s="511"/>
      <c r="BB345" s="511"/>
      <c r="BC345" s="511"/>
    </row>
    <row r="346" spans="1:55" ht="16.5" customHeight="1" x14ac:dyDescent="0.3">
      <c r="A346" s="511"/>
      <c r="B346" s="511"/>
      <c r="C346" s="511"/>
      <c r="D346" s="511"/>
      <c r="E346" s="511"/>
      <c r="F346" s="511"/>
      <c r="G346" s="511"/>
      <c r="H346" s="511"/>
      <c r="I346" s="511"/>
      <c r="J346" s="511"/>
      <c r="K346" s="511"/>
      <c r="L346" s="511"/>
      <c r="M346" s="511"/>
      <c r="N346" s="511"/>
      <c r="O346" s="511"/>
      <c r="P346" s="511"/>
      <c r="Q346" s="511"/>
      <c r="R346" s="511"/>
      <c r="S346" s="511"/>
      <c r="T346" s="511"/>
      <c r="U346" s="511"/>
      <c r="V346" s="511"/>
      <c r="W346" s="511"/>
      <c r="X346" s="511"/>
      <c r="Y346" s="511"/>
      <c r="Z346" s="511"/>
      <c r="AA346" s="511"/>
      <c r="AB346" s="511"/>
      <c r="AC346" s="511"/>
      <c r="AD346" s="511"/>
      <c r="AE346" s="511"/>
      <c r="AF346" s="511"/>
      <c r="AG346" s="511"/>
      <c r="AH346" s="511"/>
      <c r="AI346" s="511"/>
      <c r="AJ346" s="511"/>
      <c r="AK346" s="511"/>
      <c r="AL346" s="511"/>
      <c r="AM346" s="511"/>
      <c r="AN346" s="511"/>
      <c r="AO346" s="511"/>
      <c r="AP346" s="511"/>
      <c r="AQ346" s="511"/>
      <c r="AR346" s="511"/>
      <c r="AS346" s="511"/>
      <c r="AT346" s="511"/>
      <c r="AU346" s="511"/>
      <c r="AV346" s="511"/>
      <c r="AW346" s="511"/>
      <c r="AX346" s="511"/>
      <c r="AY346" s="511"/>
      <c r="AZ346" s="511"/>
      <c r="BA346" s="511"/>
      <c r="BB346" s="511"/>
      <c r="BC346" s="511"/>
    </row>
    <row r="347" spans="1:55" ht="16.5" customHeight="1" x14ac:dyDescent="0.3">
      <c r="A347" s="511"/>
      <c r="B347" s="511"/>
      <c r="C347" s="511"/>
      <c r="D347" s="511"/>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c r="AA347" s="511"/>
      <c r="AB347" s="511"/>
      <c r="AC347" s="511"/>
      <c r="AD347" s="511"/>
      <c r="AE347" s="511"/>
      <c r="AF347" s="511"/>
      <c r="AG347" s="511"/>
      <c r="AH347" s="511"/>
      <c r="AI347" s="511"/>
      <c r="AJ347" s="511"/>
      <c r="AK347" s="511"/>
      <c r="AL347" s="511"/>
      <c r="AM347" s="511"/>
      <c r="AN347" s="511"/>
      <c r="AO347" s="511"/>
      <c r="AP347" s="511"/>
      <c r="AQ347" s="511"/>
      <c r="AR347" s="511"/>
      <c r="AS347" s="511"/>
      <c r="AT347" s="511"/>
      <c r="AU347" s="511"/>
      <c r="AV347" s="511"/>
      <c r="AW347" s="511"/>
      <c r="AX347" s="511"/>
      <c r="AY347" s="511"/>
      <c r="AZ347" s="511"/>
      <c r="BA347" s="511"/>
      <c r="BB347" s="511"/>
      <c r="BC347" s="511"/>
    </row>
    <row r="348" spans="1:55" ht="16.5" customHeight="1" x14ac:dyDescent="0.3">
      <c r="A348" s="511"/>
      <c r="B348" s="511"/>
      <c r="C348" s="511"/>
      <c r="D348" s="511"/>
      <c r="E348" s="511"/>
      <c r="F348" s="511"/>
      <c r="G348" s="511"/>
      <c r="H348" s="511"/>
      <c r="I348" s="511"/>
      <c r="J348" s="511"/>
      <c r="K348" s="511"/>
      <c r="L348" s="511"/>
      <c r="M348" s="511"/>
      <c r="N348" s="511"/>
      <c r="O348" s="511"/>
      <c r="P348" s="511"/>
      <c r="Q348" s="511"/>
      <c r="R348" s="511"/>
      <c r="S348" s="511"/>
      <c r="T348" s="511"/>
      <c r="U348" s="511"/>
      <c r="V348" s="511"/>
      <c r="W348" s="511"/>
      <c r="X348" s="511"/>
      <c r="Y348" s="511"/>
      <c r="Z348" s="511"/>
      <c r="AA348" s="511"/>
      <c r="AB348" s="511"/>
      <c r="AC348" s="511"/>
      <c r="AD348" s="511"/>
      <c r="AE348" s="511"/>
      <c r="AF348" s="511"/>
      <c r="AG348" s="511"/>
      <c r="AH348" s="511"/>
      <c r="AI348" s="511"/>
      <c r="AJ348" s="511"/>
      <c r="AK348" s="511"/>
      <c r="AL348" s="511"/>
      <c r="AM348" s="511"/>
      <c r="AN348" s="511"/>
      <c r="AO348" s="511"/>
      <c r="AP348" s="511"/>
      <c r="AQ348" s="511"/>
      <c r="AR348" s="511"/>
      <c r="AS348" s="511"/>
      <c r="AT348" s="511"/>
      <c r="AU348" s="511"/>
      <c r="AV348" s="511"/>
      <c r="AW348" s="511"/>
      <c r="AX348" s="511"/>
      <c r="AY348" s="511"/>
      <c r="AZ348" s="511"/>
      <c r="BA348" s="511"/>
      <c r="BB348" s="511"/>
      <c r="BC348" s="511"/>
    </row>
    <row r="349" spans="1:55" ht="16.5" customHeight="1" x14ac:dyDescent="0.3">
      <c r="A349" s="511"/>
      <c r="B349" s="511"/>
      <c r="C349" s="511"/>
      <c r="D349" s="511"/>
      <c r="E349" s="511"/>
      <c r="F349" s="511"/>
      <c r="G349" s="511"/>
      <c r="H349" s="511"/>
      <c r="I349" s="511"/>
      <c r="J349" s="511"/>
      <c r="K349" s="511"/>
      <c r="L349" s="511"/>
      <c r="M349" s="511"/>
      <c r="N349" s="511"/>
      <c r="O349" s="511"/>
      <c r="P349" s="511"/>
      <c r="Q349" s="511"/>
      <c r="R349" s="511"/>
      <c r="S349" s="511"/>
      <c r="T349" s="511"/>
      <c r="U349" s="511"/>
      <c r="V349" s="511"/>
      <c r="W349" s="511"/>
      <c r="X349" s="511"/>
      <c r="Y349" s="511"/>
      <c r="Z349" s="511"/>
      <c r="AA349" s="511"/>
      <c r="AB349" s="511"/>
      <c r="AC349" s="511"/>
      <c r="AD349" s="511"/>
      <c r="AE349" s="511"/>
      <c r="AF349" s="511"/>
      <c r="AG349" s="511"/>
      <c r="AH349" s="511"/>
      <c r="AI349" s="511"/>
      <c r="AJ349" s="511"/>
      <c r="AK349" s="511"/>
      <c r="AL349" s="511"/>
      <c r="AM349" s="511"/>
      <c r="AN349" s="511"/>
      <c r="AO349" s="511"/>
      <c r="AP349" s="511"/>
      <c r="AQ349" s="511"/>
      <c r="AR349" s="511"/>
      <c r="AS349" s="511"/>
      <c r="AT349" s="511"/>
      <c r="AU349" s="511"/>
      <c r="AV349" s="511"/>
      <c r="AW349" s="511"/>
      <c r="AX349" s="511"/>
      <c r="AY349" s="511"/>
      <c r="AZ349" s="511"/>
      <c r="BA349" s="511"/>
      <c r="BB349" s="511"/>
      <c r="BC349" s="511"/>
    </row>
    <row r="350" spans="1:55" ht="16.5" customHeight="1" x14ac:dyDescent="0.3">
      <c r="A350" s="511"/>
      <c r="B350" s="511"/>
      <c r="C350" s="511"/>
      <c r="D350" s="511"/>
      <c r="E350" s="511"/>
      <c r="F350" s="511"/>
      <c r="G350" s="511"/>
      <c r="H350" s="511"/>
      <c r="I350" s="511"/>
      <c r="J350" s="511"/>
      <c r="K350" s="511"/>
      <c r="L350" s="511"/>
      <c r="M350" s="511"/>
      <c r="N350" s="511"/>
      <c r="O350" s="511"/>
      <c r="P350" s="511"/>
      <c r="Q350" s="511"/>
      <c r="R350" s="511"/>
      <c r="S350" s="511"/>
      <c r="T350" s="511"/>
      <c r="U350" s="511"/>
      <c r="V350" s="511"/>
      <c r="W350" s="511"/>
      <c r="X350" s="511"/>
      <c r="Y350" s="511"/>
      <c r="Z350" s="511"/>
      <c r="AA350" s="511"/>
      <c r="AB350" s="511"/>
      <c r="AC350" s="511"/>
      <c r="AD350" s="511"/>
      <c r="AE350" s="511"/>
      <c r="AF350" s="511"/>
      <c r="AG350" s="511"/>
      <c r="AH350" s="511"/>
      <c r="AI350" s="511"/>
      <c r="AJ350" s="511"/>
      <c r="AK350" s="511"/>
      <c r="AL350" s="511"/>
      <c r="AM350" s="511"/>
      <c r="AN350" s="511"/>
      <c r="AO350" s="511"/>
      <c r="AP350" s="511"/>
      <c r="AQ350" s="511"/>
      <c r="AR350" s="511"/>
      <c r="AS350" s="511"/>
      <c r="AT350" s="511"/>
      <c r="AU350" s="511"/>
      <c r="AV350" s="511"/>
      <c r="AW350" s="511"/>
      <c r="AX350" s="511"/>
      <c r="AY350" s="511"/>
      <c r="AZ350" s="511"/>
      <c r="BA350" s="511"/>
      <c r="BB350" s="511"/>
      <c r="BC350" s="511"/>
    </row>
    <row r="351" spans="1:55" ht="16.5" customHeight="1" x14ac:dyDescent="0.3">
      <c r="A351" s="511"/>
      <c r="B351" s="511"/>
      <c r="C351" s="511"/>
      <c r="D351" s="511"/>
      <c r="E351" s="511"/>
      <c r="F351" s="511"/>
      <c r="G351" s="511"/>
      <c r="H351" s="511"/>
      <c r="I351" s="511"/>
      <c r="J351" s="511"/>
      <c r="K351" s="511"/>
      <c r="L351" s="511"/>
      <c r="M351" s="511"/>
      <c r="N351" s="511"/>
      <c r="O351" s="511"/>
      <c r="P351" s="511"/>
      <c r="Q351" s="511"/>
      <c r="R351" s="511"/>
      <c r="S351" s="511"/>
      <c r="T351" s="511"/>
      <c r="U351" s="511"/>
      <c r="V351" s="511"/>
      <c r="W351" s="511"/>
      <c r="X351" s="511"/>
      <c r="Y351" s="511"/>
      <c r="Z351" s="511"/>
      <c r="AA351" s="511"/>
      <c r="AB351" s="511"/>
      <c r="AC351" s="511"/>
      <c r="AD351" s="511"/>
      <c r="AE351" s="511"/>
      <c r="AF351" s="511"/>
      <c r="AG351" s="511"/>
      <c r="AH351" s="511"/>
      <c r="AI351" s="511"/>
      <c r="AJ351" s="511"/>
      <c r="AK351" s="511"/>
      <c r="AL351" s="511"/>
      <c r="AM351" s="511"/>
      <c r="AN351" s="511"/>
      <c r="AO351" s="511"/>
      <c r="AP351" s="511"/>
      <c r="AQ351" s="511"/>
      <c r="AR351" s="511"/>
      <c r="AS351" s="511"/>
      <c r="AT351" s="511"/>
      <c r="AU351" s="511"/>
      <c r="AV351" s="511"/>
      <c r="AW351" s="511"/>
      <c r="AX351" s="511"/>
      <c r="AY351" s="511"/>
      <c r="AZ351" s="511"/>
      <c r="BA351" s="511"/>
      <c r="BB351" s="511"/>
      <c r="BC351" s="511"/>
    </row>
    <row r="352" spans="1:55" ht="16.5" customHeight="1" x14ac:dyDescent="0.3">
      <c r="A352" s="511"/>
      <c r="B352" s="511"/>
      <c r="C352" s="511"/>
      <c r="D352" s="511"/>
      <c r="E352" s="511"/>
      <c r="F352" s="511"/>
      <c r="G352" s="511"/>
      <c r="H352" s="511"/>
      <c r="I352" s="511"/>
      <c r="J352" s="511"/>
      <c r="K352" s="511"/>
      <c r="L352" s="511"/>
      <c r="M352" s="511"/>
      <c r="N352" s="511"/>
      <c r="O352" s="511"/>
      <c r="P352" s="511"/>
      <c r="Q352" s="511"/>
      <c r="R352" s="511"/>
      <c r="S352" s="511"/>
      <c r="T352" s="511"/>
      <c r="U352" s="511"/>
      <c r="V352" s="511"/>
      <c r="W352" s="511"/>
      <c r="X352" s="511"/>
      <c r="Y352" s="511"/>
      <c r="Z352" s="511"/>
      <c r="AA352" s="511"/>
      <c r="AB352" s="511"/>
      <c r="AC352" s="511"/>
      <c r="AD352" s="511"/>
      <c r="AE352" s="511"/>
      <c r="AF352" s="511"/>
      <c r="AG352" s="511"/>
      <c r="AH352" s="511"/>
      <c r="AI352" s="511"/>
      <c r="AJ352" s="511"/>
      <c r="AK352" s="511"/>
      <c r="AL352" s="511"/>
      <c r="AM352" s="511"/>
      <c r="AN352" s="511"/>
      <c r="AO352" s="511"/>
      <c r="AP352" s="511"/>
      <c r="AQ352" s="511"/>
      <c r="AR352" s="511"/>
      <c r="AS352" s="511"/>
      <c r="AT352" s="511"/>
      <c r="AU352" s="511"/>
      <c r="AV352" s="511"/>
      <c r="AW352" s="511"/>
      <c r="AX352" s="511"/>
      <c r="AY352" s="511"/>
      <c r="AZ352" s="511"/>
      <c r="BA352" s="511"/>
      <c r="BB352" s="511"/>
      <c r="BC352" s="511"/>
    </row>
    <row r="353" spans="1:55" ht="16.5" customHeight="1" x14ac:dyDescent="0.3">
      <c r="A353" s="511"/>
      <c r="B353" s="511"/>
      <c r="C353" s="511"/>
      <c r="D353" s="511"/>
      <c r="E353" s="511"/>
      <c r="F353" s="511"/>
      <c r="G353" s="511"/>
      <c r="H353" s="511"/>
      <c r="I353" s="511"/>
      <c r="J353" s="511"/>
      <c r="K353" s="511"/>
      <c r="L353" s="511"/>
      <c r="M353" s="511"/>
      <c r="N353" s="511"/>
      <c r="O353" s="511"/>
      <c r="P353" s="511"/>
      <c r="Q353" s="511"/>
      <c r="R353" s="511"/>
      <c r="S353" s="511"/>
      <c r="T353" s="511"/>
      <c r="U353" s="511"/>
      <c r="V353" s="511"/>
      <c r="W353" s="511"/>
      <c r="X353" s="511"/>
      <c r="Y353" s="511"/>
      <c r="Z353" s="511"/>
      <c r="AA353" s="511"/>
      <c r="AB353" s="511"/>
      <c r="AC353" s="511"/>
      <c r="AD353" s="511"/>
      <c r="AE353" s="511"/>
      <c r="AF353" s="511"/>
      <c r="AG353" s="511"/>
      <c r="AH353" s="511"/>
      <c r="AI353" s="511"/>
      <c r="AJ353" s="511"/>
      <c r="AK353" s="511"/>
      <c r="AL353" s="511"/>
      <c r="AM353" s="511"/>
      <c r="AN353" s="511"/>
      <c r="AO353" s="511"/>
      <c r="AP353" s="511"/>
      <c r="AQ353" s="511"/>
      <c r="AR353" s="511"/>
      <c r="AS353" s="511"/>
      <c r="AT353" s="511"/>
      <c r="AU353" s="511"/>
      <c r="AV353" s="511"/>
      <c r="AW353" s="511"/>
      <c r="AX353" s="511"/>
      <c r="AY353" s="511"/>
      <c r="AZ353" s="511"/>
      <c r="BA353" s="511"/>
      <c r="BB353" s="511"/>
      <c r="BC353" s="511"/>
    </row>
    <row r="354" spans="1:55" ht="16.5" customHeight="1" x14ac:dyDescent="0.3">
      <c r="A354" s="511"/>
      <c r="B354" s="511"/>
      <c r="C354" s="511"/>
      <c r="D354" s="511"/>
      <c r="E354" s="511"/>
      <c r="F354" s="511"/>
      <c r="G354" s="511"/>
      <c r="H354" s="511"/>
      <c r="I354" s="511"/>
      <c r="J354" s="511"/>
      <c r="K354" s="511"/>
      <c r="L354" s="511"/>
      <c r="M354" s="511"/>
      <c r="N354" s="511"/>
      <c r="O354" s="511"/>
      <c r="P354" s="511"/>
      <c r="Q354" s="511"/>
      <c r="R354" s="511"/>
      <c r="S354" s="511"/>
      <c r="T354" s="511"/>
      <c r="U354" s="511"/>
      <c r="V354" s="511"/>
      <c r="W354" s="511"/>
      <c r="X354" s="511"/>
      <c r="Y354" s="511"/>
      <c r="Z354" s="511"/>
      <c r="AA354" s="511"/>
      <c r="AB354" s="511"/>
      <c r="AC354" s="511"/>
      <c r="AD354" s="511"/>
      <c r="AE354" s="511"/>
      <c r="AF354" s="511"/>
      <c r="AG354" s="511"/>
      <c r="AH354" s="511"/>
      <c r="AI354" s="511"/>
      <c r="AJ354" s="511"/>
      <c r="AK354" s="511"/>
      <c r="AL354" s="511"/>
      <c r="AM354" s="511"/>
      <c r="AN354" s="511"/>
      <c r="AO354" s="511"/>
      <c r="AP354" s="511"/>
      <c r="AQ354" s="511"/>
      <c r="AR354" s="511"/>
      <c r="AS354" s="511"/>
      <c r="AT354" s="511"/>
      <c r="AU354" s="511"/>
      <c r="AV354" s="511"/>
      <c r="AW354" s="511"/>
      <c r="AX354" s="511"/>
      <c r="AY354" s="511"/>
      <c r="AZ354" s="511"/>
      <c r="BA354" s="511"/>
      <c r="BB354" s="511"/>
      <c r="BC354" s="511"/>
    </row>
    <row r="355" spans="1:55" ht="16.5" customHeight="1" x14ac:dyDescent="0.3">
      <c r="A355" s="511"/>
      <c r="B355" s="511"/>
      <c r="C355" s="511"/>
      <c r="D355" s="511"/>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c r="AA355" s="511"/>
      <c r="AB355" s="511"/>
      <c r="AC355" s="511"/>
      <c r="AD355" s="511"/>
      <c r="AE355" s="511"/>
      <c r="AF355" s="511"/>
      <c r="AG355" s="511"/>
      <c r="AH355" s="511"/>
      <c r="AI355" s="511"/>
      <c r="AJ355" s="511"/>
      <c r="AK355" s="511"/>
      <c r="AL355" s="511"/>
      <c r="AM355" s="511"/>
      <c r="AN355" s="511"/>
      <c r="AO355" s="511"/>
      <c r="AP355" s="511"/>
      <c r="AQ355" s="511"/>
      <c r="AR355" s="511"/>
      <c r="AS355" s="511"/>
      <c r="AT355" s="511"/>
      <c r="AU355" s="511"/>
      <c r="AV355" s="511"/>
      <c r="AW355" s="511"/>
      <c r="AX355" s="511"/>
      <c r="AY355" s="511"/>
      <c r="AZ355" s="511"/>
      <c r="BA355" s="511"/>
      <c r="BB355" s="511"/>
      <c r="BC355" s="511"/>
    </row>
    <row r="356" spans="1:55" ht="16.5" customHeight="1" x14ac:dyDescent="0.3">
      <c r="A356" s="511"/>
      <c r="B356" s="511"/>
      <c r="C356" s="511"/>
      <c r="D356" s="511"/>
      <c r="E356" s="511"/>
      <c r="F356" s="511"/>
      <c r="G356" s="511"/>
      <c r="H356" s="511"/>
      <c r="I356" s="511"/>
      <c r="J356" s="511"/>
      <c r="K356" s="511"/>
      <c r="L356" s="511"/>
      <c r="M356" s="511"/>
      <c r="N356" s="511"/>
      <c r="O356" s="511"/>
      <c r="P356" s="511"/>
      <c r="Q356" s="511"/>
      <c r="R356" s="511"/>
      <c r="S356" s="511"/>
      <c r="T356" s="511"/>
      <c r="U356" s="511"/>
      <c r="V356" s="511"/>
      <c r="W356" s="511"/>
      <c r="X356" s="511"/>
      <c r="Y356" s="511"/>
      <c r="Z356" s="511"/>
      <c r="AA356" s="511"/>
      <c r="AB356" s="511"/>
      <c r="AC356" s="511"/>
      <c r="AD356" s="511"/>
      <c r="AE356" s="511"/>
      <c r="AF356" s="511"/>
      <c r="AG356" s="511"/>
      <c r="AH356" s="511"/>
      <c r="AI356" s="511"/>
      <c r="AJ356" s="511"/>
      <c r="AK356" s="511"/>
      <c r="AL356" s="511"/>
      <c r="AM356" s="511"/>
      <c r="AN356" s="511"/>
      <c r="AO356" s="511"/>
      <c r="AP356" s="511"/>
      <c r="AQ356" s="511"/>
      <c r="AR356" s="511"/>
      <c r="AS356" s="511"/>
      <c r="AT356" s="511"/>
      <c r="AU356" s="511"/>
      <c r="AV356" s="511"/>
      <c r="AW356" s="511"/>
      <c r="AX356" s="511"/>
      <c r="AY356" s="511"/>
      <c r="AZ356" s="511"/>
      <c r="BA356" s="511"/>
      <c r="BB356" s="511"/>
      <c r="BC356" s="511"/>
    </row>
    <row r="357" spans="1:55" ht="16.5" customHeight="1" x14ac:dyDescent="0.3">
      <c r="A357" s="511"/>
      <c r="B357" s="511"/>
      <c r="C357" s="511"/>
      <c r="D357" s="511"/>
      <c r="E357" s="511"/>
      <c r="F357" s="511"/>
      <c r="G357" s="511"/>
      <c r="H357" s="511"/>
      <c r="I357" s="511"/>
      <c r="J357" s="511"/>
      <c r="K357" s="511"/>
      <c r="L357" s="511"/>
      <c r="M357" s="511"/>
      <c r="N357" s="511"/>
      <c r="O357" s="511"/>
      <c r="P357" s="511"/>
      <c r="Q357" s="511"/>
      <c r="R357" s="511"/>
      <c r="S357" s="511"/>
      <c r="T357" s="511"/>
      <c r="U357" s="511"/>
      <c r="V357" s="511"/>
      <c r="W357" s="511"/>
      <c r="X357" s="511"/>
      <c r="Y357" s="511"/>
      <c r="Z357" s="511"/>
      <c r="AA357" s="511"/>
      <c r="AB357" s="511"/>
      <c r="AC357" s="511"/>
      <c r="AD357" s="511"/>
      <c r="AE357" s="511"/>
      <c r="AF357" s="511"/>
      <c r="AG357" s="511"/>
      <c r="AH357" s="511"/>
      <c r="AI357" s="511"/>
      <c r="AJ357" s="511"/>
      <c r="AK357" s="511"/>
      <c r="AL357" s="511"/>
      <c r="AM357" s="511"/>
      <c r="AN357" s="511"/>
      <c r="AO357" s="511"/>
      <c r="AP357" s="511"/>
      <c r="AQ357" s="511"/>
      <c r="AR357" s="511"/>
      <c r="AS357" s="511"/>
      <c r="AT357" s="511"/>
      <c r="AU357" s="511"/>
      <c r="AV357" s="511"/>
      <c r="AW357" s="511"/>
      <c r="AX357" s="511"/>
      <c r="AY357" s="511"/>
      <c r="AZ357" s="511"/>
      <c r="BA357" s="511"/>
      <c r="BB357" s="511"/>
      <c r="BC357" s="511"/>
    </row>
    <row r="358" spans="1:55" ht="16.5" customHeight="1" x14ac:dyDescent="0.3">
      <c r="A358" s="511"/>
      <c r="B358" s="511"/>
      <c r="C358" s="511"/>
      <c r="D358" s="511"/>
      <c r="E358" s="511"/>
      <c r="F358" s="511"/>
      <c r="G358" s="511"/>
      <c r="H358" s="511"/>
      <c r="I358" s="511"/>
      <c r="J358" s="511"/>
      <c r="K358" s="511"/>
      <c r="L358" s="511"/>
      <c r="M358" s="511"/>
      <c r="N358" s="511"/>
      <c r="O358" s="511"/>
      <c r="P358" s="511"/>
      <c r="Q358" s="511"/>
      <c r="R358" s="511"/>
      <c r="S358" s="511"/>
      <c r="T358" s="511"/>
      <c r="U358" s="511"/>
      <c r="V358" s="511"/>
      <c r="W358" s="511"/>
      <c r="X358" s="511"/>
      <c r="Y358" s="511"/>
      <c r="Z358" s="511"/>
      <c r="AA358" s="511"/>
      <c r="AB358" s="511"/>
      <c r="AC358" s="511"/>
      <c r="AD358" s="511"/>
      <c r="AE358" s="511"/>
      <c r="AF358" s="511"/>
      <c r="AG358" s="511"/>
      <c r="AH358" s="511"/>
      <c r="AI358" s="511"/>
      <c r="AJ358" s="511"/>
      <c r="AK358" s="511"/>
      <c r="AL358" s="511"/>
      <c r="AM358" s="511"/>
      <c r="AN358" s="511"/>
      <c r="AO358" s="511"/>
      <c r="AP358" s="511"/>
      <c r="AQ358" s="511"/>
      <c r="AR358" s="511"/>
      <c r="AS358" s="511"/>
      <c r="AT358" s="511"/>
      <c r="AU358" s="511"/>
      <c r="AV358" s="511"/>
      <c r="AW358" s="511"/>
      <c r="AX358" s="511"/>
      <c r="AY358" s="511"/>
      <c r="AZ358" s="511"/>
      <c r="BA358" s="511"/>
      <c r="BB358" s="511"/>
      <c r="BC358" s="511"/>
    </row>
    <row r="359" spans="1:55" ht="16.5" customHeight="1" x14ac:dyDescent="0.3">
      <c r="A359" s="511"/>
      <c r="B359" s="511"/>
      <c r="C359" s="511"/>
      <c r="D359" s="511"/>
      <c r="E359" s="511"/>
      <c r="F359" s="511"/>
      <c r="G359" s="511"/>
      <c r="H359" s="511"/>
      <c r="I359" s="511"/>
      <c r="J359" s="511"/>
      <c r="K359" s="511"/>
      <c r="L359" s="511"/>
      <c r="M359" s="511"/>
      <c r="N359" s="511"/>
      <c r="O359" s="511"/>
      <c r="P359" s="511"/>
      <c r="Q359" s="511"/>
      <c r="R359" s="511"/>
      <c r="S359" s="511"/>
      <c r="T359" s="511"/>
      <c r="U359" s="511"/>
      <c r="V359" s="511"/>
      <c r="W359" s="511"/>
      <c r="X359" s="511"/>
      <c r="Y359" s="511"/>
      <c r="Z359" s="511"/>
      <c r="AA359" s="511"/>
      <c r="AB359" s="511"/>
      <c r="AC359" s="511"/>
      <c r="AD359" s="511"/>
      <c r="AE359" s="511"/>
      <c r="AF359" s="511"/>
      <c r="AG359" s="511"/>
      <c r="AH359" s="511"/>
      <c r="AI359" s="511"/>
      <c r="AJ359" s="511"/>
      <c r="AK359" s="511"/>
      <c r="AL359" s="511"/>
      <c r="AM359" s="511"/>
      <c r="AN359" s="511"/>
      <c r="AO359" s="511"/>
      <c r="AP359" s="511"/>
      <c r="AQ359" s="511"/>
      <c r="AR359" s="511"/>
      <c r="AS359" s="511"/>
      <c r="AT359" s="511"/>
      <c r="AU359" s="511"/>
      <c r="AV359" s="511"/>
      <c r="AW359" s="511"/>
      <c r="AX359" s="511"/>
      <c r="AY359" s="511"/>
      <c r="AZ359" s="511"/>
      <c r="BA359" s="511"/>
      <c r="BB359" s="511"/>
      <c r="BC359" s="511"/>
    </row>
    <row r="360" spans="1:55" ht="16.5" customHeight="1" x14ac:dyDescent="0.3">
      <c r="A360" s="511"/>
      <c r="B360" s="511"/>
      <c r="C360" s="511"/>
      <c r="D360" s="511"/>
      <c r="E360" s="511"/>
      <c r="F360" s="511"/>
      <c r="G360" s="511"/>
      <c r="H360" s="511"/>
      <c r="I360" s="511"/>
      <c r="J360" s="511"/>
      <c r="K360" s="511"/>
      <c r="L360" s="511"/>
      <c r="M360" s="511"/>
      <c r="N360" s="511"/>
      <c r="O360" s="511"/>
      <c r="P360" s="511"/>
      <c r="Q360" s="511"/>
      <c r="R360" s="511"/>
      <c r="S360" s="511"/>
      <c r="T360" s="511"/>
      <c r="U360" s="511"/>
      <c r="V360" s="511"/>
      <c r="W360" s="511"/>
      <c r="X360" s="511"/>
      <c r="Y360" s="511"/>
      <c r="Z360" s="511"/>
      <c r="AA360" s="511"/>
      <c r="AB360" s="511"/>
      <c r="AC360" s="511"/>
      <c r="AD360" s="511"/>
      <c r="AE360" s="511"/>
      <c r="AF360" s="511"/>
      <c r="AG360" s="511"/>
      <c r="AH360" s="511"/>
      <c r="AI360" s="511"/>
      <c r="AJ360" s="511"/>
      <c r="AK360" s="511"/>
      <c r="AL360" s="511"/>
      <c r="AM360" s="511"/>
      <c r="AN360" s="511"/>
      <c r="AO360" s="511"/>
      <c r="AP360" s="511"/>
      <c r="AQ360" s="511"/>
      <c r="AR360" s="511"/>
      <c r="AS360" s="511"/>
      <c r="AT360" s="511"/>
      <c r="AU360" s="511"/>
      <c r="AV360" s="511"/>
      <c r="AW360" s="511"/>
      <c r="AX360" s="511"/>
      <c r="AY360" s="511"/>
      <c r="AZ360" s="511"/>
      <c r="BA360" s="511"/>
      <c r="BB360" s="511"/>
      <c r="BC360" s="511"/>
    </row>
    <row r="361" spans="1:55" ht="16.5" customHeight="1" x14ac:dyDescent="0.3">
      <c r="A361" s="511"/>
      <c r="B361" s="511"/>
      <c r="C361" s="511"/>
      <c r="D361" s="511"/>
      <c r="E361" s="511"/>
      <c r="F361" s="511"/>
      <c r="G361" s="511"/>
      <c r="H361" s="511"/>
      <c r="I361" s="511"/>
      <c r="J361" s="511"/>
      <c r="K361" s="511"/>
      <c r="L361" s="511"/>
      <c r="M361" s="511"/>
      <c r="N361" s="511"/>
      <c r="O361" s="511"/>
      <c r="P361" s="511"/>
      <c r="Q361" s="511"/>
      <c r="R361" s="511"/>
      <c r="S361" s="511"/>
      <c r="T361" s="511"/>
      <c r="U361" s="511"/>
      <c r="V361" s="511"/>
      <c r="W361" s="511"/>
      <c r="X361" s="511"/>
      <c r="Y361" s="511"/>
      <c r="Z361" s="511"/>
      <c r="AA361" s="511"/>
      <c r="AB361" s="511"/>
      <c r="AC361" s="511"/>
      <c r="AD361" s="511"/>
      <c r="AE361" s="511"/>
      <c r="AF361" s="511"/>
      <c r="AG361" s="511"/>
      <c r="AH361" s="511"/>
      <c r="AI361" s="511"/>
      <c r="AJ361" s="511"/>
      <c r="AK361" s="511"/>
      <c r="AL361" s="511"/>
      <c r="AM361" s="511"/>
      <c r="AN361" s="511"/>
      <c r="AO361" s="511"/>
      <c r="AP361" s="511"/>
      <c r="AQ361" s="511"/>
      <c r="AR361" s="511"/>
      <c r="AS361" s="511"/>
      <c r="AT361" s="511"/>
      <c r="AU361" s="511"/>
      <c r="AV361" s="511"/>
      <c r="AW361" s="511"/>
      <c r="AX361" s="511"/>
      <c r="AY361" s="511"/>
      <c r="AZ361" s="511"/>
      <c r="BA361" s="511"/>
      <c r="BB361" s="511"/>
      <c r="BC361" s="511"/>
    </row>
    <row r="362" spans="1:55" ht="16.5" customHeight="1" x14ac:dyDescent="0.3">
      <c r="A362" s="511"/>
      <c r="B362" s="511"/>
      <c r="C362" s="511"/>
      <c r="D362" s="511"/>
      <c r="E362" s="511"/>
      <c r="F362" s="511"/>
      <c r="G362" s="511"/>
      <c r="H362" s="511"/>
      <c r="I362" s="511"/>
      <c r="J362" s="511"/>
      <c r="K362" s="511"/>
      <c r="L362" s="511"/>
      <c r="M362" s="511"/>
      <c r="N362" s="511"/>
      <c r="O362" s="511"/>
      <c r="P362" s="511"/>
      <c r="Q362" s="511"/>
      <c r="R362" s="511"/>
      <c r="S362" s="511"/>
      <c r="T362" s="511"/>
      <c r="U362" s="511"/>
      <c r="V362" s="511"/>
      <c r="W362" s="511"/>
      <c r="X362" s="511"/>
      <c r="Y362" s="511"/>
      <c r="Z362" s="511"/>
      <c r="AA362" s="511"/>
      <c r="AB362" s="511"/>
      <c r="AC362" s="511"/>
      <c r="AD362" s="511"/>
      <c r="AE362" s="511"/>
      <c r="AF362" s="511"/>
      <c r="AG362" s="511"/>
      <c r="AH362" s="511"/>
      <c r="AI362" s="511"/>
      <c r="AJ362" s="511"/>
      <c r="AK362" s="511"/>
      <c r="AL362" s="511"/>
      <c r="AM362" s="511"/>
      <c r="AN362" s="511"/>
      <c r="AO362" s="511"/>
      <c r="AP362" s="511"/>
      <c r="AQ362" s="511"/>
      <c r="AR362" s="511"/>
      <c r="AS362" s="511"/>
      <c r="AT362" s="511"/>
      <c r="AU362" s="511"/>
      <c r="AV362" s="511"/>
      <c r="AW362" s="511"/>
      <c r="AX362" s="511"/>
      <c r="AY362" s="511"/>
      <c r="AZ362" s="511"/>
      <c r="BA362" s="511"/>
      <c r="BB362" s="511"/>
      <c r="BC362" s="511"/>
    </row>
    <row r="363" spans="1:55" ht="16.5" customHeight="1" x14ac:dyDescent="0.3">
      <c r="A363" s="511"/>
      <c r="B363" s="511"/>
      <c r="C363" s="511"/>
      <c r="D363" s="511"/>
      <c r="E363" s="511"/>
      <c r="F363" s="511"/>
      <c r="G363" s="511"/>
      <c r="H363" s="511"/>
      <c r="I363" s="511"/>
      <c r="J363" s="511"/>
      <c r="K363" s="511"/>
      <c r="L363" s="511"/>
      <c r="M363" s="511"/>
      <c r="N363" s="511"/>
      <c r="O363" s="511"/>
      <c r="P363" s="511"/>
      <c r="Q363" s="511"/>
      <c r="R363" s="511"/>
      <c r="S363" s="511"/>
      <c r="T363" s="511"/>
      <c r="U363" s="511"/>
      <c r="V363" s="511"/>
      <c r="W363" s="511"/>
      <c r="X363" s="511"/>
      <c r="Y363" s="511"/>
      <c r="Z363" s="511"/>
      <c r="AA363" s="511"/>
      <c r="AB363" s="511"/>
      <c r="AC363" s="511"/>
      <c r="AD363" s="511"/>
      <c r="AE363" s="511"/>
      <c r="AF363" s="511"/>
      <c r="AG363" s="511"/>
      <c r="AH363" s="511"/>
      <c r="AI363" s="511"/>
      <c r="AJ363" s="511"/>
      <c r="AK363" s="511"/>
      <c r="AL363" s="511"/>
      <c r="AM363" s="511"/>
      <c r="AN363" s="511"/>
      <c r="AO363" s="511"/>
      <c r="AP363" s="511"/>
      <c r="AQ363" s="511"/>
      <c r="AR363" s="511"/>
      <c r="AS363" s="511"/>
      <c r="AT363" s="511"/>
      <c r="AU363" s="511"/>
      <c r="AV363" s="511"/>
      <c r="AW363" s="511"/>
      <c r="AX363" s="511"/>
      <c r="AY363" s="511"/>
      <c r="AZ363" s="511"/>
      <c r="BA363" s="511"/>
      <c r="BB363" s="511"/>
      <c r="BC363" s="511"/>
    </row>
    <row r="364" spans="1:55" ht="16.5" customHeight="1" x14ac:dyDescent="0.3">
      <c r="A364" s="511"/>
      <c r="B364" s="511"/>
      <c r="C364" s="511"/>
      <c r="D364" s="511"/>
      <c r="E364" s="511"/>
      <c r="F364" s="511"/>
      <c r="G364" s="511"/>
      <c r="H364" s="511"/>
      <c r="I364" s="511"/>
      <c r="J364" s="511"/>
      <c r="K364" s="511"/>
      <c r="L364" s="511"/>
      <c r="M364" s="511"/>
      <c r="N364" s="511"/>
      <c r="O364" s="511"/>
      <c r="P364" s="511"/>
      <c r="Q364" s="511"/>
      <c r="R364" s="511"/>
      <c r="S364" s="511"/>
      <c r="T364" s="511"/>
      <c r="U364" s="511"/>
      <c r="V364" s="511"/>
      <c r="W364" s="511"/>
      <c r="X364" s="511"/>
      <c r="Y364" s="511"/>
      <c r="Z364" s="511"/>
      <c r="AA364" s="511"/>
      <c r="AB364" s="511"/>
      <c r="AC364" s="511"/>
      <c r="AD364" s="511"/>
      <c r="AE364" s="511"/>
      <c r="AF364" s="511"/>
      <c r="AG364" s="511"/>
      <c r="AH364" s="511"/>
      <c r="AI364" s="511"/>
      <c r="AJ364" s="511"/>
      <c r="AK364" s="511"/>
      <c r="AL364" s="511"/>
      <c r="AM364" s="511"/>
      <c r="AN364" s="511"/>
      <c r="AO364" s="511"/>
      <c r="AP364" s="511"/>
      <c r="AQ364" s="511"/>
      <c r="AR364" s="511"/>
      <c r="AS364" s="511"/>
      <c r="AT364" s="511"/>
      <c r="AU364" s="511"/>
      <c r="AV364" s="511"/>
      <c r="AW364" s="511"/>
      <c r="AX364" s="511"/>
      <c r="AY364" s="511"/>
      <c r="AZ364" s="511"/>
      <c r="BA364" s="511"/>
      <c r="BB364" s="511"/>
      <c r="BC364" s="511"/>
    </row>
    <row r="365" spans="1:55" ht="16.5" customHeight="1" x14ac:dyDescent="0.3">
      <c r="A365" s="511"/>
      <c r="B365" s="511"/>
      <c r="C365" s="511"/>
      <c r="D365" s="511"/>
      <c r="E365" s="511"/>
      <c r="F365" s="511"/>
      <c r="G365" s="511"/>
      <c r="H365" s="511"/>
      <c r="I365" s="511"/>
      <c r="J365" s="511"/>
      <c r="K365" s="511"/>
      <c r="L365" s="511"/>
      <c r="M365" s="511"/>
      <c r="N365" s="511"/>
      <c r="O365" s="511"/>
      <c r="P365" s="511"/>
      <c r="Q365" s="511"/>
      <c r="R365" s="511"/>
      <c r="S365" s="511"/>
      <c r="T365" s="511"/>
      <c r="U365" s="511"/>
      <c r="V365" s="511"/>
      <c r="W365" s="511"/>
      <c r="X365" s="511"/>
      <c r="Y365" s="511"/>
      <c r="Z365" s="511"/>
      <c r="AA365" s="511"/>
      <c r="AB365" s="511"/>
      <c r="AC365" s="511"/>
      <c r="AD365" s="511"/>
      <c r="AE365" s="511"/>
      <c r="AF365" s="511"/>
      <c r="AG365" s="511"/>
      <c r="AH365" s="511"/>
      <c r="AI365" s="511"/>
      <c r="AJ365" s="511"/>
      <c r="AK365" s="511"/>
      <c r="AL365" s="511"/>
      <c r="AM365" s="511"/>
      <c r="AN365" s="511"/>
      <c r="AO365" s="511"/>
      <c r="AP365" s="511"/>
      <c r="AQ365" s="511"/>
      <c r="AR365" s="511"/>
      <c r="AS365" s="511"/>
      <c r="AT365" s="511"/>
      <c r="AU365" s="511"/>
      <c r="AV365" s="511"/>
      <c r="AW365" s="511"/>
      <c r="AX365" s="511"/>
      <c r="AY365" s="511"/>
      <c r="AZ365" s="511"/>
      <c r="BA365" s="511"/>
      <c r="BB365" s="511"/>
      <c r="BC365" s="511"/>
    </row>
    <row r="366" spans="1:55" ht="16.5" customHeight="1" x14ac:dyDescent="0.3">
      <c r="A366" s="511"/>
      <c r="B366" s="511"/>
      <c r="C366" s="511"/>
      <c r="D366" s="511"/>
      <c r="E366" s="511"/>
      <c r="F366" s="511"/>
      <c r="G366" s="511"/>
      <c r="H366" s="511"/>
      <c r="I366" s="511"/>
      <c r="J366" s="511"/>
      <c r="K366" s="511"/>
      <c r="L366" s="511"/>
      <c r="M366" s="511"/>
      <c r="N366" s="511"/>
      <c r="O366" s="511"/>
      <c r="P366" s="511"/>
      <c r="Q366" s="511"/>
      <c r="R366" s="511"/>
      <c r="S366" s="511"/>
      <c r="T366" s="511"/>
      <c r="U366" s="511"/>
      <c r="V366" s="511"/>
      <c r="W366" s="511"/>
      <c r="X366" s="511"/>
      <c r="Y366" s="511"/>
      <c r="Z366" s="511"/>
      <c r="AA366" s="511"/>
      <c r="AB366" s="511"/>
      <c r="AC366" s="511"/>
      <c r="AD366" s="511"/>
      <c r="AE366" s="511"/>
      <c r="AF366" s="511"/>
      <c r="AG366" s="511"/>
      <c r="AH366" s="511"/>
      <c r="AI366" s="511"/>
      <c r="AJ366" s="511"/>
      <c r="AK366" s="511"/>
      <c r="AL366" s="511"/>
      <c r="AM366" s="511"/>
      <c r="AN366" s="511"/>
      <c r="AO366" s="511"/>
      <c r="AP366" s="511"/>
      <c r="AQ366" s="511"/>
      <c r="AR366" s="511"/>
      <c r="AS366" s="511"/>
      <c r="AT366" s="511"/>
      <c r="AU366" s="511"/>
      <c r="AV366" s="511"/>
      <c r="AW366" s="511"/>
      <c r="AX366" s="511"/>
      <c r="AY366" s="511"/>
      <c r="AZ366" s="511"/>
      <c r="BA366" s="511"/>
      <c r="BB366" s="511"/>
      <c r="BC366" s="511"/>
    </row>
    <row r="367" spans="1:55" ht="16.5" customHeight="1" x14ac:dyDescent="0.3">
      <c r="A367" s="511"/>
      <c r="B367" s="511"/>
      <c r="C367" s="511"/>
      <c r="D367" s="511"/>
      <c r="E367" s="511"/>
      <c r="F367" s="511"/>
      <c r="G367" s="511"/>
      <c r="H367" s="511"/>
      <c r="I367" s="511"/>
      <c r="J367" s="511"/>
      <c r="K367" s="511"/>
      <c r="L367" s="511"/>
      <c r="M367" s="511"/>
      <c r="N367" s="511"/>
      <c r="O367" s="511"/>
      <c r="P367" s="511"/>
      <c r="Q367" s="511"/>
      <c r="R367" s="511"/>
      <c r="S367" s="511"/>
      <c r="T367" s="511"/>
      <c r="U367" s="511"/>
      <c r="V367" s="511"/>
      <c r="W367" s="511"/>
      <c r="X367" s="511"/>
      <c r="Y367" s="511"/>
      <c r="Z367" s="511"/>
      <c r="AA367" s="511"/>
      <c r="AB367" s="511"/>
      <c r="AC367" s="511"/>
      <c r="AD367" s="511"/>
      <c r="AE367" s="511"/>
      <c r="AF367" s="511"/>
      <c r="AG367" s="511"/>
      <c r="AH367" s="511"/>
      <c r="AI367" s="511"/>
      <c r="AJ367" s="511"/>
      <c r="AK367" s="511"/>
      <c r="AL367" s="511"/>
      <c r="AM367" s="511"/>
      <c r="AN367" s="511"/>
      <c r="AO367" s="511"/>
      <c r="AP367" s="511"/>
      <c r="AQ367" s="511"/>
      <c r="AR367" s="511"/>
      <c r="AS367" s="511"/>
      <c r="AT367" s="511"/>
      <c r="AU367" s="511"/>
      <c r="AV367" s="511"/>
      <c r="AW367" s="511"/>
      <c r="AX367" s="511"/>
      <c r="AY367" s="511"/>
      <c r="AZ367" s="511"/>
      <c r="BA367" s="511"/>
      <c r="BB367" s="511"/>
      <c r="BC367" s="511"/>
    </row>
    <row r="368" spans="1:55" ht="16.5" customHeight="1" x14ac:dyDescent="0.3">
      <c r="A368" s="511"/>
      <c r="B368" s="511"/>
      <c r="C368" s="511"/>
      <c r="D368" s="511"/>
      <c r="E368" s="511"/>
      <c r="F368" s="511"/>
      <c r="G368" s="511"/>
      <c r="H368" s="511"/>
      <c r="I368" s="511"/>
      <c r="J368" s="511"/>
      <c r="K368" s="511"/>
      <c r="L368" s="511"/>
      <c r="M368" s="511"/>
      <c r="N368" s="511"/>
      <c r="O368" s="511"/>
      <c r="P368" s="511"/>
      <c r="Q368" s="511"/>
      <c r="R368" s="511"/>
      <c r="S368" s="511"/>
      <c r="T368" s="511"/>
      <c r="U368" s="511"/>
      <c r="V368" s="511"/>
      <c r="W368" s="511"/>
      <c r="X368" s="511"/>
      <c r="Y368" s="511"/>
      <c r="Z368" s="511"/>
      <c r="AA368" s="511"/>
      <c r="AB368" s="511"/>
      <c r="AC368" s="511"/>
      <c r="AD368" s="511"/>
      <c r="AE368" s="511"/>
      <c r="AF368" s="511"/>
      <c r="AG368" s="511"/>
      <c r="AH368" s="511"/>
      <c r="AI368" s="511"/>
      <c r="AJ368" s="511"/>
      <c r="AK368" s="511"/>
      <c r="AL368" s="511"/>
      <c r="AM368" s="511"/>
      <c r="AN368" s="511"/>
      <c r="AO368" s="511"/>
      <c r="AP368" s="511"/>
      <c r="AQ368" s="511"/>
      <c r="AR368" s="511"/>
      <c r="AS368" s="511"/>
      <c r="AT368" s="511"/>
      <c r="AU368" s="511"/>
      <c r="AV368" s="511"/>
      <c r="AW368" s="511"/>
      <c r="AX368" s="511"/>
      <c r="AY368" s="511"/>
      <c r="AZ368" s="511"/>
      <c r="BA368" s="511"/>
      <c r="BB368" s="511"/>
      <c r="BC368" s="511"/>
    </row>
    <row r="369" spans="1:55" ht="16.5" customHeight="1" x14ac:dyDescent="0.3">
      <c r="A369" s="511"/>
      <c r="B369" s="511"/>
      <c r="C369" s="511"/>
      <c r="D369" s="511"/>
      <c r="E369" s="511"/>
      <c r="F369" s="511"/>
      <c r="G369" s="511"/>
      <c r="H369" s="511"/>
      <c r="I369" s="511"/>
      <c r="J369" s="511"/>
      <c r="K369" s="511"/>
      <c r="L369" s="511"/>
      <c r="M369" s="511"/>
      <c r="N369" s="511"/>
      <c r="O369" s="511"/>
      <c r="P369" s="511"/>
      <c r="Q369" s="511"/>
      <c r="R369" s="511"/>
      <c r="S369" s="511"/>
      <c r="T369" s="511"/>
      <c r="U369" s="511"/>
      <c r="V369" s="511"/>
      <c r="W369" s="511"/>
      <c r="X369" s="511"/>
      <c r="Y369" s="511"/>
      <c r="Z369" s="511"/>
      <c r="AA369" s="511"/>
      <c r="AB369" s="511"/>
      <c r="AC369" s="511"/>
      <c r="AD369" s="511"/>
      <c r="AE369" s="511"/>
      <c r="AF369" s="511"/>
      <c r="AG369" s="511"/>
      <c r="AH369" s="511"/>
      <c r="AI369" s="511"/>
      <c r="AJ369" s="511"/>
      <c r="AK369" s="511"/>
      <c r="AL369" s="511"/>
      <c r="AM369" s="511"/>
      <c r="AN369" s="511"/>
      <c r="AO369" s="511"/>
      <c r="AP369" s="511"/>
      <c r="AQ369" s="511"/>
      <c r="AR369" s="511"/>
      <c r="AS369" s="511"/>
      <c r="AT369" s="511"/>
      <c r="AU369" s="511"/>
      <c r="AV369" s="511"/>
      <c r="AW369" s="511"/>
      <c r="AX369" s="511"/>
      <c r="AY369" s="511"/>
      <c r="AZ369" s="511"/>
      <c r="BA369" s="511"/>
      <c r="BB369" s="511"/>
      <c r="BC369" s="511"/>
    </row>
    <row r="370" spans="1:55" ht="16.5" customHeight="1" x14ac:dyDescent="0.3">
      <c r="A370" s="511"/>
      <c r="B370" s="511"/>
      <c r="C370" s="511"/>
      <c r="D370" s="511"/>
      <c r="E370" s="511"/>
      <c r="F370" s="511"/>
      <c r="G370" s="511"/>
      <c r="H370" s="511"/>
      <c r="I370" s="511"/>
      <c r="J370" s="511"/>
      <c r="K370" s="511"/>
      <c r="L370" s="511"/>
      <c r="M370" s="511"/>
      <c r="N370" s="511"/>
      <c r="O370" s="511"/>
      <c r="P370" s="511"/>
      <c r="Q370" s="511"/>
      <c r="R370" s="511"/>
      <c r="S370" s="511"/>
      <c r="T370" s="511"/>
      <c r="U370" s="511"/>
      <c r="V370" s="511"/>
      <c r="W370" s="511"/>
      <c r="X370" s="511"/>
      <c r="Y370" s="511"/>
      <c r="Z370" s="511"/>
      <c r="AA370" s="511"/>
      <c r="AB370" s="511"/>
      <c r="AC370" s="511"/>
      <c r="AD370" s="511"/>
      <c r="AE370" s="511"/>
      <c r="AF370" s="511"/>
      <c r="AG370" s="511"/>
      <c r="AH370" s="511"/>
      <c r="AI370" s="511"/>
      <c r="AJ370" s="511"/>
      <c r="AK370" s="511"/>
      <c r="AL370" s="511"/>
      <c r="AM370" s="511"/>
      <c r="AN370" s="511"/>
      <c r="AO370" s="511"/>
      <c r="AP370" s="511"/>
      <c r="AQ370" s="511"/>
      <c r="AR370" s="511"/>
      <c r="AS370" s="511"/>
      <c r="AT370" s="511"/>
      <c r="AU370" s="511"/>
      <c r="AV370" s="511"/>
      <c r="AW370" s="511"/>
      <c r="AX370" s="511"/>
      <c r="AY370" s="511"/>
      <c r="AZ370" s="511"/>
      <c r="BA370" s="511"/>
      <c r="BB370" s="511"/>
      <c r="BC370" s="511"/>
    </row>
    <row r="371" spans="1:55" ht="16.5" customHeight="1" x14ac:dyDescent="0.3">
      <c r="A371" s="511"/>
      <c r="B371" s="511"/>
      <c r="C371" s="511"/>
      <c r="D371" s="511"/>
      <c r="E371" s="511"/>
      <c r="F371" s="511"/>
      <c r="G371" s="511"/>
      <c r="H371" s="511"/>
      <c r="I371" s="511"/>
      <c r="J371" s="511"/>
      <c r="K371" s="511"/>
      <c r="L371" s="511"/>
      <c r="M371" s="511"/>
      <c r="N371" s="511"/>
      <c r="O371" s="511"/>
      <c r="P371" s="511"/>
      <c r="Q371" s="511"/>
      <c r="R371" s="511"/>
      <c r="S371" s="511"/>
      <c r="T371" s="511"/>
      <c r="U371" s="511"/>
      <c r="V371" s="511"/>
      <c r="W371" s="511"/>
      <c r="X371" s="511"/>
      <c r="Y371" s="511"/>
      <c r="Z371" s="511"/>
      <c r="AA371" s="511"/>
      <c r="AB371" s="511"/>
      <c r="AC371" s="511"/>
      <c r="AD371" s="511"/>
      <c r="AE371" s="511"/>
      <c r="AF371" s="511"/>
      <c r="AG371" s="511"/>
      <c r="AH371" s="511"/>
      <c r="AI371" s="511"/>
      <c r="AJ371" s="511"/>
      <c r="AK371" s="511"/>
      <c r="AL371" s="511"/>
      <c r="AM371" s="511"/>
      <c r="AN371" s="511"/>
      <c r="AO371" s="511"/>
      <c r="AP371" s="511"/>
      <c r="AQ371" s="511"/>
      <c r="AR371" s="511"/>
      <c r="AS371" s="511"/>
      <c r="AT371" s="511"/>
      <c r="AU371" s="511"/>
      <c r="AV371" s="511"/>
      <c r="AW371" s="511"/>
      <c r="AX371" s="511"/>
      <c r="AY371" s="511"/>
      <c r="AZ371" s="511"/>
      <c r="BA371" s="511"/>
      <c r="BB371" s="511"/>
      <c r="BC371" s="511"/>
    </row>
    <row r="372" spans="1:55" ht="16.5" customHeight="1" x14ac:dyDescent="0.3">
      <c r="A372" s="511"/>
      <c r="B372" s="511"/>
      <c r="C372" s="511"/>
      <c r="D372" s="511"/>
      <c r="E372" s="511"/>
      <c r="F372" s="511"/>
      <c r="G372" s="511"/>
      <c r="H372" s="511"/>
      <c r="I372" s="511"/>
      <c r="J372" s="511"/>
      <c r="K372" s="511"/>
      <c r="L372" s="511"/>
      <c r="M372" s="511"/>
      <c r="N372" s="511"/>
      <c r="O372" s="511"/>
      <c r="P372" s="511"/>
      <c r="Q372" s="511"/>
      <c r="R372" s="511"/>
      <c r="S372" s="511"/>
      <c r="T372" s="511"/>
      <c r="U372" s="511"/>
      <c r="V372" s="511"/>
      <c r="W372" s="511"/>
      <c r="X372" s="511"/>
      <c r="Y372" s="511"/>
      <c r="Z372" s="511"/>
      <c r="AA372" s="511"/>
      <c r="AB372" s="511"/>
      <c r="AC372" s="511"/>
      <c r="AD372" s="511"/>
      <c r="AE372" s="511"/>
      <c r="AF372" s="511"/>
      <c r="AG372" s="511"/>
      <c r="AH372" s="511"/>
      <c r="AI372" s="511"/>
      <c r="AJ372" s="511"/>
      <c r="AK372" s="511"/>
      <c r="AL372" s="511"/>
      <c r="AM372" s="511"/>
      <c r="AN372" s="511"/>
      <c r="AO372" s="511"/>
      <c r="AP372" s="511"/>
      <c r="AQ372" s="511"/>
      <c r="AR372" s="511"/>
      <c r="AS372" s="511"/>
      <c r="AT372" s="511"/>
      <c r="AU372" s="511"/>
      <c r="AV372" s="511"/>
      <c r="AW372" s="511"/>
      <c r="AX372" s="511"/>
      <c r="AY372" s="511"/>
      <c r="AZ372" s="511"/>
      <c r="BA372" s="511"/>
      <c r="BB372" s="511"/>
      <c r="BC372" s="511"/>
    </row>
    <row r="373" spans="1:55" ht="16.5" customHeight="1" x14ac:dyDescent="0.3">
      <c r="A373" s="511"/>
      <c r="B373" s="511"/>
      <c r="C373" s="511"/>
      <c r="D373" s="511"/>
      <c r="E373" s="511"/>
      <c r="F373" s="511"/>
      <c r="G373" s="511"/>
      <c r="H373" s="511"/>
      <c r="I373" s="511"/>
      <c r="J373" s="511"/>
      <c r="K373" s="511"/>
      <c r="L373" s="511"/>
      <c r="M373" s="511"/>
      <c r="N373" s="511"/>
      <c r="O373" s="511"/>
      <c r="P373" s="511"/>
      <c r="Q373" s="511"/>
      <c r="R373" s="511"/>
      <c r="S373" s="511"/>
      <c r="T373" s="511"/>
      <c r="U373" s="511"/>
      <c r="V373" s="511"/>
      <c r="W373" s="511"/>
      <c r="X373" s="511"/>
      <c r="Y373" s="511"/>
      <c r="Z373" s="511"/>
      <c r="AA373" s="511"/>
      <c r="AB373" s="511"/>
      <c r="AC373" s="511"/>
      <c r="AD373" s="511"/>
      <c r="AE373" s="511"/>
      <c r="AF373" s="511"/>
      <c r="AG373" s="511"/>
      <c r="AH373" s="511"/>
      <c r="AI373" s="511"/>
      <c r="AJ373" s="511"/>
      <c r="AK373" s="511"/>
      <c r="AL373" s="511"/>
      <c r="AM373" s="511"/>
      <c r="AN373" s="511"/>
      <c r="AO373" s="511"/>
      <c r="AP373" s="511"/>
      <c r="AQ373" s="511"/>
      <c r="AR373" s="511"/>
      <c r="AS373" s="511"/>
      <c r="AT373" s="511"/>
      <c r="AU373" s="511"/>
      <c r="AV373" s="511"/>
      <c r="AW373" s="511"/>
      <c r="AX373" s="511"/>
      <c r="AY373" s="511"/>
      <c r="AZ373" s="511"/>
      <c r="BA373" s="511"/>
      <c r="BB373" s="511"/>
      <c r="BC373" s="511"/>
    </row>
    <row r="374" spans="1:55" ht="16.5" customHeight="1" x14ac:dyDescent="0.3">
      <c r="A374" s="511"/>
      <c r="B374" s="511"/>
      <c r="C374" s="511"/>
      <c r="D374" s="511"/>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c r="AA374" s="511"/>
      <c r="AB374" s="511"/>
      <c r="AC374" s="511"/>
      <c r="AD374" s="511"/>
      <c r="AE374" s="511"/>
      <c r="AF374" s="511"/>
      <c r="AG374" s="511"/>
      <c r="AH374" s="511"/>
      <c r="AI374" s="511"/>
      <c r="AJ374" s="511"/>
      <c r="AK374" s="511"/>
      <c r="AL374" s="511"/>
      <c r="AM374" s="511"/>
      <c r="AN374" s="511"/>
      <c r="AO374" s="511"/>
      <c r="AP374" s="511"/>
      <c r="AQ374" s="511"/>
      <c r="AR374" s="511"/>
      <c r="AS374" s="511"/>
      <c r="AT374" s="511"/>
      <c r="AU374" s="511"/>
      <c r="AV374" s="511"/>
      <c r="AW374" s="511"/>
      <c r="AX374" s="511"/>
      <c r="AY374" s="511"/>
      <c r="AZ374" s="511"/>
      <c r="BA374" s="511"/>
      <c r="BB374" s="511"/>
      <c r="BC374" s="511"/>
    </row>
    <row r="375" spans="1:55" ht="16.5" customHeight="1" x14ac:dyDescent="0.3">
      <c r="A375" s="511"/>
      <c r="B375" s="511"/>
      <c r="C375" s="511"/>
      <c r="D375" s="511"/>
      <c r="E375" s="511"/>
      <c r="F375" s="511"/>
      <c r="G375" s="511"/>
      <c r="H375" s="511"/>
      <c r="I375" s="511"/>
      <c r="J375" s="511"/>
      <c r="K375" s="511"/>
      <c r="L375" s="511"/>
      <c r="M375" s="511"/>
      <c r="N375" s="511"/>
      <c r="O375" s="511"/>
      <c r="P375" s="511"/>
      <c r="Q375" s="511"/>
      <c r="R375" s="511"/>
      <c r="S375" s="511"/>
      <c r="T375" s="511"/>
      <c r="U375" s="511"/>
      <c r="V375" s="511"/>
      <c r="W375" s="511"/>
      <c r="X375" s="511"/>
      <c r="Y375" s="511"/>
      <c r="Z375" s="511"/>
      <c r="AA375" s="511"/>
      <c r="AB375" s="511"/>
      <c r="AC375" s="511"/>
      <c r="AD375" s="511"/>
      <c r="AE375" s="511"/>
      <c r="AF375" s="511"/>
      <c r="AG375" s="511"/>
      <c r="AH375" s="511"/>
      <c r="AI375" s="511"/>
      <c r="AJ375" s="511"/>
      <c r="AK375" s="511"/>
      <c r="AL375" s="511"/>
      <c r="AM375" s="511"/>
      <c r="AN375" s="511"/>
      <c r="AO375" s="511"/>
      <c r="AP375" s="511"/>
      <c r="AQ375" s="511"/>
      <c r="AR375" s="511"/>
      <c r="AS375" s="511"/>
      <c r="AT375" s="511"/>
      <c r="AU375" s="511"/>
      <c r="AV375" s="511"/>
      <c r="AW375" s="511"/>
      <c r="AX375" s="511"/>
      <c r="AY375" s="511"/>
      <c r="AZ375" s="511"/>
      <c r="BA375" s="511"/>
      <c r="BB375" s="511"/>
      <c r="BC375" s="511"/>
    </row>
    <row r="376" spans="1:55" ht="16.5" customHeight="1" x14ac:dyDescent="0.3">
      <c r="A376" s="511"/>
      <c r="B376" s="511"/>
      <c r="C376" s="511"/>
      <c r="D376" s="511"/>
      <c r="E376" s="511"/>
      <c r="F376" s="511"/>
      <c r="G376" s="511"/>
      <c r="H376" s="511"/>
      <c r="I376" s="511"/>
      <c r="J376" s="511"/>
      <c r="K376" s="511"/>
      <c r="L376" s="511"/>
      <c r="M376" s="511"/>
      <c r="N376" s="511"/>
      <c r="O376" s="511"/>
      <c r="P376" s="511"/>
      <c r="Q376" s="511"/>
      <c r="R376" s="511"/>
      <c r="S376" s="511"/>
      <c r="T376" s="511"/>
      <c r="U376" s="511"/>
      <c r="V376" s="511"/>
      <c r="W376" s="511"/>
      <c r="X376" s="511"/>
      <c r="Y376" s="511"/>
      <c r="Z376" s="511"/>
      <c r="AA376" s="511"/>
      <c r="AB376" s="511"/>
      <c r="AC376" s="511"/>
      <c r="AD376" s="511"/>
      <c r="AE376" s="511"/>
      <c r="AF376" s="511"/>
      <c r="AG376" s="511"/>
      <c r="AH376" s="511"/>
      <c r="AI376" s="511"/>
      <c r="AJ376" s="511"/>
      <c r="AK376" s="511"/>
      <c r="AL376" s="511"/>
      <c r="AM376" s="511"/>
      <c r="AN376" s="511"/>
      <c r="AO376" s="511"/>
      <c r="AP376" s="511"/>
      <c r="AQ376" s="511"/>
      <c r="AR376" s="511"/>
      <c r="AS376" s="511"/>
      <c r="AT376" s="511"/>
      <c r="AU376" s="511"/>
      <c r="AV376" s="511"/>
      <c r="AW376" s="511"/>
      <c r="AX376" s="511"/>
      <c r="AY376" s="511"/>
      <c r="AZ376" s="511"/>
      <c r="BA376" s="511"/>
      <c r="BB376" s="511"/>
      <c r="BC376" s="511"/>
    </row>
    <row r="377" spans="1:55" ht="16.5" customHeight="1" x14ac:dyDescent="0.3">
      <c r="A377" s="511"/>
      <c r="B377" s="511"/>
      <c r="C377" s="511"/>
      <c r="D377" s="511"/>
      <c r="E377" s="511"/>
      <c r="F377" s="511"/>
      <c r="G377" s="511"/>
      <c r="H377" s="511"/>
      <c r="I377" s="511"/>
      <c r="J377" s="511"/>
      <c r="K377" s="511"/>
      <c r="L377" s="511"/>
      <c r="M377" s="511"/>
      <c r="N377" s="511"/>
      <c r="O377" s="511"/>
      <c r="P377" s="511"/>
      <c r="Q377" s="511"/>
      <c r="R377" s="511"/>
      <c r="S377" s="511"/>
      <c r="T377" s="511"/>
      <c r="U377" s="511"/>
      <c r="V377" s="511"/>
      <c r="W377" s="511"/>
      <c r="X377" s="511"/>
      <c r="Y377" s="511"/>
      <c r="Z377" s="511"/>
      <c r="AA377" s="511"/>
      <c r="AB377" s="511"/>
      <c r="AC377" s="511"/>
      <c r="AD377" s="511"/>
      <c r="AE377" s="511"/>
      <c r="AF377" s="511"/>
      <c r="AG377" s="511"/>
      <c r="AH377" s="511"/>
      <c r="AI377" s="511"/>
      <c r="AJ377" s="511"/>
      <c r="AK377" s="511"/>
      <c r="AL377" s="511"/>
      <c r="AM377" s="511"/>
      <c r="AN377" s="511"/>
      <c r="AO377" s="511"/>
      <c r="AP377" s="511"/>
      <c r="AQ377" s="511"/>
      <c r="AR377" s="511"/>
      <c r="AS377" s="511"/>
      <c r="AT377" s="511"/>
      <c r="AU377" s="511"/>
      <c r="AV377" s="511"/>
      <c r="AW377" s="511"/>
      <c r="AX377" s="511"/>
      <c r="AY377" s="511"/>
      <c r="AZ377" s="511"/>
      <c r="BA377" s="511"/>
      <c r="BB377" s="511"/>
      <c r="BC377" s="511"/>
    </row>
    <row r="378" spans="1:55" ht="16.5" customHeight="1" x14ac:dyDescent="0.3">
      <c r="A378" s="511"/>
      <c r="B378" s="511"/>
      <c r="C378" s="511"/>
      <c r="D378" s="511"/>
      <c r="E378" s="511"/>
      <c r="F378" s="511"/>
      <c r="G378" s="511"/>
      <c r="H378" s="511"/>
      <c r="I378" s="511"/>
      <c r="J378" s="511"/>
      <c r="K378" s="511"/>
      <c r="L378" s="511"/>
      <c r="M378" s="511"/>
      <c r="N378" s="511"/>
      <c r="O378" s="511"/>
      <c r="P378" s="511"/>
      <c r="Q378" s="511"/>
      <c r="R378" s="511"/>
      <c r="S378" s="511"/>
      <c r="T378" s="511"/>
      <c r="U378" s="511"/>
      <c r="V378" s="511"/>
      <c r="W378" s="511"/>
      <c r="X378" s="511"/>
      <c r="Y378" s="511"/>
      <c r="Z378" s="511"/>
      <c r="AA378" s="511"/>
      <c r="AB378" s="511"/>
      <c r="AC378" s="511"/>
      <c r="AD378" s="511"/>
      <c r="AE378" s="511"/>
      <c r="AF378" s="511"/>
      <c r="AG378" s="511"/>
      <c r="AH378" s="511"/>
      <c r="AI378" s="511"/>
      <c r="AJ378" s="511"/>
      <c r="AK378" s="511"/>
      <c r="AL378" s="511"/>
      <c r="AM378" s="511"/>
      <c r="AN378" s="511"/>
      <c r="AO378" s="511"/>
      <c r="AP378" s="511"/>
      <c r="AQ378" s="511"/>
      <c r="AR378" s="511"/>
      <c r="AS378" s="511"/>
      <c r="AT378" s="511"/>
      <c r="AU378" s="511"/>
      <c r="AV378" s="511"/>
      <c r="AW378" s="511"/>
      <c r="AX378" s="511"/>
      <c r="AY378" s="511"/>
      <c r="AZ378" s="511"/>
      <c r="BA378" s="511"/>
      <c r="BB378" s="511"/>
      <c r="BC378" s="511"/>
    </row>
    <row r="379" spans="1:55" ht="16.5" customHeight="1" x14ac:dyDescent="0.3">
      <c r="A379" s="511"/>
      <c r="B379" s="511"/>
      <c r="C379" s="511"/>
      <c r="D379" s="511"/>
      <c r="E379" s="511"/>
      <c r="F379" s="511"/>
      <c r="G379" s="511"/>
      <c r="H379" s="511"/>
      <c r="I379" s="511"/>
      <c r="J379" s="511"/>
      <c r="K379" s="511"/>
      <c r="L379" s="511"/>
      <c r="M379" s="511"/>
      <c r="N379" s="511"/>
      <c r="O379" s="511"/>
      <c r="P379" s="511"/>
      <c r="Q379" s="511"/>
      <c r="R379" s="511"/>
      <c r="S379" s="511"/>
      <c r="T379" s="511"/>
      <c r="U379" s="511"/>
      <c r="V379" s="511"/>
      <c r="W379" s="511"/>
      <c r="X379" s="511"/>
      <c r="Y379" s="511"/>
      <c r="Z379" s="511"/>
      <c r="AA379" s="511"/>
      <c r="AB379" s="511"/>
      <c r="AC379" s="511"/>
      <c r="AD379" s="511"/>
      <c r="AE379" s="511"/>
      <c r="AF379" s="511"/>
      <c r="AG379" s="511"/>
      <c r="AH379" s="511"/>
      <c r="AI379" s="511"/>
      <c r="AJ379" s="511"/>
      <c r="AK379" s="511"/>
      <c r="AL379" s="511"/>
      <c r="AM379" s="511"/>
      <c r="AN379" s="511"/>
      <c r="AO379" s="511"/>
      <c r="AP379" s="511"/>
      <c r="AQ379" s="511"/>
      <c r="AR379" s="511"/>
      <c r="AS379" s="511"/>
      <c r="AT379" s="511"/>
      <c r="AU379" s="511"/>
      <c r="AV379" s="511"/>
      <c r="AW379" s="511"/>
      <c r="AX379" s="511"/>
      <c r="AY379" s="511"/>
      <c r="AZ379" s="511"/>
      <c r="BA379" s="511"/>
      <c r="BB379" s="511"/>
      <c r="BC379" s="511"/>
    </row>
    <row r="380" spans="1:55" ht="16.5" customHeight="1" x14ac:dyDescent="0.3">
      <c r="A380" s="511"/>
      <c r="B380" s="511"/>
      <c r="C380" s="511"/>
      <c r="D380" s="511"/>
      <c r="E380" s="511"/>
      <c r="F380" s="511"/>
      <c r="G380" s="511"/>
      <c r="H380" s="511"/>
      <c r="I380" s="511"/>
      <c r="J380" s="511"/>
      <c r="K380" s="511"/>
      <c r="L380" s="511"/>
      <c r="M380" s="511"/>
      <c r="N380" s="511"/>
      <c r="O380" s="511"/>
      <c r="P380" s="511"/>
      <c r="Q380" s="511"/>
      <c r="R380" s="511"/>
      <c r="S380" s="511"/>
      <c r="T380" s="511"/>
      <c r="U380" s="511"/>
      <c r="V380" s="511"/>
      <c r="W380" s="511"/>
      <c r="X380" s="511"/>
      <c r="Y380" s="511"/>
      <c r="Z380" s="511"/>
      <c r="AA380" s="511"/>
      <c r="AB380" s="511"/>
      <c r="AC380" s="511"/>
      <c r="AD380" s="511"/>
      <c r="AE380" s="511"/>
      <c r="AF380" s="511"/>
      <c r="AG380" s="511"/>
      <c r="AH380" s="511"/>
      <c r="AI380" s="511"/>
      <c r="AJ380" s="511"/>
      <c r="AK380" s="511"/>
      <c r="AL380" s="511"/>
      <c r="AM380" s="511"/>
      <c r="AN380" s="511"/>
      <c r="AO380" s="511"/>
      <c r="AP380" s="511"/>
      <c r="AQ380" s="511"/>
      <c r="AR380" s="511"/>
      <c r="AS380" s="511"/>
      <c r="AT380" s="511"/>
      <c r="AU380" s="511"/>
      <c r="AV380" s="511"/>
      <c r="AW380" s="511"/>
      <c r="AX380" s="511"/>
      <c r="AY380" s="511"/>
      <c r="AZ380" s="511"/>
      <c r="BA380" s="511"/>
      <c r="BB380" s="511"/>
      <c r="BC380" s="511"/>
    </row>
    <row r="381" spans="1:55" ht="16.5" customHeight="1" x14ac:dyDescent="0.3">
      <c r="A381" s="511"/>
      <c r="B381" s="511"/>
      <c r="C381" s="511"/>
      <c r="D381" s="511"/>
      <c r="E381" s="511"/>
      <c r="F381" s="511"/>
      <c r="G381" s="511"/>
      <c r="H381" s="511"/>
      <c r="I381" s="511"/>
      <c r="J381" s="511"/>
      <c r="K381" s="511"/>
      <c r="L381" s="511"/>
      <c r="M381" s="511"/>
      <c r="N381" s="511"/>
      <c r="O381" s="511"/>
      <c r="P381" s="511"/>
      <c r="Q381" s="511"/>
      <c r="R381" s="511"/>
      <c r="S381" s="511"/>
      <c r="T381" s="511"/>
      <c r="U381" s="511"/>
      <c r="V381" s="511"/>
      <c r="W381" s="511"/>
      <c r="X381" s="511"/>
      <c r="Y381" s="511"/>
      <c r="Z381" s="511"/>
      <c r="AA381" s="511"/>
      <c r="AB381" s="511"/>
      <c r="AC381" s="511"/>
      <c r="AD381" s="511"/>
      <c r="AE381" s="511"/>
      <c r="AF381" s="511"/>
      <c r="AG381" s="511"/>
      <c r="AH381" s="511"/>
      <c r="AI381" s="511"/>
      <c r="AJ381" s="511"/>
      <c r="AK381" s="511"/>
      <c r="AL381" s="511"/>
      <c r="AM381" s="511"/>
      <c r="AN381" s="511"/>
      <c r="AO381" s="511"/>
      <c r="AP381" s="511"/>
      <c r="AQ381" s="511"/>
      <c r="AR381" s="511"/>
      <c r="AS381" s="511"/>
      <c r="AT381" s="511"/>
      <c r="AU381" s="511"/>
      <c r="AV381" s="511"/>
      <c r="AW381" s="511"/>
      <c r="AX381" s="511"/>
      <c r="AY381" s="511"/>
      <c r="AZ381" s="511"/>
      <c r="BA381" s="511"/>
      <c r="BB381" s="511"/>
      <c r="BC381" s="511"/>
    </row>
    <row r="382" spans="1:55" ht="16.5" customHeight="1" x14ac:dyDescent="0.3">
      <c r="A382" s="511"/>
      <c r="B382" s="511"/>
      <c r="C382" s="511"/>
      <c r="D382" s="511"/>
      <c r="E382" s="511"/>
      <c r="F382" s="511"/>
      <c r="G382" s="511"/>
      <c r="H382" s="511"/>
      <c r="I382" s="511"/>
      <c r="J382" s="511"/>
      <c r="K382" s="511"/>
      <c r="L382" s="511"/>
      <c r="M382" s="511"/>
      <c r="N382" s="511"/>
      <c r="O382" s="511"/>
      <c r="P382" s="511"/>
      <c r="Q382" s="511"/>
      <c r="R382" s="511"/>
      <c r="S382" s="511"/>
      <c r="T382" s="511"/>
      <c r="U382" s="511"/>
      <c r="V382" s="511"/>
      <c r="W382" s="511"/>
      <c r="X382" s="511"/>
      <c r="Y382" s="511"/>
      <c r="Z382" s="511"/>
      <c r="AA382" s="511"/>
      <c r="AB382" s="511"/>
      <c r="AC382" s="511"/>
      <c r="AD382" s="511"/>
      <c r="AE382" s="511"/>
      <c r="AF382" s="511"/>
      <c r="AG382" s="511"/>
      <c r="AH382" s="511"/>
      <c r="AI382" s="511"/>
      <c r="AJ382" s="511"/>
      <c r="AK382" s="511"/>
      <c r="AL382" s="511"/>
      <c r="AM382" s="511"/>
      <c r="AN382" s="511"/>
      <c r="AO382" s="511"/>
      <c r="AP382" s="511"/>
      <c r="AQ382" s="511"/>
      <c r="AR382" s="511"/>
      <c r="AS382" s="511"/>
      <c r="AT382" s="511"/>
      <c r="AU382" s="511"/>
      <c r="AV382" s="511"/>
      <c r="AW382" s="511"/>
      <c r="AX382" s="511"/>
      <c r="AY382" s="511"/>
      <c r="AZ382" s="511"/>
      <c r="BA382" s="511"/>
      <c r="BB382" s="511"/>
      <c r="BC382" s="511"/>
    </row>
    <row r="383" spans="1:55" ht="16.5" customHeight="1" x14ac:dyDescent="0.3">
      <c r="A383" s="511"/>
      <c r="B383" s="511"/>
      <c r="C383" s="511"/>
      <c r="D383" s="511"/>
      <c r="E383" s="511"/>
      <c r="F383" s="511"/>
      <c r="G383" s="511"/>
      <c r="H383" s="511"/>
      <c r="I383" s="511"/>
      <c r="J383" s="511"/>
      <c r="K383" s="511"/>
      <c r="L383" s="511"/>
      <c r="M383" s="511"/>
      <c r="N383" s="511"/>
      <c r="O383" s="511"/>
      <c r="P383" s="511"/>
      <c r="Q383" s="511"/>
      <c r="R383" s="511"/>
      <c r="S383" s="511"/>
      <c r="T383" s="511"/>
      <c r="U383" s="511"/>
      <c r="V383" s="511"/>
      <c r="W383" s="511"/>
      <c r="X383" s="511"/>
      <c r="Y383" s="511"/>
      <c r="Z383" s="511"/>
      <c r="AA383" s="511"/>
      <c r="AB383" s="511"/>
      <c r="AC383" s="511"/>
      <c r="AD383" s="511"/>
      <c r="AE383" s="511"/>
      <c r="AF383" s="511"/>
      <c r="AG383" s="511"/>
      <c r="AH383" s="511"/>
      <c r="AI383" s="511"/>
      <c r="AJ383" s="511"/>
      <c r="AK383" s="511"/>
      <c r="AL383" s="511"/>
      <c r="AM383" s="511"/>
      <c r="AN383" s="511"/>
      <c r="AO383" s="511"/>
      <c r="AP383" s="511"/>
      <c r="AQ383" s="511"/>
      <c r="AR383" s="511"/>
      <c r="AS383" s="511"/>
      <c r="AT383" s="511"/>
      <c r="AU383" s="511"/>
      <c r="AV383" s="511"/>
      <c r="AW383" s="511"/>
      <c r="AX383" s="511"/>
      <c r="AY383" s="511"/>
      <c r="AZ383" s="511"/>
      <c r="BA383" s="511"/>
      <c r="BB383" s="511"/>
      <c r="BC383" s="511"/>
    </row>
    <row r="384" spans="1:55" ht="16.5" customHeight="1" x14ac:dyDescent="0.3">
      <c r="A384" s="511"/>
      <c r="B384" s="511"/>
      <c r="C384" s="511"/>
      <c r="D384" s="511"/>
      <c r="E384" s="511"/>
      <c r="F384" s="511"/>
      <c r="G384" s="511"/>
      <c r="H384" s="511"/>
      <c r="I384" s="511"/>
      <c r="J384" s="511"/>
      <c r="K384" s="511"/>
      <c r="L384" s="511"/>
      <c r="M384" s="511"/>
      <c r="N384" s="511"/>
      <c r="O384" s="511"/>
      <c r="P384" s="511"/>
      <c r="Q384" s="511"/>
      <c r="R384" s="511"/>
      <c r="S384" s="511"/>
      <c r="T384" s="511"/>
      <c r="U384" s="511"/>
      <c r="V384" s="511"/>
      <c r="W384" s="511"/>
      <c r="X384" s="511"/>
      <c r="Y384" s="511"/>
      <c r="Z384" s="511"/>
      <c r="AA384" s="511"/>
      <c r="AB384" s="511"/>
      <c r="AC384" s="511"/>
      <c r="AD384" s="511"/>
      <c r="AE384" s="511"/>
      <c r="AF384" s="511"/>
      <c r="AG384" s="511"/>
      <c r="AH384" s="511"/>
      <c r="AI384" s="511"/>
      <c r="AJ384" s="511"/>
      <c r="AK384" s="511"/>
      <c r="AL384" s="511"/>
      <c r="AM384" s="511"/>
      <c r="AN384" s="511"/>
      <c r="AO384" s="511"/>
      <c r="AP384" s="511"/>
      <c r="AQ384" s="511"/>
      <c r="AR384" s="511"/>
      <c r="AS384" s="511"/>
      <c r="AT384" s="511"/>
      <c r="AU384" s="511"/>
      <c r="AV384" s="511"/>
      <c r="AW384" s="511"/>
      <c r="AX384" s="511"/>
      <c r="AY384" s="511"/>
      <c r="AZ384" s="511"/>
      <c r="BA384" s="511"/>
      <c r="BB384" s="511"/>
      <c r="BC384" s="511"/>
    </row>
    <row r="385" spans="1:55" ht="16.5" customHeight="1" x14ac:dyDescent="0.3">
      <c r="A385" s="511"/>
      <c r="B385" s="511"/>
      <c r="C385" s="511"/>
      <c r="D385" s="511"/>
      <c r="E385" s="511"/>
      <c r="F385" s="511"/>
      <c r="G385" s="511"/>
      <c r="H385" s="511"/>
      <c r="I385" s="511"/>
      <c r="J385" s="511"/>
      <c r="K385" s="511"/>
      <c r="L385" s="511"/>
      <c r="M385" s="511"/>
      <c r="N385" s="511"/>
      <c r="O385" s="511"/>
      <c r="P385" s="511"/>
      <c r="Q385" s="511"/>
      <c r="R385" s="511"/>
      <c r="S385" s="511"/>
      <c r="T385" s="511"/>
      <c r="U385" s="511"/>
      <c r="V385" s="511"/>
      <c r="W385" s="511"/>
      <c r="X385" s="511"/>
      <c r="Y385" s="511"/>
      <c r="Z385" s="511"/>
      <c r="AA385" s="511"/>
      <c r="AB385" s="511"/>
      <c r="AC385" s="511"/>
      <c r="AD385" s="511"/>
      <c r="AE385" s="511"/>
      <c r="AF385" s="511"/>
      <c r="AG385" s="511"/>
      <c r="AH385" s="511"/>
      <c r="AI385" s="511"/>
      <c r="AJ385" s="511"/>
      <c r="AK385" s="511"/>
      <c r="AL385" s="511"/>
      <c r="AM385" s="511"/>
      <c r="AN385" s="511"/>
      <c r="AO385" s="511"/>
      <c r="AP385" s="511"/>
      <c r="AQ385" s="511"/>
      <c r="AR385" s="511"/>
      <c r="AS385" s="511"/>
      <c r="AT385" s="511"/>
      <c r="AU385" s="511"/>
      <c r="AV385" s="511"/>
      <c r="AW385" s="511"/>
      <c r="AX385" s="511"/>
      <c r="AY385" s="511"/>
      <c r="AZ385" s="511"/>
      <c r="BA385" s="511"/>
      <c r="BB385" s="511"/>
      <c r="BC385" s="511"/>
    </row>
    <row r="386" spans="1:55" ht="16.5" customHeight="1" x14ac:dyDescent="0.3">
      <c r="A386" s="511"/>
      <c r="B386" s="511"/>
      <c r="C386" s="511"/>
      <c r="D386" s="511"/>
      <c r="E386" s="511"/>
      <c r="F386" s="511"/>
      <c r="G386" s="511"/>
      <c r="H386" s="511"/>
      <c r="I386" s="511"/>
      <c r="J386" s="511"/>
      <c r="K386" s="511"/>
      <c r="L386" s="511"/>
      <c r="M386" s="511"/>
      <c r="N386" s="511"/>
      <c r="O386" s="511"/>
      <c r="P386" s="511"/>
      <c r="Q386" s="511"/>
      <c r="R386" s="511"/>
      <c r="S386" s="511"/>
      <c r="T386" s="511"/>
      <c r="U386" s="511"/>
      <c r="V386" s="511"/>
      <c r="W386" s="511"/>
      <c r="X386" s="511"/>
      <c r="Y386" s="511"/>
      <c r="Z386" s="511"/>
      <c r="AA386" s="511"/>
      <c r="AB386" s="511"/>
      <c r="AC386" s="511"/>
      <c r="AD386" s="511"/>
      <c r="AE386" s="511"/>
      <c r="AF386" s="511"/>
      <c r="AG386" s="511"/>
      <c r="AH386" s="511"/>
      <c r="AI386" s="511"/>
      <c r="AJ386" s="511"/>
      <c r="AK386" s="511"/>
      <c r="AL386" s="511"/>
      <c r="AM386" s="511"/>
      <c r="AN386" s="511"/>
      <c r="AO386" s="511"/>
      <c r="AP386" s="511"/>
      <c r="AQ386" s="511"/>
      <c r="AR386" s="511"/>
      <c r="AS386" s="511"/>
      <c r="AT386" s="511"/>
      <c r="AU386" s="511"/>
      <c r="AV386" s="511"/>
      <c r="AW386" s="511"/>
      <c r="AX386" s="511"/>
      <c r="AY386" s="511"/>
      <c r="AZ386" s="511"/>
      <c r="BA386" s="511"/>
      <c r="BB386" s="511"/>
      <c r="BC386" s="511"/>
    </row>
    <row r="387" spans="1:55" ht="16.5" customHeight="1" x14ac:dyDescent="0.3">
      <c r="A387" s="511"/>
      <c r="B387" s="511"/>
      <c r="C387" s="511"/>
      <c r="D387" s="511"/>
      <c r="E387" s="511"/>
      <c r="F387" s="511"/>
      <c r="G387" s="511"/>
      <c r="H387" s="511"/>
      <c r="I387" s="511"/>
      <c r="J387" s="511"/>
      <c r="K387" s="511"/>
      <c r="L387" s="511"/>
      <c r="M387" s="511"/>
      <c r="N387" s="511"/>
      <c r="O387" s="511"/>
      <c r="P387" s="511"/>
      <c r="Q387" s="511"/>
      <c r="R387" s="511"/>
      <c r="S387" s="511"/>
      <c r="T387" s="511"/>
      <c r="U387" s="511"/>
      <c r="V387" s="511"/>
      <c r="W387" s="511"/>
      <c r="X387" s="511"/>
      <c r="Y387" s="511"/>
      <c r="Z387" s="511"/>
      <c r="AA387" s="511"/>
      <c r="AB387" s="511"/>
      <c r="AC387" s="511"/>
      <c r="AD387" s="511"/>
      <c r="AE387" s="511"/>
      <c r="AF387" s="511"/>
      <c r="AG387" s="511"/>
      <c r="AH387" s="511"/>
      <c r="AI387" s="511"/>
      <c r="AJ387" s="511"/>
      <c r="AK387" s="511"/>
      <c r="AL387" s="511"/>
      <c r="AM387" s="511"/>
      <c r="AN387" s="511"/>
      <c r="AO387" s="511"/>
      <c r="AP387" s="511"/>
      <c r="AQ387" s="511"/>
      <c r="AR387" s="511"/>
      <c r="AS387" s="511"/>
      <c r="AT387" s="511"/>
      <c r="AU387" s="511"/>
      <c r="AV387" s="511"/>
      <c r="AW387" s="511"/>
      <c r="AX387" s="511"/>
      <c r="AY387" s="511"/>
      <c r="AZ387" s="511"/>
      <c r="BA387" s="511"/>
      <c r="BB387" s="511"/>
      <c r="BC387" s="511"/>
    </row>
    <row r="388" spans="1:55" ht="16.5" customHeight="1" x14ac:dyDescent="0.3">
      <c r="A388" s="511"/>
      <c r="B388" s="511"/>
      <c r="C388" s="511"/>
      <c r="D388" s="511"/>
      <c r="E388" s="511"/>
      <c r="F388" s="511"/>
      <c r="G388" s="511"/>
      <c r="H388" s="511"/>
      <c r="I388" s="511"/>
      <c r="J388" s="511"/>
      <c r="K388" s="511"/>
      <c r="L388" s="511"/>
      <c r="M388" s="511"/>
      <c r="N388" s="511"/>
      <c r="O388" s="511"/>
      <c r="P388" s="511"/>
      <c r="Q388" s="511"/>
      <c r="R388" s="511"/>
      <c r="S388" s="511"/>
      <c r="T388" s="511"/>
      <c r="U388" s="511"/>
      <c r="V388" s="511"/>
      <c r="W388" s="511"/>
      <c r="X388" s="511"/>
      <c r="Y388" s="511"/>
      <c r="Z388" s="511"/>
      <c r="AA388" s="511"/>
      <c r="AB388" s="511"/>
      <c r="AC388" s="511"/>
      <c r="AD388" s="511"/>
      <c r="AE388" s="511"/>
      <c r="AF388" s="511"/>
      <c r="AG388" s="511"/>
      <c r="AH388" s="511"/>
      <c r="AI388" s="511"/>
      <c r="AJ388" s="511"/>
      <c r="AK388" s="511"/>
      <c r="AL388" s="511"/>
      <c r="AM388" s="511"/>
      <c r="AN388" s="511"/>
      <c r="AO388" s="511"/>
      <c r="AP388" s="511"/>
      <c r="AQ388" s="511"/>
      <c r="AR388" s="511"/>
      <c r="AS388" s="511"/>
      <c r="AT388" s="511"/>
      <c r="AU388" s="511"/>
      <c r="AV388" s="511"/>
      <c r="AW388" s="511"/>
      <c r="AX388" s="511"/>
      <c r="AY388" s="511"/>
      <c r="AZ388" s="511"/>
      <c r="BA388" s="511"/>
      <c r="BB388" s="511"/>
      <c r="BC388" s="511"/>
    </row>
    <row r="389" spans="1:55" ht="16.5" customHeight="1" x14ac:dyDescent="0.3">
      <c r="A389" s="511"/>
      <c r="B389" s="511"/>
      <c r="C389" s="511"/>
      <c r="D389" s="511"/>
      <c r="E389" s="511"/>
      <c r="F389" s="511"/>
      <c r="G389" s="511"/>
      <c r="H389" s="511"/>
      <c r="I389" s="511"/>
      <c r="J389" s="511"/>
      <c r="K389" s="511"/>
      <c r="L389" s="511"/>
      <c r="M389" s="511"/>
      <c r="N389" s="511"/>
      <c r="O389" s="511"/>
      <c r="P389" s="511"/>
      <c r="Q389" s="511"/>
      <c r="R389" s="511"/>
      <c r="S389" s="511"/>
      <c r="T389" s="511"/>
      <c r="U389" s="511"/>
      <c r="V389" s="511"/>
      <c r="W389" s="511"/>
      <c r="X389" s="511"/>
      <c r="Y389" s="511"/>
      <c r="Z389" s="511"/>
      <c r="AA389" s="511"/>
      <c r="AB389" s="511"/>
      <c r="AC389" s="511"/>
      <c r="AD389" s="511"/>
      <c r="AE389" s="511"/>
      <c r="AF389" s="511"/>
      <c r="AG389" s="511"/>
      <c r="AH389" s="511"/>
      <c r="AI389" s="511"/>
      <c r="AJ389" s="511"/>
      <c r="AK389" s="511"/>
      <c r="AL389" s="511"/>
      <c r="AM389" s="511"/>
      <c r="AN389" s="511"/>
      <c r="AO389" s="511"/>
      <c r="AP389" s="511"/>
      <c r="AQ389" s="511"/>
      <c r="AR389" s="511"/>
      <c r="AS389" s="511"/>
      <c r="AT389" s="511"/>
      <c r="AU389" s="511"/>
      <c r="AV389" s="511"/>
      <c r="AW389" s="511"/>
      <c r="AX389" s="511"/>
      <c r="AY389" s="511"/>
      <c r="AZ389" s="511"/>
      <c r="BA389" s="511"/>
      <c r="BB389" s="511"/>
      <c r="BC389" s="511"/>
    </row>
    <row r="390" spans="1:55" ht="16.5" customHeight="1" x14ac:dyDescent="0.3">
      <c r="A390" s="511"/>
      <c r="B390" s="511"/>
      <c r="C390" s="511"/>
      <c r="D390" s="511"/>
      <c r="E390" s="511"/>
      <c r="F390" s="511"/>
      <c r="G390" s="511"/>
      <c r="H390" s="511"/>
      <c r="I390" s="511"/>
      <c r="J390" s="511"/>
      <c r="K390" s="511"/>
      <c r="L390" s="511"/>
      <c r="M390" s="511"/>
      <c r="N390" s="511"/>
      <c r="O390" s="511"/>
      <c r="P390" s="511"/>
      <c r="Q390" s="511"/>
      <c r="R390" s="511"/>
      <c r="S390" s="511"/>
      <c r="T390" s="511"/>
      <c r="U390" s="511"/>
      <c r="V390" s="511"/>
      <c r="W390" s="511"/>
      <c r="X390" s="511"/>
      <c r="Y390" s="511"/>
      <c r="Z390" s="511"/>
      <c r="AA390" s="511"/>
      <c r="AB390" s="511"/>
      <c r="AC390" s="511"/>
      <c r="AD390" s="511"/>
      <c r="AE390" s="511"/>
      <c r="AF390" s="511"/>
      <c r="AG390" s="511"/>
      <c r="AH390" s="511"/>
      <c r="AI390" s="511"/>
      <c r="AJ390" s="511"/>
      <c r="AK390" s="511"/>
      <c r="AL390" s="511"/>
      <c r="AM390" s="511"/>
      <c r="AN390" s="511"/>
      <c r="AO390" s="511"/>
      <c r="AP390" s="511"/>
      <c r="AQ390" s="511"/>
      <c r="AR390" s="511"/>
      <c r="AS390" s="511"/>
      <c r="AT390" s="511"/>
      <c r="AU390" s="511"/>
      <c r="AV390" s="511"/>
      <c r="AW390" s="511"/>
      <c r="AX390" s="511"/>
      <c r="AY390" s="511"/>
      <c r="AZ390" s="511"/>
      <c r="BA390" s="511"/>
      <c r="BB390" s="511"/>
      <c r="BC390" s="511"/>
    </row>
    <row r="391" spans="1:55" ht="16.5" customHeight="1" x14ac:dyDescent="0.3">
      <c r="A391" s="511"/>
      <c r="B391" s="511"/>
      <c r="C391" s="511"/>
      <c r="D391" s="511"/>
      <c r="E391" s="511"/>
      <c r="F391" s="511"/>
      <c r="G391" s="511"/>
      <c r="H391" s="511"/>
      <c r="I391" s="511"/>
      <c r="J391" s="511"/>
      <c r="K391" s="511"/>
      <c r="L391" s="511"/>
      <c r="M391" s="511"/>
      <c r="N391" s="511"/>
      <c r="O391" s="511"/>
      <c r="P391" s="511"/>
      <c r="Q391" s="511"/>
      <c r="R391" s="511"/>
      <c r="S391" s="511"/>
      <c r="T391" s="511"/>
      <c r="U391" s="511"/>
      <c r="V391" s="511"/>
      <c r="W391" s="511"/>
      <c r="X391" s="511"/>
      <c r="Y391" s="511"/>
      <c r="Z391" s="511"/>
      <c r="AA391" s="511"/>
      <c r="AB391" s="511"/>
      <c r="AC391" s="511"/>
      <c r="AD391" s="511"/>
      <c r="AE391" s="511"/>
      <c r="AF391" s="511"/>
      <c r="AG391" s="511"/>
      <c r="AH391" s="511"/>
      <c r="AI391" s="511"/>
      <c r="AJ391" s="511"/>
      <c r="AK391" s="511"/>
      <c r="AL391" s="511"/>
      <c r="AM391" s="511"/>
      <c r="AN391" s="511"/>
      <c r="AO391" s="511"/>
      <c r="AP391" s="511"/>
      <c r="AQ391" s="511"/>
      <c r="AR391" s="511"/>
      <c r="AS391" s="511"/>
      <c r="AT391" s="511"/>
      <c r="AU391" s="511"/>
      <c r="AV391" s="511"/>
      <c r="AW391" s="511"/>
      <c r="AX391" s="511"/>
      <c r="AY391" s="511"/>
      <c r="AZ391" s="511"/>
      <c r="BA391" s="511"/>
      <c r="BB391" s="511"/>
      <c r="BC391" s="511"/>
    </row>
    <row r="392" spans="1:55" ht="16.5" customHeight="1" x14ac:dyDescent="0.3">
      <c r="A392" s="511"/>
      <c r="B392" s="511"/>
      <c r="C392" s="511"/>
      <c r="D392" s="511"/>
      <c r="E392" s="511"/>
      <c r="F392" s="511"/>
      <c r="G392" s="511"/>
      <c r="H392" s="511"/>
      <c r="I392" s="511"/>
      <c r="J392" s="511"/>
      <c r="K392" s="511"/>
      <c r="L392" s="511"/>
      <c r="M392" s="511"/>
      <c r="N392" s="511"/>
      <c r="O392" s="511"/>
      <c r="P392" s="511"/>
      <c r="Q392" s="511"/>
      <c r="R392" s="511"/>
      <c r="S392" s="511"/>
      <c r="T392" s="511"/>
      <c r="U392" s="511"/>
      <c r="V392" s="511"/>
      <c r="W392" s="511"/>
      <c r="X392" s="511"/>
      <c r="Y392" s="511"/>
      <c r="Z392" s="511"/>
      <c r="AA392" s="511"/>
      <c r="AB392" s="511"/>
      <c r="AC392" s="511"/>
      <c r="AD392" s="511"/>
      <c r="AE392" s="511"/>
      <c r="AF392" s="511"/>
      <c r="AG392" s="511"/>
      <c r="AH392" s="511"/>
      <c r="AI392" s="511"/>
      <c r="AJ392" s="511"/>
      <c r="AK392" s="511"/>
      <c r="AL392" s="511"/>
      <c r="AM392" s="511"/>
      <c r="AN392" s="511"/>
      <c r="AO392" s="511"/>
      <c r="AP392" s="511"/>
      <c r="AQ392" s="511"/>
      <c r="AR392" s="511"/>
      <c r="AS392" s="511"/>
      <c r="AT392" s="511"/>
      <c r="AU392" s="511"/>
      <c r="AV392" s="511"/>
      <c r="AW392" s="511"/>
      <c r="AX392" s="511"/>
      <c r="AY392" s="511"/>
      <c r="AZ392" s="511"/>
      <c r="BA392" s="511"/>
      <c r="BB392" s="511"/>
      <c r="BC392" s="511"/>
    </row>
    <row r="393" spans="1:55" ht="16.5" customHeight="1" x14ac:dyDescent="0.3">
      <c r="A393" s="511"/>
      <c r="B393" s="511"/>
      <c r="C393" s="511"/>
      <c r="D393" s="511"/>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c r="AA393" s="511"/>
      <c r="AB393" s="511"/>
      <c r="AC393" s="511"/>
      <c r="AD393" s="511"/>
      <c r="AE393" s="511"/>
      <c r="AF393" s="511"/>
      <c r="AG393" s="511"/>
      <c r="AH393" s="511"/>
      <c r="AI393" s="511"/>
      <c r="AJ393" s="511"/>
      <c r="AK393" s="511"/>
      <c r="AL393" s="511"/>
      <c r="AM393" s="511"/>
      <c r="AN393" s="511"/>
      <c r="AO393" s="511"/>
      <c r="AP393" s="511"/>
      <c r="AQ393" s="511"/>
      <c r="AR393" s="511"/>
      <c r="AS393" s="511"/>
      <c r="AT393" s="511"/>
      <c r="AU393" s="511"/>
      <c r="AV393" s="511"/>
      <c r="AW393" s="511"/>
      <c r="AX393" s="511"/>
      <c r="AY393" s="511"/>
      <c r="AZ393" s="511"/>
      <c r="BA393" s="511"/>
      <c r="BB393" s="511"/>
      <c r="BC393" s="511"/>
    </row>
    <row r="394" spans="1:55" ht="16.5" customHeight="1" x14ac:dyDescent="0.3">
      <c r="A394" s="511"/>
      <c r="B394" s="511"/>
      <c r="C394" s="511"/>
      <c r="D394" s="511"/>
      <c r="E394" s="511"/>
      <c r="F394" s="511"/>
      <c r="G394" s="511"/>
      <c r="H394" s="511"/>
      <c r="I394" s="511"/>
      <c r="J394" s="511"/>
      <c r="K394" s="511"/>
      <c r="L394" s="511"/>
      <c r="M394" s="511"/>
      <c r="N394" s="511"/>
      <c r="O394" s="511"/>
      <c r="P394" s="511"/>
      <c r="Q394" s="511"/>
      <c r="R394" s="511"/>
      <c r="S394" s="511"/>
      <c r="T394" s="511"/>
      <c r="U394" s="511"/>
      <c r="V394" s="511"/>
      <c r="W394" s="511"/>
      <c r="X394" s="511"/>
      <c r="Y394" s="511"/>
      <c r="Z394" s="511"/>
      <c r="AA394" s="511"/>
      <c r="AB394" s="511"/>
      <c r="AC394" s="511"/>
      <c r="AD394" s="511"/>
      <c r="AE394" s="511"/>
      <c r="AF394" s="511"/>
      <c r="AG394" s="511"/>
      <c r="AH394" s="511"/>
      <c r="AI394" s="511"/>
      <c r="AJ394" s="511"/>
      <c r="AK394" s="511"/>
      <c r="AL394" s="511"/>
      <c r="AM394" s="511"/>
      <c r="AN394" s="511"/>
      <c r="AO394" s="511"/>
      <c r="AP394" s="511"/>
      <c r="AQ394" s="511"/>
      <c r="AR394" s="511"/>
      <c r="AS394" s="511"/>
      <c r="AT394" s="511"/>
      <c r="AU394" s="511"/>
      <c r="AV394" s="511"/>
      <c r="AW394" s="511"/>
      <c r="AX394" s="511"/>
      <c r="AY394" s="511"/>
      <c r="AZ394" s="511"/>
      <c r="BA394" s="511"/>
      <c r="BB394" s="511"/>
      <c r="BC394" s="511"/>
    </row>
    <row r="395" spans="1:55" ht="16.5" customHeight="1" x14ac:dyDescent="0.3">
      <c r="A395" s="511"/>
      <c r="B395" s="511"/>
      <c r="C395" s="511"/>
      <c r="D395" s="511"/>
      <c r="E395" s="511"/>
      <c r="F395" s="511"/>
      <c r="G395" s="511"/>
      <c r="H395" s="511"/>
      <c r="I395" s="511"/>
      <c r="J395" s="511"/>
      <c r="K395" s="511"/>
      <c r="L395" s="511"/>
      <c r="M395" s="511"/>
      <c r="N395" s="511"/>
      <c r="O395" s="511"/>
      <c r="P395" s="511"/>
      <c r="Q395" s="511"/>
      <c r="R395" s="511"/>
      <c r="S395" s="511"/>
      <c r="T395" s="511"/>
      <c r="U395" s="511"/>
      <c r="V395" s="511"/>
      <c r="W395" s="511"/>
      <c r="X395" s="511"/>
      <c r="Y395" s="511"/>
      <c r="Z395" s="511"/>
      <c r="AA395" s="511"/>
      <c r="AB395" s="511"/>
      <c r="AC395" s="511"/>
      <c r="AD395" s="511"/>
      <c r="AE395" s="511"/>
      <c r="AF395" s="511"/>
      <c r="AG395" s="511"/>
      <c r="AH395" s="511"/>
      <c r="AI395" s="511"/>
      <c r="AJ395" s="511"/>
      <c r="AK395" s="511"/>
      <c r="AL395" s="511"/>
      <c r="AM395" s="511"/>
      <c r="AN395" s="511"/>
      <c r="AO395" s="511"/>
      <c r="AP395" s="511"/>
      <c r="AQ395" s="511"/>
      <c r="AR395" s="511"/>
      <c r="AS395" s="511"/>
      <c r="AT395" s="511"/>
      <c r="AU395" s="511"/>
      <c r="AV395" s="511"/>
      <c r="AW395" s="511"/>
      <c r="AX395" s="511"/>
      <c r="AY395" s="511"/>
      <c r="AZ395" s="511"/>
      <c r="BA395" s="511"/>
      <c r="BB395" s="511"/>
      <c r="BC395" s="511"/>
    </row>
    <row r="396" spans="1:55" ht="16.5" customHeight="1" x14ac:dyDescent="0.3">
      <c r="A396" s="511"/>
      <c r="B396" s="511"/>
      <c r="C396" s="511"/>
      <c r="D396" s="511"/>
      <c r="E396" s="511"/>
      <c r="F396" s="511"/>
      <c r="G396" s="511"/>
      <c r="H396" s="511"/>
      <c r="I396" s="511"/>
      <c r="J396" s="511"/>
      <c r="K396" s="511"/>
      <c r="L396" s="511"/>
      <c r="M396" s="511"/>
      <c r="N396" s="511"/>
      <c r="O396" s="511"/>
      <c r="P396" s="511"/>
      <c r="Q396" s="511"/>
      <c r="R396" s="511"/>
      <c r="S396" s="511"/>
      <c r="T396" s="511"/>
      <c r="U396" s="511"/>
      <c r="V396" s="511"/>
      <c r="W396" s="511"/>
      <c r="X396" s="511"/>
      <c r="Y396" s="511"/>
      <c r="Z396" s="511"/>
      <c r="AA396" s="511"/>
      <c r="AB396" s="511"/>
      <c r="AC396" s="511"/>
      <c r="AD396" s="511"/>
      <c r="AE396" s="511"/>
      <c r="AF396" s="511"/>
      <c r="AG396" s="511"/>
      <c r="AH396" s="511"/>
      <c r="AI396" s="511"/>
      <c r="AJ396" s="511"/>
      <c r="AK396" s="511"/>
      <c r="AL396" s="511"/>
      <c r="AM396" s="511"/>
      <c r="AN396" s="511"/>
      <c r="AO396" s="511"/>
      <c r="AP396" s="511"/>
      <c r="AQ396" s="511"/>
      <c r="AR396" s="511"/>
      <c r="AS396" s="511"/>
      <c r="AT396" s="511"/>
      <c r="AU396" s="511"/>
      <c r="AV396" s="511"/>
      <c r="AW396" s="511"/>
      <c r="AX396" s="511"/>
      <c r="AY396" s="511"/>
      <c r="AZ396" s="511"/>
      <c r="BA396" s="511"/>
      <c r="BB396" s="511"/>
      <c r="BC396" s="511"/>
    </row>
    <row r="397" spans="1:55" ht="16.5" customHeight="1" x14ac:dyDescent="0.3">
      <c r="A397" s="511"/>
      <c r="B397" s="511"/>
      <c r="C397" s="511"/>
      <c r="D397" s="511"/>
      <c r="E397" s="511"/>
      <c r="F397" s="511"/>
      <c r="G397" s="511"/>
      <c r="H397" s="511"/>
      <c r="I397" s="511"/>
      <c r="J397" s="511"/>
      <c r="K397" s="511"/>
      <c r="L397" s="511"/>
      <c r="M397" s="511"/>
      <c r="N397" s="511"/>
      <c r="O397" s="511"/>
      <c r="P397" s="511"/>
      <c r="Q397" s="511"/>
      <c r="R397" s="511"/>
      <c r="S397" s="511"/>
      <c r="T397" s="511"/>
      <c r="U397" s="511"/>
      <c r="V397" s="511"/>
      <c r="W397" s="511"/>
      <c r="X397" s="511"/>
      <c r="Y397" s="511"/>
      <c r="Z397" s="511"/>
      <c r="AA397" s="511"/>
      <c r="AB397" s="511"/>
      <c r="AC397" s="511"/>
      <c r="AD397" s="511"/>
      <c r="AE397" s="511"/>
      <c r="AF397" s="511"/>
      <c r="AG397" s="511"/>
      <c r="AH397" s="511"/>
      <c r="AI397" s="511"/>
      <c r="AJ397" s="511"/>
      <c r="AK397" s="511"/>
      <c r="AL397" s="511"/>
      <c r="AM397" s="511"/>
      <c r="AN397" s="511"/>
      <c r="AO397" s="511"/>
      <c r="AP397" s="511"/>
      <c r="AQ397" s="511"/>
      <c r="AR397" s="511"/>
      <c r="AS397" s="511"/>
      <c r="AT397" s="511"/>
      <c r="AU397" s="511"/>
      <c r="AV397" s="511"/>
      <c r="AW397" s="511"/>
      <c r="AX397" s="511"/>
      <c r="AY397" s="511"/>
      <c r="AZ397" s="511"/>
      <c r="BA397" s="511"/>
      <c r="BB397" s="511"/>
      <c r="BC397" s="511"/>
    </row>
    <row r="398" spans="1:55" ht="16.5" customHeight="1" x14ac:dyDescent="0.3">
      <c r="A398" s="511"/>
      <c r="B398" s="511"/>
      <c r="C398" s="511"/>
      <c r="D398" s="511"/>
      <c r="E398" s="511"/>
      <c r="F398" s="511"/>
      <c r="G398" s="511"/>
      <c r="H398" s="511"/>
      <c r="I398" s="511"/>
      <c r="J398" s="511"/>
      <c r="K398" s="511"/>
      <c r="L398" s="511"/>
      <c r="M398" s="511"/>
      <c r="N398" s="511"/>
      <c r="O398" s="511"/>
      <c r="P398" s="511"/>
      <c r="Q398" s="511"/>
      <c r="R398" s="511"/>
      <c r="S398" s="511"/>
      <c r="T398" s="511"/>
      <c r="U398" s="511"/>
      <c r="V398" s="511"/>
      <c r="W398" s="511"/>
      <c r="X398" s="511"/>
      <c r="Y398" s="511"/>
      <c r="Z398" s="511"/>
      <c r="AA398" s="511"/>
      <c r="AB398" s="511"/>
      <c r="AC398" s="511"/>
      <c r="AD398" s="511"/>
      <c r="AE398" s="511"/>
      <c r="AF398" s="511"/>
      <c r="AG398" s="511"/>
      <c r="AH398" s="511"/>
      <c r="AI398" s="511"/>
      <c r="AJ398" s="511"/>
      <c r="AK398" s="511"/>
      <c r="AL398" s="511"/>
      <c r="AM398" s="511"/>
      <c r="AN398" s="511"/>
      <c r="AO398" s="511"/>
      <c r="AP398" s="511"/>
      <c r="AQ398" s="511"/>
      <c r="AR398" s="511"/>
      <c r="AS398" s="511"/>
      <c r="AT398" s="511"/>
      <c r="AU398" s="511"/>
      <c r="AV398" s="511"/>
      <c r="AW398" s="511"/>
      <c r="AX398" s="511"/>
      <c r="AY398" s="511"/>
      <c r="AZ398" s="511"/>
      <c r="BA398" s="511"/>
      <c r="BB398" s="511"/>
      <c r="BC398" s="511"/>
    </row>
    <row r="399" spans="1:55" ht="16.5" customHeight="1" x14ac:dyDescent="0.3">
      <c r="A399" s="511"/>
      <c r="B399" s="511"/>
      <c r="C399" s="511"/>
      <c r="D399" s="511"/>
      <c r="E399" s="511"/>
      <c r="F399" s="511"/>
      <c r="G399" s="511"/>
      <c r="H399" s="511"/>
      <c r="I399" s="511"/>
      <c r="J399" s="511"/>
      <c r="K399" s="511"/>
      <c r="L399" s="511"/>
      <c r="M399" s="511"/>
      <c r="N399" s="511"/>
      <c r="O399" s="511"/>
      <c r="P399" s="511"/>
      <c r="Q399" s="511"/>
      <c r="R399" s="511"/>
      <c r="S399" s="511"/>
      <c r="T399" s="511"/>
      <c r="U399" s="511"/>
      <c r="V399" s="511"/>
      <c r="W399" s="511"/>
      <c r="X399" s="511"/>
      <c r="Y399" s="511"/>
      <c r="Z399" s="511"/>
      <c r="AA399" s="511"/>
      <c r="AB399" s="511"/>
      <c r="AC399" s="511"/>
      <c r="AD399" s="511"/>
      <c r="AE399" s="511"/>
      <c r="AF399" s="511"/>
      <c r="AG399" s="511"/>
      <c r="AH399" s="511"/>
      <c r="AI399" s="511"/>
      <c r="AJ399" s="511"/>
      <c r="AK399" s="511"/>
      <c r="AL399" s="511"/>
      <c r="AM399" s="511"/>
      <c r="AN399" s="511"/>
      <c r="AO399" s="511"/>
      <c r="AP399" s="511"/>
      <c r="AQ399" s="511"/>
      <c r="AR399" s="511"/>
      <c r="AS399" s="511"/>
      <c r="AT399" s="511"/>
      <c r="AU399" s="511"/>
      <c r="AV399" s="511"/>
      <c r="AW399" s="511"/>
      <c r="AX399" s="511"/>
      <c r="AY399" s="511"/>
      <c r="AZ399" s="511"/>
      <c r="BA399" s="511"/>
      <c r="BB399" s="511"/>
      <c r="BC399" s="511"/>
    </row>
    <row r="400" spans="1:55" ht="16.5" customHeight="1" x14ac:dyDescent="0.3">
      <c r="A400" s="511"/>
      <c r="B400" s="511"/>
      <c r="C400" s="511"/>
      <c r="D400" s="511"/>
      <c r="E400" s="511"/>
      <c r="F400" s="511"/>
      <c r="G400" s="511"/>
      <c r="H400" s="511"/>
      <c r="I400" s="511"/>
      <c r="J400" s="511"/>
      <c r="K400" s="511"/>
      <c r="L400" s="511"/>
      <c r="M400" s="511"/>
      <c r="N400" s="511"/>
      <c r="O400" s="511"/>
      <c r="P400" s="511"/>
      <c r="Q400" s="511"/>
      <c r="R400" s="511"/>
      <c r="S400" s="511"/>
      <c r="T400" s="511"/>
      <c r="U400" s="511"/>
      <c r="V400" s="511"/>
      <c r="W400" s="511"/>
      <c r="X400" s="511"/>
      <c r="Y400" s="511"/>
      <c r="Z400" s="511"/>
      <c r="AA400" s="511"/>
      <c r="AB400" s="511"/>
      <c r="AC400" s="511"/>
      <c r="AD400" s="511"/>
      <c r="AE400" s="511"/>
      <c r="AF400" s="511"/>
      <c r="AG400" s="511"/>
      <c r="AH400" s="511"/>
      <c r="AI400" s="511"/>
      <c r="AJ400" s="511"/>
      <c r="AK400" s="511"/>
      <c r="AL400" s="511"/>
      <c r="AM400" s="511"/>
      <c r="AN400" s="511"/>
      <c r="AO400" s="511"/>
      <c r="AP400" s="511"/>
      <c r="AQ400" s="511"/>
      <c r="AR400" s="511"/>
      <c r="AS400" s="511"/>
      <c r="AT400" s="511"/>
      <c r="AU400" s="511"/>
      <c r="AV400" s="511"/>
      <c r="AW400" s="511"/>
      <c r="AX400" s="511"/>
      <c r="AY400" s="511"/>
      <c r="AZ400" s="511"/>
      <c r="BA400" s="511"/>
      <c r="BB400" s="511"/>
      <c r="BC400" s="511"/>
    </row>
    <row r="401" spans="1:55" ht="16.5" customHeight="1" x14ac:dyDescent="0.3">
      <c r="A401" s="511"/>
      <c r="B401" s="511"/>
      <c r="C401" s="511"/>
      <c r="D401" s="511"/>
      <c r="E401" s="511"/>
      <c r="F401" s="511"/>
      <c r="G401" s="511"/>
      <c r="H401" s="511"/>
      <c r="I401" s="511"/>
      <c r="J401" s="511"/>
      <c r="K401" s="511"/>
      <c r="L401" s="511"/>
      <c r="M401" s="511"/>
      <c r="N401" s="511"/>
      <c r="O401" s="511"/>
      <c r="P401" s="511"/>
      <c r="Q401" s="511"/>
      <c r="R401" s="511"/>
      <c r="S401" s="511"/>
      <c r="T401" s="511"/>
      <c r="U401" s="511"/>
      <c r="V401" s="511"/>
      <c r="W401" s="511"/>
      <c r="X401" s="511"/>
      <c r="Y401" s="511"/>
      <c r="Z401" s="511"/>
      <c r="AA401" s="511"/>
      <c r="AB401" s="511"/>
      <c r="AC401" s="511"/>
      <c r="AD401" s="511"/>
      <c r="AE401" s="511"/>
      <c r="AF401" s="511"/>
      <c r="AG401" s="511"/>
      <c r="AH401" s="511"/>
      <c r="AI401" s="511"/>
      <c r="AJ401" s="511"/>
      <c r="AK401" s="511"/>
      <c r="AL401" s="511"/>
      <c r="AM401" s="511"/>
      <c r="AN401" s="511"/>
      <c r="AO401" s="511"/>
      <c r="AP401" s="511"/>
      <c r="AQ401" s="511"/>
      <c r="AR401" s="511"/>
      <c r="AS401" s="511"/>
      <c r="AT401" s="511"/>
      <c r="AU401" s="511"/>
      <c r="AV401" s="511"/>
      <c r="AW401" s="511"/>
      <c r="AX401" s="511"/>
      <c r="AY401" s="511"/>
      <c r="AZ401" s="511"/>
      <c r="BA401" s="511"/>
      <c r="BB401" s="511"/>
      <c r="BC401" s="511"/>
    </row>
    <row r="402" spans="1:55" ht="16.5" customHeight="1" x14ac:dyDescent="0.3">
      <c r="A402" s="511"/>
      <c r="B402" s="511"/>
      <c r="C402" s="511"/>
      <c r="D402" s="511"/>
      <c r="E402" s="511"/>
      <c r="F402" s="511"/>
      <c r="G402" s="511"/>
      <c r="H402" s="511"/>
      <c r="I402" s="511"/>
      <c r="J402" s="511"/>
      <c r="K402" s="511"/>
      <c r="L402" s="511"/>
      <c r="M402" s="511"/>
      <c r="N402" s="511"/>
      <c r="O402" s="511"/>
      <c r="P402" s="511"/>
      <c r="Q402" s="511"/>
      <c r="R402" s="511"/>
      <c r="S402" s="511"/>
      <c r="T402" s="511"/>
      <c r="U402" s="511"/>
      <c r="V402" s="511"/>
      <c r="W402" s="511"/>
      <c r="X402" s="511"/>
      <c r="Y402" s="511"/>
      <c r="Z402" s="511"/>
      <c r="AA402" s="511"/>
      <c r="AB402" s="511"/>
      <c r="AC402" s="511"/>
      <c r="AD402" s="511"/>
      <c r="AE402" s="511"/>
      <c r="AF402" s="511"/>
      <c r="AG402" s="511"/>
      <c r="AH402" s="511"/>
      <c r="AI402" s="511"/>
      <c r="AJ402" s="511"/>
      <c r="AK402" s="511"/>
      <c r="AL402" s="511"/>
      <c r="AM402" s="511"/>
      <c r="AN402" s="511"/>
      <c r="AO402" s="511"/>
      <c r="AP402" s="511"/>
      <c r="AQ402" s="511"/>
      <c r="AR402" s="511"/>
      <c r="AS402" s="511"/>
      <c r="AT402" s="511"/>
      <c r="AU402" s="511"/>
      <c r="AV402" s="511"/>
      <c r="AW402" s="511"/>
      <c r="AX402" s="511"/>
      <c r="AY402" s="511"/>
      <c r="AZ402" s="511"/>
      <c r="BA402" s="511"/>
      <c r="BB402" s="511"/>
      <c r="BC402" s="511"/>
    </row>
    <row r="403" spans="1:55" ht="16.5" customHeight="1" x14ac:dyDescent="0.3">
      <c r="A403" s="511"/>
      <c r="B403" s="511"/>
      <c r="C403" s="511"/>
      <c r="D403" s="511"/>
      <c r="E403" s="511"/>
      <c r="F403" s="511"/>
      <c r="G403" s="511"/>
      <c r="H403" s="511"/>
      <c r="I403" s="511"/>
      <c r="J403" s="511"/>
      <c r="K403" s="511"/>
      <c r="L403" s="511"/>
      <c r="M403" s="511"/>
      <c r="N403" s="511"/>
      <c r="O403" s="511"/>
      <c r="P403" s="511"/>
      <c r="Q403" s="511"/>
      <c r="R403" s="511"/>
      <c r="S403" s="511"/>
      <c r="T403" s="511"/>
      <c r="U403" s="511"/>
      <c r="V403" s="511"/>
      <c r="W403" s="511"/>
      <c r="X403" s="511"/>
      <c r="Y403" s="511"/>
      <c r="Z403" s="511"/>
      <c r="AA403" s="511"/>
      <c r="AB403" s="511"/>
      <c r="AC403" s="511"/>
      <c r="AD403" s="511"/>
      <c r="AE403" s="511"/>
      <c r="AF403" s="511"/>
      <c r="AG403" s="511"/>
      <c r="AH403" s="511"/>
      <c r="AI403" s="511"/>
      <c r="AJ403" s="511"/>
      <c r="AK403" s="511"/>
      <c r="AL403" s="511"/>
      <c r="AM403" s="511"/>
      <c r="AN403" s="511"/>
      <c r="AO403" s="511"/>
      <c r="AP403" s="511"/>
      <c r="AQ403" s="511"/>
      <c r="AR403" s="511"/>
      <c r="AS403" s="511"/>
      <c r="AT403" s="511"/>
      <c r="AU403" s="511"/>
      <c r="AV403" s="511"/>
      <c r="AW403" s="511"/>
      <c r="AX403" s="511"/>
      <c r="AY403" s="511"/>
      <c r="AZ403" s="511"/>
      <c r="BA403" s="511"/>
      <c r="BB403" s="511"/>
      <c r="BC403" s="511"/>
    </row>
    <row r="404" spans="1:55" ht="16.5" customHeight="1" x14ac:dyDescent="0.3">
      <c r="A404" s="511"/>
      <c r="B404" s="511"/>
      <c r="C404" s="511"/>
      <c r="D404" s="511"/>
      <c r="E404" s="511"/>
      <c r="F404" s="511"/>
      <c r="G404" s="511"/>
      <c r="H404" s="511"/>
      <c r="I404" s="511"/>
      <c r="J404" s="511"/>
      <c r="K404" s="511"/>
      <c r="L404" s="511"/>
      <c r="M404" s="511"/>
      <c r="N404" s="511"/>
      <c r="O404" s="511"/>
      <c r="P404" s="511"/>
      <c r="Q404" s="511"/>
      <c r="R404" s="511"/>
      <c r="S404" s="511"/>
      <c r="T404" s="511"/>
      <c r="U404" s="511"/>
      <c r="V404" s="511"/>
      <c r="W404" s="511"/>
      <c r="X404" s="511"/>
      <c r="Y404" s="511"/>
      <c r="Z404" s="511"/>
      <c r="AA404" s="511"/>
      <c r="AB404" s="511"/>
      <c r="AC404" s="511"/>
      <c r="AD404" s="511"/>
      <c r="AE404" s="511"/>
      <c r="AF404" s="511"/>
      <c r="AG404" s="511"/>
      <c r="AH404" s="511"/>
      <c r="AI404" s="511"/>
      <c r="AJ404" s="511"/>
      <c r="AK404" s="511"/>
      <c r="AL404" s="511"/>
      <c r="AM404" s="511"/>
      <c r="AN404" s="511"/>
      <c r="AO404" s="511"/>
      <c r="AP404" s="511"/>
      <c r="AQ404" s="511"/>
      <c r="AR404" s="511"/>
      <c r="AS404" s="511"/>
      <c r="AT404" s="511"/>
      <c r="AU404" s="511"/>
      <c r="AV404" s="511"/>
      <c r="AW404" s="511"/>
      <c r="AX404" s="511"/>
      <c r="AY404" s="511"/>
      <c r="AZ404" s="511"/>
      <c r="BA404" s="511"/>
      <c r="BB404" s="511"/>
      <c r="BC404" s="511"/>
    </row>
    <row r="405" spans="1:55" ht="16.5" customHeight="1" x14ac:dyDescent="0.3">
      <c r="A405" s="511"/>
      <c r="B405" s="511"/>
      <c r="C405" s="511"/>
      <c r="D405" s="511"/>
      <c r="E405" s="511"/>
      <c r="F405" s="511"/>
      <c r="G405" s="511"/>
      <c r="H405" s="511"/>
      <c r="I405" s="511"/>
      <c r="J405" s="511"/>
      <c r="K405" s="511"/>
      <c r="L405" s="511"/>
      <c r="M405" s="511"/>
      <c r="N405" s="511"/>
      <c r="O405" s="511"/>
      <c r="P405" s="511"/>
      <c r="Q405" s="511"/>
      <c r="R405" s="511"/>
      <c r="S405" s="511"/>
      <c r="T405" s="511"/>
      <c r="U405" s="511"/>
      <c r="V405" s="511"/>
      <c r="W405" s="511"/>
      <c r="X405" s="511"/>
      <c r="Y405" s="511"/>
      <c r="Z405" s="511"/>
      <c r="AA405" s="511"/>
      <c r="AB405" s="511"/>
      <c r="AC405" s="511"/>
      <c r="AD405" s="511"/>
      <c r="AE405" s="511"/>
      <c r="AF405" s="511"/>
      <c r="AG405" s="511"/>
      <c r="AH405" s="511"/>
      <c r="AI405" s="511"/>
      <c r="AJ405" s="511"/>
      <c r="AK405" s="511"/>
      <c r="AL405" s="511"/>
      <c r="AM405" s="511"/>
      <c r="AN405" s="511"/>
      <c r="AO405" s="511"/>
      <c r="AP405" s="511"/>
      <c r="AQ405" s="511"/>
      <c r="AR405" s="511"/>
      <c r="AS405" s="511"/>
      <c r="AT405" s="511"/>
      <c r="AU405" s="511"/>
      <c r="AV405" s="511"/>
      <c r="AW405" s="511"/>
      <c r="AX405" s="511"/>
      <c r="AY405" s="511"/>
      <c r="AZ405" s="511"/>
      <c r="BA405" s="511"/>
      <c r="BB405" s="511"/>
      <c r="BC405" s="511"/>
    </row>
    <row r="406" spans="1:55" ht="16.5" customHeight="1" x14ac:dyDescent="0.3">
      <c r="A406" s="511"/>
      <c r="B406" s="511"/>
      <c r="C406" s="511"/>
      <c r="D406" s="511"/>
      <c r="E406" s="511"/>
      <c r="F406" s="511"/>
      <c r="G406" s="511"/>
      <c r="H406" s="511"/>
      <c r="I406" s="511"/>
      <c r="J406" s="511"/>
      <c r="K406" s="511"/>
      <c r="L406" s="511"/>
      <c r="M406" s="511"/>
      <c r="N406" s="511"/>
      <c r="O406" s="511"/>
      <c r="P406" s="511"/>
      <c r="Q406" s="511"/>
      <c r="R406" s="511"/>
      <c r="S406" s="511"/>
      <c r="T406" s="511"/>
      <c r="U406" s="511"/>
      <c r="V406" s="511"/>
      <c r="W406" s="511"/>
      <c r="X406" s="511"/>
      <c r="Y406" s="511"/>
      <c r="Z406" s="511"/>
      <c r="AA406" s="511"/>
      <c r="AB406" s="511"/>
      <c r="AC406" s="511"/>
      <c r="AD406" s="511"/>
      <c r="AE406" s="511"/>
      <c r="AF406" s="511"/>
      <c r="AG406" s="511"/>
      <c r="AH406" s="511"/>
      <c r="AI406" s="511"/>
      <c r="AJ406" s="511"/>
      <c r="AK406" s="511"/>
      <c r="AL406" s="511"/>
      <c r="AM406" s="511"/>
      <c r="AN406" s="511"/>
      <c r="AO406" s="511"/>
      <c r="AP406" s="511"/>
      <c r="AQ406" s="511"/>
      <c r="AR406" s="511"/>
      <c r="AS406" s="511"/>
      <c r="AT406" s="511"/>
      <c r="AU406" s="511"/>
      <c r="AV406" s="511"/>
      <c r="AW406" s="511"/>
      <c r="AX406" s="511"/>
      <c r="AY406" s="511"/>
      <c r="AZ406" s="511"/>
      <c r="BA406" s="511"/>
      <c r="BB406" s="511"/>
      <c r="BC406" s="511"/>
    </row>
    <row r="407" spans="1:55" ht="16.5" customHeight="1" x14ac:dyDescent="0.3">
      <c r="A407" s="511"/>
      <c r="B407" s="511"/>
      <c r="C407" s="511"/>
      <c r="D407" s="511"/>
      <c r="E407" s="511"/>
      <c r="F407" s="511"/>
      <c r="G407" s="511"/>
      <c r="H407" s="511"/>
      <c r="I407" s="511"/>
      <c r="J407" s="511"/>
      <c r="K407" s="511"/>
      <c r="L407" s="511"/>
      <c r="M407" s="511"/>
      <c r="N407" s="511"/>
      <c r="O407" s="511"/>
      <c r="P407" s="511"/>
      <c r="Q407" s="511"/>
      <c r="R407" s="511"/>
      <c r="S407" s="511"/>
      <c r="T407" s="511"/>
      <c r="U407" s="511"/>
      <c r="V407" s="511"/>
      <c r="W407" s="511"/>
      <c r="X407" s="511"/>
      <c r="Y407" s="511"/>
      <c r="Z407" s="511"/>
      <c r="AA407" s="511"/>
      <c r="AB407" s="511"/>
      <c r="AC407" s="511"/>
      <c r="AD407" s="511"/>
      <c r="AE407" s="511"/>
      <c r="AF407" s="511"/>
      <c r="AG407" s="511"/>
      <c r="AH407" s="511"/>
      <c r="AI407" s="511"/>
      <c r="AJ407" s="511"/>
      <c r="AK407" s="511"/>
      <c r="AL407" s="511"/>
      <c r="AM407" s="511"/>
      <c r="AN407" s="511"/>
      <c r="AO407" s="511"/>
      <c r="AP407" s="511"/>
      <c r="AQ407" s="511"/>
      <c r="AR407" s="511"/>
      <c r="AS407" s="511"/>
      <c r="AT407" s="511"/>
      <c r="AU407" s="511"/>
      <c r="AV407" s="511"/>
      <c r="AW407" s="511"/>
      <c r="AX407" s="511"/>
      <c r="AY407" s="511"/>
      <c r="AZ407" s="511"/>
      <c r="BA407" s="511"/>
      <c r="BB407" s="511"/>
      <c r="BC407" s="511"/>
    </row>
    <row r="408" spans="1:55" ht="16.5" customHeight="1" x14ac:dyDescent="0.3">
      <c r="A408" s="511"/>
      <c r="B408" s="511"/>
      <c r="C408" s="511"/>
      <c r="D408" s="511"/>
      <c r="E408" s="511"/>
      <c r="F408" s="511"/>
      <c r="G408" s="511"/>
      <c r="H408" s="511"/>
      <c r="I408" s="511"/>
      <c r="J408" s="511"/>
      <c r="K408" s="511"/>
      <c r="L408" s="511"/>
      <c r="M408" s="511"/>
      <c r="N408" s="511"/>
      <c r="O408" s="511"/>
      <c r="P408" s="511"/>
      <c r="Q408" s="511"/>
      <c r="R408" s="511"/>
      <c r="S408" s="511"/>
      <c r="T408" s="511"/>
      <c r="U408" s="511"/>
      <c r="V408" s="511"/>
      <c r="W408" s="511"/>
      <c r="X408" s="511"/>
      <c r="Y408" s="511"/>
      <c r="Z408" s="511"/>
      <c r="AA408" s="511"/>
      <c r="AB408" s="511"/>
      <c r="AC408" s="511"/>
      <c r="AD408" s="511"/>
      <c r="AE408" s="511"/>
      <c r="AF408" s="511"/>
      <c r="AG408" s="511"/>
      <c r="AH408" s="511"/>
      <c r="AI408" s="511"/>
      <c r="AJ408" s="511"/>
      <c r="AK408" s="511"/>
      <c r="AL408" s="511"/>
      <c r="AM408" s="511"/>
      <c r="AN408" s="511"/>
      <c r="AO408" s="511"/>
      <c r="AP408" s="511"/>
      <c r="AQ408" s="511"/>
      <c r="AR408" s="511"/>
      <c r="AS408" s="511"/>
      <c r="AT408" s="511"/>
      <c r="AU408" s="511"/>
      <c r="AV408" s="511"/>
      <c r="AW408" s="511"/>
      <c r="AX408" s="511"/>
      <c r="AY408" s="511"/>
      <c r="AZ408" s="511"/>
      <c r="BA408" s="511"/>
      <c r="BB408" s="511"/>
      <c r="BC408" s="511"/>
    </row>
    <row r="409" spans="1:55" ht="16.5" customHeight="1" x14ac:dyDescent="0.3">
      <c r="A409" s="511"/>
      <c r="B409" s="511"/>
      <c r="C409" s="511"/>
      <c r="D409" s="511"/>
      <c r="E409" s="511"/>
      <c r="F409" s="511"/>
      <c r="G409" s="511"/>
      <c r="H409" s="511"/>
      <c r="I409" s="511"/>
      <c r="J409" s="511"/>
      <c r="K409" s="511"/>
      <c r="L409" s="511"/>
      <c r="M409" s="511"/>
      <c r="N409" s="511"/>
      <c r="O409" s="511"/>
      <c r="P409" s="511"/>
      <c r="Q409" s="511"/>
      <c r="R409" s="511"/>
      <c r="S409" s="511"/>
      <c r="T409" s="511"/>
      <c r="U409" s="511"/>
      <c r="V409" s="511"/>
      <c r="W409" s="511"/>
      <c r="X409" s="511"/>
      <c r="Y409" s="511"/>
      <c r="Z409" s="511"/>
      <c r="AA409" s="511"/>
      <c r="AB409" s="511"/>
      <c r="AC409" s="511"/>
      <c r="AD409" s="511"/>
      <c r="AE409" s="511"/>
      <c r="AF409" s="511"/>
      <c r="AG409" s="511"/>
      <c r="AH409" s="511"/>
      <c r="AI409" s="511"/>
      <c r="AJ409" s="511"/>
      <c r="AK409" s="511"/>
      <c r="AL409" s="511"/>
      <c r="AM409" s="511"/>
      <c r="AN409" s="511"/>
      <c r="AO409" s="511"/>
      <c r="AP409" s="511"/>
      <c r="AQ409" s="511"/>
      <c r="AR409" s="511"/>
      <c r="AS409" s="511"/>
      <c r="AT409" s="511"/>
      <c r="AU409" s="511"/>
      <c r="AV409" s="511"/>
      <c r="AW409" s="511"/>
      <c r="AX409" s="511"/>
      <c r="AY409" s="511"/>
      <c r="AZ409" s="511"/>
      <c r="BA409" s="511"/>
      <c r="BB409" s="511"/>
      <c r="BC409" s="511"/>
    </row>
    <row r="410" spans="1:55" ht="16.5" customHeight="1" x14ac:dyDescent="0.3">
      <c r="A410" s="511"/>
      <c r="B410" s="511"/>
      <c r="C410" s="511"/>
      <c r="D410" s="511"/>
      <c r="E410" s="511"/>
      <c r="F410" s="511"/>
      <c r="G410" s="511"/>
      <c r="H410" s="511"/>
      <c r="I410" s="511"/>
      <c r="J410" s="511"/>
      <c r="K410" s="511"/>
      <c r="L410" s="511"/>
      <c r="M410" s="511"/>
      <c r="N410" s="511"/>
      <c r="O410" s="511"/>
      <c r="P410" s="511"/>
      <c r="Q410" s="511"/>
      <c r="R410" s="511"/>
      <c r="S410" s="511"/>
      <c r="T410" s="511"/>
      <c r="U410" s="511"/>
      <c r="V410" s="511"/>
      <c r="W410" s="511"/>
      <c r="X410" s="511"/>
      <c r="Y410" s="511"/>
      <c r="Z410" s="511"/>
      <c r="AA410" s="511"/>
      <c r="AB410" s="511"/>
      <c r="AC410" s="511"/>
      <c r="AD410" s="511"/>
      <c r="AE410" s="511"/>
      <c r="AF410" s="511"/>
      <c r="AG410" s="511"/>
      <c r="AH410" s="511"/>
      <c r="AI410" s="511"/>
      <c r="AJ410" s="511"/>
      <c r="AK410" s="511"/>
      <c r="AL410" s="511"/>
      <c r="AM410" s="511"/>
      <c r="AN410" s="511"/>
      <c r="AO410" s="511"/>
      <c r="AP410" s="511"/>
      <c r="AQ410" s="511"/>
      <c r="AR410" s="511"/>
      <c r="AS410" s="511"/>
      <c r="AT410" s="511"/>
      <c r="AU410" s="511"/>
      <c r="AV410" s="511"/>
      <c r="AW410" s="511"/>
      <c r="AX410" s="511"/>
      <c r="AY410" s="511"/>
      <c r="AZ410" s="511"/>
      <c r="BA410" s="511"/>
      <c r="BB410" s="511"/>
      <c r="BC410" s="511"/>
    </row>
    <row r="411" spans="1:55" ht="16.5" customHeight="1" x14ac:dyDescent="0.3">
      <c r="A411" s="511"/>
      <c r="B411" s="511"/>
      <c r="C411" s="511"/>
      <c r="D411" s="511"/>
      <c r="E411" s="511"/>
      <c r="F411" s="511"/>
      <c r="G411" s="511"/>
      <c r="H411" s="511"/>
      <c r="I411" s="511"/>
      <c r="J411" s="511"/>
      <c r="K411" s="511"/>
      <c r="L411" s="511"/>
      <c r="M411" s="511"/>
      <c r="N411" s="511"/>
      <c r="O411" s="511"/>
      <c r="P411" s="511"/>
      <c r="Q411" s="511"/>
      <c r="R411" s="511"/>
      <c r="S411" s="511"/>
      <c r="T411" s="511"/>
      <c r="U411" s="511"/>
      <c r="V411" s="511"/>
      <c r="W411" s="511"/>
      <c r="X411" s="511"/>
      <c r="Y411" s="511"/>
      <c r="Z411" s="511"/>
      <c r="AA411" s="511"/>
      <c r="AB411" s="511"/>
      <c r="AC411" s="511"/>
      <c r="AD411" s="511"/>
      <c r="AE411" s="511"/>
      <c r="AF411" s="511"/>
      <c r="AG411" s="511"/>
      <c r="AH411" s="511"/>
      <c r="AI411" s="511"/>
      <c r="AJ411" s="511"/>
      <c r="AK411" s="511"/>
      <c r="AL411" s="511"/>
      <c r="AM411" s="511"/>
      <c r="AN411" s="511"/>
      <c r="AO411" s="511"/>
      <c r="AP411" s="511"/>
      <c r="AQ411" s="511"/>
      <c r="AR411" s="511"/>
      <c r="AS411" s="511"/>
      <c r="AT411" s="511"/>
      <c r="AU411" s="511"/>
      <c r="AV411" s="511"/>
      <c r="AW411" s="511"/>
      <c r="AX411" s="511"/>
      <c r="AY411" s="511"/>
      <c r="AZ411" s="511"/>
      <c r="BA411" s="511"/>
      <c r="BB411" s="511"/>
      <c r="BC411" s="511"/>
    </row>
    <row r="412" spans="1:55" ht="16.5" customHeight="1" x14ac:dyDescent="0.3">
      <c r="A412" s="511"/>
      <c r="B412" s="511"/>
      <c r="C412" s="511"/>
      <c r="D412" s="511"/>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c r="AA412" s="511"/>
      <c r="AB412" s="511"/>
      <c r="AC412" s="511"/>
      <c r="AD412" s="511"/>
      <c r="AE412" s="511"/>
      <c r="AF412" s="511"/>
      <c r="AG412" s="511"/>
      <c r="AH412" s="511"/>
      <c r="AI412" s="511"/>
      <c r="AJ412" s="511"/>
      <c r="AK412" s="511"/>
      <c r="AL412" s="511"/>
      <c r="AM412" s="511"/>
      <c r="AN412" s="511"/>
      <c r="AO412" s="511"/>
      <c r="AP412" s="511"/>
      <c r="AQ412" s="511"/>
      <c r="AR412" s="511"/>
      <c r="AS412" s="511"/>
      <c r="AT412" s="511"/>
      <c r="AU412" s="511"/>
      <c r="AV412" s="511"/>
      <c r="AW412" s="511"/>
      <c r="AX412" s="511"/>
      <c r="AY412" s="511"/>
      <c r="AZ412" s="511"/>
      <c r="BA412" s="511"/>
      <c r="BB412" s="511"/>
      <c r="BC412" s="511"/>
    </row>
    <row r="413" spans="1:55" ht="16.5" customHeight="1" x14ac:dyDescent="0.3">
      <c r="A413" s="511"/>
      <c r="B413" s="511"/>
      <c r="C413" s="511"/>
      <c r="D413" s="511"/>
      <c r="E413" s="511"/>
      <c r="F413" s="511"/>
      <c r="G413" s="511"/>
      <c r="H413" s="511"/>
      <c r="I413" s="511"/>
      <c r="J413" s="511"/>
      <c r="K413" s="511"/>
      <c r="L413" s="511"/>
      <c r="M413" s="511"/>
      <c r="N413" s="511"/>
      <c r="O413" s="511"/>
      <c r="P413" s="511"/>
      <c r="Q413" s="511"/>
      <c r="R413" s="511"/>
      <c r="S413" s="511"/>
      <c r="T413" s="511"/>
      <c r="U413" s="511"/>
      <c r="V413" s="511"/>
      <c r="W413" s="511"/>
      <c r="X413" s="511"/>
      <c r="Y413" s="511"/>
      <c r="Z413" s="511"/>
      <c r="AA413" s="511"/>
      <c r="AB413" s="511"/>
      <c r="AC413" s="511"/>
      <c r="AD413" s="511"/>
      <c r="AE413" s="511"/>
      <c r="AF413" s="511"/>
      <c r="AG413" s="511"/>
      <c r="AH413" s="511"/>
      <c r="AI413" s="511"/>
      <c r="AJ413" s="511"/>
      <c r="AK413" s="511"/>
      <c r="AL413" s="511"/>
      <c r="AM413" s="511"/>
      <c r="AN413" s="511"/>
      <c r="AO413" s="511"/>
      <c r="AP413" s="511"/>
      <c r="AQ413" s="511"/>
      <c r="AR413" s="511"/>
      <c r="AS413" s="511"/>
      <c r="AT413" s="511"/>
      <c r="AU413" s="511"/>
      <c r="AV413" s="511"/>
      <c r="AW413" s="511"/>
      <c r="AX413" s="511"/>
      <c r="AY413" s="511"/>
      <c r="AZ413" s="511"/>
      <c r="BA413" s="511"/>
      <c r="BB413" s="511"/>
      <c r="BC413" s="511"/>
    </row>
    <row r="414" spans="1:55" ht="16.5" customHeight="1" x14ac:dyDescent="0.3">
      <c r="A414" s="511"/>
      <c r="B414" s="511"/>
      <c r="C414" s="511"/>
      <c r="D414" s="511"/>
      <c r="E414" s="511"/>
      <c r="F414" s="511"/>
      <c r="G414" s="511"/>
      <c r="H414" s="511"/>
      <c r="I414" s="511"/>
      <c r="J414" s="511"/>
      <c r="K414" s="511"/>
      <c r="L414" s="511"/>
      <c r="M414" s="511"/>
      <c r="N414" s="511"/>
      <c r="O414" s="511"/>
      <c r="P414" s="511"/>
      <c r="Q414" s="511"/>
      <c r="R414" s="511"/>
      <c r="S414" s="511"/>
      <c r="T414" s="511"/>
      <c r="U414" s="511"/>
      <c r="V414" s="511"/>
      <c r="W414" s="511"/>
      <c r="X414" s="511"/>
      <c r="Y414" s="511"/>
      <c r="Z414" s="511"/>
      <c r="AA414" s="511"/>
      <c r="AB414" s="511"/>
      <c r="AC414" s="511"/>
      <c r="AD414" s="511"/>
      <c r="AE414" s="511"/>
      <c r="AF414" s="511"/>
      <c r="AG414" s="511"/>
      <c r="AH414" s="511"/>
      <c r="AI414" s="511"/>
      <c r="AJ414" s="511"/>
      <c r="AK414" s="511"/>
      <c r="AL414" s="511"/>
      <c r="AM414" s="511"/>
      <c r="AN414" s="511"/>
      <c r="AO414" s="511"/>
      <c r="AP414" s="511"/>
      <c r="AQ414" s="511"/>
      <c r="AR414" s="511"/>
      <c r="AS414" s="511"/>
      <c r="AT414" s="511"/>
      <c r="AU414" s="511"/>
      <c r="AV414" s="511"/>
      <c r="AW414" s="511"/>
      <c r="AX414" s="511"/>
      <c r="AY414" s="511"/>
      <c r="AZ414" s="511"/>
      <c r="BA414" s="511"/>
      <c r="BB414" s="511"/>
      <c r="BC414" s="511"/>
    </row>
    <row r="415" spans="1:55" ht="16.5" customHeight="1" x14ac:dyDescent="0.3">
      <c r="A415" s="511"/>
      <c r="B415" s="511"/>
      <c r="C415" s="511"/>
      <c r="D415" s="511"/>
      <c r="E415" s="511"/>
      <c r="F415" s="511"/>
      <c r="G415" s="511"/>
      <c r="H415" s="511"/>
      <c r="I415" s="511"/>
      <c r="J415" s="511"/>
      <c r="K415" s="511"/>
      <c r="L415" s="511"/>
      <c r="M415" s="511"/>
      <c r="N415" s="511"/>
      <c r="O415" s="511"/>
      <c r="P415" s="511"/>
      <c r="Q415" s="511"/>
      <c r="R415" s="511"/>
      <c r="S415" s="511"/>
      <c r="T415" s="511"/>
      <c r="U415" s="511"/>
      <c r="V415" s="511"/>
      <c r="W415" s="511"/>
      <c r="X415" s="511"/>
      <c r="Y415" s="511"/>
      <c r="Z415" s="511"/>
      <c r="AA415" s="511"/>
      <c r="AB415" s="511"/>
      <c r="AC415" s="511"/>
      <c r="AD415" s="511"/>
      <c r="AE415" s="511"/>
      <c r="AF415" s="511"/>
      <c r="AG415" s="511"/>
      <c r="AH415" s="511"/>
      <c r="AI415" s="511"/>
      <c r="AJ415" s="511"/>
      <c r="AK415" s="511"/>
      <c r="AL415" s="511"/>
      <c r="AM415" s="511"/>
      <c r="AN415" s="511"/>
      <c r="AO415" s="511"/>
      <c r="AP415" s="511"/>
      <c r="AQ415" s="511"/>
      <c r="AR415" s="511"/>
      <c r="AS415" s="511"/>
      <c r="AT415" s="511"/>
      <c r="AU415" s="511"/>
      <c r="AV415" s="511"/>
      <c r="AW415" s="511"/>
      <c r="AX415" s="511"/>
      <c r="AY415" s="511"/>
      <c r="AZ415" s="511"/>
      <c r="BA415" s="511"/>
      <c r="BB415" s="511"/>
      <c r="BC415" s="511"/>
    </row>
    <row r="416" spans="1:55" ht="16.5" customHeight="1" x14ac:dyDescent="0.3">
      <c r="A416" s="511"/>
      <c r="B416" s="511"/>
      <c r="C416" s="511"/>
      <c r="D416" s="511"/>
      <c r="E416" s="511"/>
      <c r="F416" s="511"/>
      <c r="G416" s="511"/>
      <c r="H416" s="511"/>
      <c r="I416" s="511"/>
      <c r="J416" s="511"/>
      <c r="K416" s="511"/>
      <c r="L416" s="511"/>
      <c r="M416" s="511"/>
      <c r="N416" s="511"/>
      <c r="O416" s="511"/>
      <c r="P416" s="511"/>
      <c r="Q416" s="511"/>
      <c r="R416" s="511"/>
      <c r="S416" s="511"/>
      <c r="T416" s="511"/>
      <c r="U416" s="511"/>
      <c r="V416" s="511"/>
      <c r="W416" s="511"/>
      <c r="X416" s="511"/>
      <c r="Y416" s="511"/>
      <c r="Z416" s="511"/>
      <c r="AA416" s="511"/>
      <c r="AB416" s="511"/>
      <c r="AC416" s="511"/>
      <c r="AD416" s="511"/>
      <c r="AE416" s="511"/>
      <c r="AF416" s="511"/>
      <c r="AG416" s="511"/>
      <c r="AH416" s="511"/>
      <c r="AI416" s="511"/>
      <c r="AJ416" s="511"/>
      <c r="AK416" s="511"/>
      <c r="AL416" s="511"/>
      <c r="AM416" s="511"/>
      <c r="AN416" s="511"/>
      <c r="AO416" s="511"/>
      <c r="AP416" s="511"/>
      <c r="AQ416" s="511"/>
      <c r="AR416" s="511"/>
      <c r="AS416" s="511"/>
      <c r="AT416" s="511"/>
      <c r="AU416" s="511"/>
      <c r="AV416" s="511"/>
      <c r="AW416" s="511"/>
      <c r="AX416" s="511"/>
      <c r="AY416" s="511"/>
      <c r="AZ416" s="511"/>
      <c r="BA416" s="511"/>
      <c r="BB416" s="511"/>
      <c r="BC416" s="511"/>
    </row>
    <row r="417" spans="1:55" ht="16.5" customHeight="1" x14ac:dyDescent="0.3">
      <c r="A417" s="511"/>
      <c r="B417" s="511"/>
      <c r="C417" s="511"/>
      <c r="D417" s="511"/>
      <c r="E417" s="511"/>
      <c r="F417" s="511"/>
      <c r="G417" s="511"/>
      <c r="H417" s="511"/>
      <c r="I417" s="511"/>
      <c r="J417" s="511"/>
      <c r="K417" s="511"/>
      <c r="L417" s="511"/>
      <c r="M417" s="511"/>
      <c r="N417" s="511"/>
      <c r="O417" s="511"/>
      <c r="P417" s="511"/>
      <c r="Q417" s="511"/>
      <c r="R417" s="511"/>
      <c r="S417" s="511"/>
      <c r="T417" s="511"/>
      <c r="U417" s="511"/>
      <c r="V417" s="511"/>
      <c r="W417" s="511"/>
      <c r="X417" s="511"/>
      <c r="Y417" s="511"/>
      <c r="Z417" s="511"/>
      <c r="AA417" s="511"/>
      <c r="AB417" s="511"/>
      <c r="AC417" s="511"/>
      <c r="AD417" s="511"/>
      <c r="AE417" s="511"/>
      <c r="AF417" s="511"/>
      <c r="AG417" s="511"/>
      <c r="AH417" s="511"/>
      <c r="AI417" s="511"/>
      <c r="AJ417" s="511"/>
      <c r="AK417" s="511"/>
      <c r="AL417" s="511"/>
      <c r="AM417" s="511"/>
      <c r="AN417" s="511"/>
      <c r="AO417" s="511"/>
      <c r="AP417" s="511"/>
      <c r="AQ417" s="511"/>
      <c r="AR417" s="511"/>
      <c r="AS417" s="511"/>
      <c r="AT417" s="511"/>
      <c r="AU417" s="511"/>
      <c r="AV417" s="511"/>
      <c r="AW417" s="511"/>
      <c r="AX417" s="511"/>
      <c r="AY417" s="511"/>
      <c r="AZ417" s="511"/>
      <c r="BA417" s="511"/>
      <c r="BB417" s="511"/>
      <c r="BC417" s="511"/>
    </row>
    <row r="418" spans="1:55" ht="16.5" customHeight="1" x14ac:dyDescent="0.3">
      <c r="A418" s="511"/>
      <c r="B418" s="511"/>
      <c r="C418" s="511"/>
      <c r="D418" s="511"/>
      <c r="E418" s="511"/>
      <c r="F418" s="511"/>
      <c r="G418" s="511"/>
      <c r="H418" s="511"/>
      <c r="I418" s="511"/>
      <c r="J418" s="511"/>
      <c r="K418" s="511"/>
      <c r="L418" s="511"/>
      <c r="M418" s="511"/>
      <c r="N418" s="511"/>
      <c r="O418" s="511"/>
      <c r="P418" s="511"/>
      <c r="Q418" s="511"/>
      <c r="R418" s="511"/>
      <c r="S418" s="511"/>
      <c r="T418" s="511"/>
      <c r="U418" s="511"/>
      <c r="V418" s="511"/>
      <c r="W418" s="511"/>
      <c r="X418" s="511"/>
      <c r="Y418" s="511"/>
      <c r="Z418" s="511"/>
      <c r="AA418" s="511"/>
      <c r="AB418" s="511"/>
      <c r="AC418" s="511"/>
      <c r="AD418" s="511"/>
      <c r="AE418" s="511"/>
      <c r="AF418" s="511"/>
      <c r="AG418" s="511"/>
      <c r="AH418" s="511"/>
      <c r="AI418" s="511"/>
      <c r="AJ418" s="511"/>
      <c r="AK418" s="511"/>
      <c r="AL418" s="511"/>
      <c r="AM418" s="511"/>
      <c r="AN418" s="511"/>
      <c r="AO418" s="511"/>
      <c r="AP418" s="511"/>
      <c r="AQ418" s="511"/>
      <c r="AR418" s="511"/>
      <c r="AS418" s="511"/>
      <c r="AT418" s="511"/>
      <c r="AU418" s="511"/>
      <c r="AV418" s="511"/>
      <c r="AW418" s="511"/>
      <c r="AX418" s="511"/>
      <c r="AY418" s="511"/>
      <c r="AZ418" s="511"/>
      <c r="BA418" s="511"/>
      <c r="BB418" s="511"/>
      <c r="BC418" s="511"/>
    </row>
    <row r="419" spans="1:55" ht="16.5" customHeight="1" x14ac:dyDescent="0.3">
      <c r="A419" s="511"/>
      <c r="B419" s="511"/>
      <c r="C419" s="511"/>
      <c r="D419" s="511"/>
      <c r="E419" s="511"/>
      <c r="F419" s="511"/>
      <c r="G419" s="511"/>
      <c r="H419" s="511"/>
      <c r="I419" s="511"/>
      <c r="J419" s="511"/>
      <c r="K419" s="511"/>
      <c r="L419" s="511"/>
      <c r="M419" s="511"/>
      <c r="N419" s="511"/>
      <c r="O419" s="511"/>
      <c r="P419" s="511"/>
      <c r="Q419" s="511"/>
      <c r="R419" s="511"/>
      <c r="S419" s="511"/>
      <c r="T419" s="511"/>
      <c r="U419" s="511"/>
      <c r="V419" s="511"/>
      <c r="W419" s="511"/>
      <c r="X419" s="511"/>
      <c r="Y419" s="511"/>
      <c r="Z419" s="511"/>
      <c r="AA419" s="511"/>
      <c r="AB419" s="511"/>
      <c r="AC419" s="511"/>
      <c r="AD419" s="511"/>
      <c r="AE419" s="511"/>
      <c r="AF419" s="511"/>
      <c r="AG419" s="511"/>
      <c r="AH419" s="511"/>
      <c r="AI419" s="511"/>
      <c r="AJ419" s="511"/>
      <c r="AK419" s="511"/>
      <c r="AL419" s="511"/>
      <c r="AM419" s="511"/>
      <c r="AN419" s="511"/>
      <c r="AO419" s="511"/>
      <c r="AP419" s="511"/>
      <c r="AQ419" s="511"/>
      <c r="AR419" s="511"/>
      <c r="AS419" s="511"/>
      <c r="AT419" s="511"/>
      <c r="AU419" s="511"/>
      <c r="AV419" s="511"/>
      <c r="AW419" s="511"/>
      <c r="AX419" s="511"/>
      <c r="AY419" s="511"/>
      <c r="AZ419" s="511"/>
      <c r="BA419" s="511"/>
      <c r="BB419" s="511"/>
      <c r="BC419" s="511"/>
    </row>
    <row r="420" spans="1:55" ht="16.5" customHeight="1" x14ac:dyDescent="0.3">
      <c r="A420" s="511"/>
      <c r="B420" s="511"/>
      <c r="C420" s="511"/>
      <c r="D420" s="511"/>
      <c r="E420" s="511"/>
      <c r="F420" s="511"/>
      <c r="G420" s="511"/>
      <c r="H420" s="511"/>
      <c r="I420" s="511"/>
      <c r="J420" s="511"/>
      <c r="K420" s="511"/>
      <c r="L420" s="511"/>
      <c r="M420" s="511"/>
      <c r="N420" s="511"/>
      <c r="O420" s="511"/>
      <c r="P420" s="511"/>
      <c r="Q420" s="511"/>
      <c r="R420" s="511"/>
      <c r="S420" s="511"/>
      <c r="T420" s="511"/>
      <c r="U420" s="511"/>
      <c r="V420" s="511"/>
      <c r="W420" s="511"/>
      <c r="X420" s="511"/>
      <c r="Y420" s="511"/>
      <c r="Z420" s="511"/>
      <c r="AA420" s="511"/>
      <c r="AB420" s="511"/>
      <c r="AC420" s="511"/>
      <c r="AD420" s="511"/>
      <c r="AE420" s="511"/>
      <c r="AF420" s="511"/>
      <c r="AG420" s="511"/>
      <c r="AH420" s="511"/>
      <c r="AI420" s="511"/>
      <c r="AJ420" s="511"/>
      <c r="AK420" s="511"/>
      <c r="AL420" s="511"/>
      <c r="AM420" s="511"/>
      <c r="AN420" s="511"/>
      <c r="AO420" s="511"/>
      <c r="AP420" s="511"/>
      <c r="AQ420" s="511"/>
      <c r="AR420" s="511"/>
      <c r="AS420" s="511"/>
      <c r="AT420" s="511"/>
      <c r="AU420" s="511"/>
      <c r="AV420" s="511"/>
      <c r="AW420" s="511"/>
      <c r="AX420" s="511"/>
      <c r="AY420" s="511"/>
      <c r="AZ420" s="511"/>
      <c r="BA420" s="511"/>
      <c r="BB420" s="511"/>
      <c r="BC420" s="511"/>
    </row>
    <row r="421" spans="1:55" ht="16.5" customHeight="1" x14ac:dyDescent="0.3">
      <c r="A421" s="511"/>
      <c r="B421" s="511"/>
      <c r="C421" s="511"/>
      <c r="D421" s="511"/>
      <c r="E421" s="511"/>
      <c r="F421" s="511"/>
      <c r="G421" s="511"/>
      <c r="H421" s="511"/>
      <c r="I421" s="511"/>
      <c r="J421" s="511"/>
      <c r="K421" s="511"/>
      <c r="L421" s="511"/>
      <c r="M421" s="511"/>
      <c r="N421" s="511"/>
      <c r="O421" s="511"/>
      <c r="P421" s="511"/>
      <c r="Q421" s="511"/>
      <c r="R421" s="511"/>
      <c r="S421" s="511"/>
      <c r="T421" s="511"/>
      <c r="U421" s="511"/>
      <c r="V421" s="511"/>
      <c r="W421" s="511"/>
      <c r="X421" s="511"/>
      <c r="Y421" s="511"/>
      <c r="Z421" s="511"/>
      <c r="AA421" s="511"/>
      <c r="AB421" s="511"/>
      <c r="AC421" s="511"/>
      <c r="AD421" s="511"/>
      <c r="AE421" s="511"/>
      <c r="AF421" s="511"/>
      <c r="AG421" s="511"/>
      <c r="AH421" s="511"/>
      <c r="AI421" s="511"/>
      <c r="AJ421" s="511"/>
      <c r="AK421" s="511"/>
      <c r="AL421" s="511"/>
      <c r="AM421" s="511"/>
      <c r="AN421" s="511"/>
      <c r="AO421" s="511"/>
      <c r="AP421" s="511"/>
      <c r="AQ421" s="511"/>
      <c r="AR421" s="511"/>
      <c r="AS421" s="511"/>
      <c r="AT421" s="511"/>
      <c r="AU421" s="511"/>
      <c r="AV421" s="511"/>
      <c r="AW421" s="511"/>
      <c r="AX421" s="511"/>
      <c r="AY421" s="511"/>
      <c r="AZ421" s="511"/>
      <c r="BA421" s="511"/>
      <c r="BB421" s="511"/>
      <c r="BC421" s="511"/>
    </row>
    <row r="422" spans="1:55" ht="16.5" customHeight="1" x14ac:dyDescent="0.3">
      <c r="A422" s="511"/>
      <c r="B422" s="511"/>
      <c r="C422" s="511"/>
      <c r="D422" s="511"/>
      <c r="E422" s="511"/>
      <c r="F422" s="511"/>
      <c r="G422" s="511"/>
      <c r="H422" s="511"/>
      <c r="I422" s="511"/>
      <c r="J422" s="511"/>
      <c r="K422" s="511"/>
      <c r="L422" s="511"/>
      <c r="M422" s="511"/>
      <c r="N422" s="511"/>
      <c r="O422" s="511"/>
      <c r="P422" s="511"/>
      <c r="Q422" s="511"/>
      <c r="R422" s="511"/>
      <c r="S422" s="511"/>
      <c r="T422" s="511"/>
      <c r="U422" s="511"/>
      <c r="V422" s="511"/>
      <c r="W422" s="511"/>
      <c r="X422" s="511"/>
      <c r="Y422" s="511"/>
      <c r="Z422" s="511"/>
      <c r="AA422" s="511"/>
      <c r="AB422" s="511"/>
      <c r="AC422" s="511"/>
      <c r="AD422" s="511"/>
      <c r="AE422" s="511"/>
      <c r="AF422" s="511"/>
      <c r="AG422" s="511"/>
      <c r="AH422" s="511"/>
      <c r="AI422" s="511"/>
      <c r="AJ422" s="511"/>
      <c r="AK422" s="511"/>
      <c r="AL422" s="511"/>
      <c r="AM422" s="511"/>
      <c r="AN422" s="511"/>
      <c r="AO422" s="511"/>
      <c r="AP422" s="511"/>
      <c r="AQ422" s="511"/>
      <c r="AR422" s="511"/>
      <c r="AS422" s="511"/>
      <c r="AT422" s="511"/>
      <c r="AU422" s="511"/>
      <c r="AV422" s="511"/>
      <c r="AW422" s="511"/>
      <c r="AX422" s="511"/>
      <c r="AY422" s="511"/>
      <c r="AZ422" s="511"/>
      <c r="BA422" s="511"/>
      <c r="BB422" s="511"/>
      <c r="BC422" s="511"/>
    </row>
    <row r="423" spans="1:55" ht="16.5" customHeight="1" x14ac:dyDescent="0.3">
      <c r="A423" s="511"/>
      <c r="B423" s="511"/>
      <c r="C423" s="511"/>
      <c r="D423" s="511"/>
      <c r="E423" s="511"/>
      <c r="F423" s="511"/>
      <c r="G423" s="511"/>
      <c r="H423" s="511"/>
      <c r="I423" s="511"/>
      <c r="J423" s="511"/>
      <c r="K423" s="511"/>
      <c r="L423" s="511"/>
      <c r="M423" s="511"/>
      <c r="N423" s="511"/>
      <c r="O423" s="511"/>
      <c r="P423" s="511"/>
      <c r="Q423" s="511"/>
      <c r="R423" s="511"/>
      <c r="S423" s="511"/>
      <c r="T423" s="511"/>
      <c r="U423" s="511"/>
      <c r="V423" s="511"/>
      <c r="W423" s="511"/>
      <c r="X423" s="511"/>
      <c r="Y423" s="511"/>
      <c r="Z423" s="511"/>
      <c r="AA423" s="511"/>
      <c r="AB423" s="511"/>
      <c r="AC423" s="511"/>
      <c r="AD423" s="511"/>
      <c r="AE423" s="511"/>
      <c r="AF423" s="511"/>
      <c r="AG423" s="511"/>
      <c r="AH423" s="511"/>
      <c r="AI423" s="511"/>
      <c r="AJ423" s="511"/>
      <c r="AK423" s="511"/>
      <c r="AL423" s="511"/>
      <c r="AM423" s="511"/>
      <c r="AN423" s="511"/>
      <c r="AO423" s="511"/>
      <c r="AP423" s="511"/>
      <c r="AQ423" s="511"/>
      <c r="AR423" s="511"/>
      <c r="AS423" s="511"/>
      <c r="AT423" s="511"/>
      <c r="AU423" s="511"/>
      <c r="AV423" s="511"/>
      <c r="AW423" s="511"/>
      <c r="AX423" s="511"/>
      <c r="AY423" s="511"/>
      <c r="AZ423" s="511"/>
      <c r="BA423" s="511"/>
      <c r="BB423" s="511"/>
      <c r="BC423" s="511"/>
    </row>
    <row r="424" spans="1:55" ht="16.5" customHeight="1" x14ac:dyDescent="0.3">
      <c r="A424" s="511"/>
      <c r="B424" s="511"/>
      <c r="C424" s="511"/>
      <c r="D424" s="511"/>
      <c r="E424" s="511"/>
      <c r="F424" s="511"/>
      <c r="G424" s="511"/>
      <c r="H424" s="511"/>
      <c r="I424" s="511"/>
      <c r="J424" s="511"/>
      <c r="K424" s="511"/>
      <c r="L424" s="511"/>
      <c r="M424" s="511"/>
      <c r="N424" s="511"/>
      <c r="O424" s="511"/>
      <c r="P424" s="511"/>
      <c r="Q424" s="511"/>
      <c r="R424" s="511"/>
      <c r="S424" s="511"/>
      <c r="T424" s="511"/>
      <c r="U424" s="511"/>
      <c r="V424" s="511"/>
      <c r="W424" s="511"/>
      <c r="X424" s="511"/>
      <c r="Y424" s="511"/>
      <c r="Z424" s="511"/>
      <c r="AA424" s="511"/>
      <c r="AB424" s="511"/>
      <c r="AC424" s="511"/>
      <c r="AD424" s="511"/>
      <c r="AE424" s="511"/>
      <c r="AF424" s="511"/>
      <c r="AG424" s="511"/>
      <c r="AH424" s="511"/>
      <c r="AI424" s="511"/>
      <c r="AJ424" s="511"/>
      <c r="AK424" s="511"/>
      <c r="AL424" s="511"/>
      <c r="AM424" s="511"/>
      <c r="AN424" s="511"/>
      <c r="AO424" s="511"/>
      <c r="AP424" s="511"/>
      <c r="AQ424" s="511"/>
      <c r="AR424" s="511"/>
      <c r="AS424" s="511"/>
      <c r="AT424" s="511"/>
      <c r="AU424" s="511"/>
      <c r="AV424" s="511"/>
      <c r="AW424" s="511"/>
      <c r="AX424" s="511"/>
      <c r="AY424" s="511"/>
      <c r="AZ424" s="511"/>
      <c r="BA424" s="511"/>
      <c r="BB424" s="511"/>
      <c r="BC424" s="511"/>
    </row>
    <row r="425" spans="1:55" ht="16.5" customHeight="1" x14ac:dyDescent="0.3">
      <c r="A425" s="511"/>
      <c r="B425" s="511"/>
      <c r="C425" s="511"/>
      <c r="D425" s="511"/>
      <c r="E425" s="511"/>
      <c r="F425" s="511"/>
      <c r="G425" s="511"/>
      <c r="H425" s="511"/>
      <c r="I425" s="511"/>
      <c r="J425" s="511"/>
      <c r="K425" s="511"/>
      <c r="L425" s="511"/>
      <c r="M425" s="511"/>
      <c r="N425" s="511"/>
      <c r="O425" s="511"/>
      <c r="P425" s="511"/>
      <c r="Q425" s="511"/>
      <c r="R425" s="511"/>
      <c r="S425" s="511"/>
      <c r="T425" s="511"/>
      <c r="U425" s="511"/>
      <c r="V425" s="511"/>
      <c r="W425" s="511"/>
      <c r="X425" s="511"/>
      <c r="Y425" s="511"/>
      <c r="Z425" s="511"/>
      <c r="AA425" s="511"/>
      <c r="AB425" s="511"/>
      <c r="AC425" s="511"/>
      <c r="AD425" s="511"/>
      <c r="AE425" s="511"/>
      <c r="AF425" s="511"/>
      <c r="AG425" s="511"/>
      <c r="AH425" s="511"/>
      <c r="AI425" s="511"/>
      <c r="AJ425" s="511"/>
      <c r="AK425" s="511"/>
      <c r="AL425" s="511"/>
      <c r="AM425" s="511"/>
      <c r="AN425" s="511"/>
      <c r="AO425" s="511"/>
      <c r="AP425" s="511"/>
      <c r="AQ425" s="511"/>
      <c r="AR425" s="511"/>
      <c r="AS425" s="511"/>
      <c r="AT425" s="511"/>
      <c r="AU425" s="511"/>
      <c r="AV425" s="511"/>
      <c r="AW425" s="511"/>
      <c r="AX425" s="511"/>
      <c r="AY425" s="511"/>
      <c r="AZ425" s="511"/>
      <c r="BA425" s="511"/>
      <c r="BB425" s="511"/>
      <c r="BC425" s="511"/>
    </row>
    <row r="426" spans="1:55" ht="16.5" customHeight="1" x14ac:dyDescent="0.3">
      <c r="A426" s="511"/>
      <c r="B426" s="511"/>
      <c r="C426" s="511"/>
      <c r="D426" s="511"/>
      <c r="E426" s="511"/>
      <c r="F426" s="511"/>
      <c r="G426" s="511"/>
      <c r="H426" s="511"/>
      <c r="I426" s="511"/>
      <c r="J426" s="511"/>
      <c r="K426" s="511"/>
      <c r="L426" s="511"/>
      <c r="M426" s="511"/>
      <c r="N426" s="511"/>
      <c r="O426" s="511"/>
      <c r="P426" s="511"/>
      <c r="Q426" s="511"/>
      <c r="R426" s="511"/>
      <c r="S426" s="511"/>
      <c r="T426" s="511"/>
      <c r="U426" s="511"/>
      <c r="V426" s="511"/>
      <c r="W426" s="511"/>
      <c r="X426" s="511"/>
      <c r="Y426" s="511"/>
      <c r="Z426" s="511"/>
      <c r="AA426" s="511"/>
      <c r="AB426" s="511"/>
      <c r="AC426" s="511"/>
      <c r="AD426" s="511"/>
      <c r="AE426" s="511"/>
      <c r="AF426" s="511"/>
      <c r="AG426" s="511"/>
      <c r="AH426" s="511"/>
      <c r="AI426" s="511"/>
      <c r="AJ426" s="511"/>
      <c r="AK426" s="511"/>
      <c r="AL426" s="511"/>
      <c r="AM426" s="511"/>
      <c r="AN426" s="511"/>
      <c r="AO426" s="511"/>
      <c r="AP426" s="511"/>
      <c r="AQ426" s="511"/>
      <c r="AR426" s="511"/>
      <c r="AS426" s="511"/>
      <c r="AT426" s="511"/>
      <c r="AU426" s="511"/>
      <c r="AV426" s="511"/>
      <c r="AW426" s="511"/>
      <c r="AX426" s="511"/>
      <c r="AY426" s="511"/>
      <c r="AZ426" s="511"/>
      <c r="BA426" s="511"/>
      <c r="BB426" s="511"/>
      <c r="BC426" s="511"/>
    </row>
    <row r="427" spans="1:55" ht="16.5" customHeight="1" x14ac:dyDescent="0.3">
      <c r="A427" s="511"/>
      <c r="B427" s="511"/>
      <c r="C427" s="511"/>
      <c r="D427" s="511"/>
      <c r="E427" s="511"/>
      <c r="F427" s="511"/>
      <c r="G427" s="511"/>
      <c r="H427" s="511"/>
      <c r="I427" s="511"/>
      <c r="J427" s="511"/>
      <c r="K427" s="511"/>
      <c r="L427" s="511"/>
      <c r="M427" s="511"/>
      <c r="N427" s="511"/>
      <c r="O427" s="511"/>
      <c r="P427" s="511"/>
      <c r="Q427" s="511"/>
      <c r="R427" s="511"/>
      <c r="S427" s="511"/>
      <c r="T427" s="511"/>
      <c r="U427" s="511"/>
      <c r="V427" s="511"/>
      <c r="W427" s="511"/>
      <c r="X427" s="511"/>
      <c r="Y427" s="511"/>
      <c r="Z427" s="511"/>
      <c r="AA427" s="511"/>
      <c r="AB427" s="511"/>
      <c r="AC427" s="511"/>
      <c r="AD427" s="511"/>
      <c r="AE427" s="511"/>
      <c r="AF427" s="511"/>
      <c r="AG427" s="511"/>
      <c r="AH427" s="511"/>
      <c r="AI427" s="511"/>
      <c r="AJ427" s="511"/>
      <c r="AK427" s="511"/>
      <c r="AL427" s="511"/>
      <c r="AM427" s="511"/>
      <c r="AN427" s="511"/>
      <c r="AO427" s="511"/>
      <c r="AP427" s="511"/>
      <c r="AQ427" s="511"/>
      <c r="AR427" s="511"/>
      <c r="AS427" s="511"/>
      <c r="AT427" s="511"/>
      <c r="AU427" s="511"/>
      <c r="AV427" s="511"/>
      <c r="AW427" s="511"/>
      <c r="AX427" s="511"/>
      <c r="AY427" s="511"/>
      <c r="AZ427" s="511"/>
      <c r="BA427" s="511"/>
      <c r="BB427" s="511"/>
      <c r="BC427" s="511"/>
    </row>
    <row r="428" spans="1:55" ht="16.5" customHeight="1" x14ac:dyDescent="0.3">
      <c r="A428" s="511"/>
      <c r="B428" s="511"/>
      <c r="C428" s="511"/>
      <c r="D428" s="511"/>
      <c r="E428" s="511"/>
      <c r="F428" s="511"/>
      <c r="G428" s="511"/>
      <c r="H428" s="511"/>
      <c r="I428" s="511"/>
      <c r="J428" s="511"/>
      <c r="K428" s="511"/>
      <c r="L428" s="511"/>
      <c r="M428" s="511"/>
      <c r="N428" s="511"/>
      <c r="O428" s="511"/>
      <c r="P428" s="511"/>
      <c r="Q428" s="511"/>
      <c r="R428" s="511"/>
      <c r="S428" s="511"/>
      <c r="T428" s="511"/>
      <c r="U428" s="511"/>
      <c r="V428" s="511"/>
      <c r="W428" s="511"/>
      <c r="X428" s="511"/>
      <c r="Y428" s="511"/>
      <c r="Z428" s="511"/>
      <c r="AA428" s="511"/>
      <c r="AB428" s="511"/>
      <c r="AC428" s="511"/>
      <c r="AD428" s="511"/>
      <c r="AE428" s="511"/>
      <c r="AF428" s="511"/>
      <c r="AG428" s="511"/>
      <c r="AH428" s="511"/>
      <c r="AI428" s="511"/>
      <c r="AJ428" s="511"/>
      <c r="AK428" s="511"/>
      <c r="AL428" s="511"/>
      <c r="AM428" s="511"/>
      <c r="AN428" s="511"/>
      <c r="AO428" s="511"/>
      <c r="AP428" s="511"/>
      <c r="AQ428" s="511"/>
      <c r="AR428" s="511"/>
      <c r="AS428" s="511"/>
      <c r="AT428" s="511"/>
      <c r="AU428" s="511"/>
      <c r="AV428" s="511"/>
      <c r="AW428" s="511"/>
      <c r="AX428" s="511"/>
      <c r="AY428" s="511"/>
      <c r="AZ428" s="511"/>
      <c r="BA428" s="511"/>
      <c r="BB428" s="511"/>
      <c r="BC428" s="511"/>
    </row>
    <row r="429" spans="1:55" ht="16.5" customHeight="1" x14ac:dyDescent="0.3">
      <c r="A429" s="511"/>
      <c r="B429" s="511"/>
      <c r="C429" s="511"/>
      <c r="D429" s="511"/>
      <c r="E429" s="511"/>
      <c r="F429" s="511"/>
      <c r="G429" s="511"/>
      <c r="H429" s="511"/>
      <c r="I429" s="511"/>
      <c r="J429" s="511"/>
      <c r="K429" s="511"/>
      <c r="L429" s="511"/>
      <c r="M429" s="511"/>
      <c r="N429" s="511"/>
      <c r="O429" s="511"/>
      <c r="P429" s="511"/>
      <c r="Q429" s="511"/>
      <c r="R429" s="511"/>
      <c r="S429" s="511"/>
      <c r="T429" s="511"/>
      <c r="U429" s="511"/>
      <c r="V429" s="511"/>
      <c r="W429" s="511"/>
      <c r="X429" s="511"/>
      <c r="Y429" s="511"/>
      <c r="Z429" s="511"/>
      <c r="AA429" s="511"/>
      <c r="AB429" s="511"/>
      <c r="AC429" s="511"/>
      <c r="AD429" s="511"/>
      <c r="AE429" s="511"/>
      <c r="AF429" s="511"/>
      <c r="AG429" s="511"/>
      <c r="AH429" s="511"/>
      <c r="AI429" s="511"/>
      <c r="AJ429" s="511"/>
      <c r="AK429" s="511"/>
      <c r="AL429" s="511"/>
      <c r="AM429" s="511"/>
      <c r="AN429" s="511"/>
      <c r="AO429" s="511"/>
      <c r="AP429" s="511"/>
      <c r="AQ429" s="511"/>
      <c r="AR429" s="511"/>
      <c r="AS429" s="511"/>
      <c r="AT429" s="511"/>
      <c r="AU429" s="511"/>
      <c r="AV429" s="511"/>
      <c r="AW429" s="511"/>
      <c r="AX429" s="511"/>
      <c r="AY429" s="511"/>
      <c r="AZ429" s="511"/>
      <c r="BA429" s="511"/>
      <c r="BB429" s="511"/>
      <c r="BC429" s="511"/>
    </row>
    <row r="430" spans="1:55" ht="16.5" customHeight="1" x14ac:dyDescent="0.3">
      <c r="A430" s="511"/>
      <c r="B430" s="511"/>
      <c r="C430" s="511"/>
      <c r="D430" s="511"/>
      <c r="E430" s="511"/>
      <c r="F430" s="511"/>
      <c r="G430" s="511"/>
      <c r="H430" s="511"/>
      <c r="I430" s="511"/>
      <c r="J430" s="511"/>
      <c r="K430" s="511"/>
      <c r="L430" s="511"/>
      <c r="M430" s="511"/>
      <c r="N430" s="511"/>
      <c r="O430" s="511"/>
      <c r="P430" s="511"/>
      <c r="Q430" s="511"/>
      <c r="R430" s="511"/>
      <c r="S430" s="511"/>
      <c r="T430" s="511"/>
      <c r="U430" s="511"/>
      <c r="V430" s="511"/>
      <c r="W430" s="511"/>
      <c r="X430" s="511"/>
      <c r="Y430" s="511"/>
      <c r="Z430" s="511"/>
      <c r="AA430" s="511"/>
      <c r="AB430" s="511"/>
      <c r="AC430" s="511"/>
      <c r="AD430" s="511"/>
      <c r="AE430" s="511"/>
      <c r="AF430" s="511"/>
      <c r="AG430" s="511"/>
      <c r="AH430" s="511"/>
      <c r="AI430" s="511"/>
      <c r="AJ430" s="511"/>
      <c r="AK430" s="511"/>
      <c r="AL430" s="511"/>
      <c r="AM430" s="511"/>
      <c r="AN430" s="511"/>
      <c r="AO430" s="511"/>
      <c r="AP430" s="511"/>
      <c r="AQ430" s="511"/>
      <c r="AR430" s="511"/>
      <c r="AS430" s="511"/>
      <c r="AT430" s="511"/>
      <c r="AU430" s="511"/>
      <c r="AV430" s="511"/>
      <c r="AW430" s="511"/>
      <c r="AX430" s="511"/>
      <c r="AY430" s="511"/>
      <c r="AZ430" s="511"/>
      <c r="BA430" s="511"/>
      <c r="BB430" s="511"/>
      <c r="BC430" s="511"/>
    </row>
    <row r="431" spans="1:55" ht="16.5" customHeight="1" x14ac:dyDescent="0.3">
      <c r="A431" s="511"/>
      <c r="B431" s="511"/>
      <c r="C431" s="511"/>
      <c r="D431" s="511"/>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c r="AA431" s="511"/>
      <c r="AB431" s="511"/>
      <c r="AC431" s="511"/>
      <c r="AD431" s="511"/>
      <c r="AE431" s="511"/>
      <c r="AF431" s="511"/>
      <c r="AG431" s="511"/>
      <c r="AH431" s="511"/>
      <c r="AI431" s="511"/>
      <c r="AJ431" s="511"/>
      <c r="AK431" s="511"/>
      <c r="AL431" s="511"/>
      <c r="AM431" s="511"/>
      <c r="AN431" s="511"/>
      <c r="AO431" s="511"/>
      <c r="AP431" s="511"/>
      <c r="AQ431" s="511"/>
      <c r="AR431" s="511"/>
      <c r="AS431" s="511"/>
      <c r="AT431" s="511"/>
      <c r="AU431" s="511"/>
      <c r="AV431" s="511"/>
      <c r="AW431" s="511"/>
      <c r="AX431" s="511"/>
      <c r="AY431" s="511"/>
      <c r="AZ431" s="511"/>
      <c r="BA431" s="511"/>
      <c r="BB431" s="511"/>
      <c r="BC431" s="511"/>
    </row>
    <row r="432" spans="1:55" ht="16.5" customHeight="1" x14ac:dyDescent="0.3">
      <c r="A432" s="511"/>
      <c r="B432" s="511"/>
      <c r="C432" s="511"/>
      <c r="D432" s="511"/>
      <c r="E432" s="511"/>
      <c r="F432" s="511"/>
      <c r="G432" s="511"/>
      <c r="H432" s="511"/>
      <c r="I432" s="511"/>
      <c r="J432" s="511"/>
      <c r="K432" s="511"/>
      <c r="L432" s="511"/>
      <c r="M432" s="511"/>
      <c r="N432" s="511"/>
      <c r="O432" s="511"/>
      <c r="P432" s="511"/>
      <c r="Q432" s="511"/>
      <c r="R432" s="511"/>
      <c r="S432" s="511"/>
      <c r="T432" s="511"/>
      <c r="U432" s="511"/>
      <c r="V432" s="511"/>
      <c r="W432" s="511"/>
      <c r="X432" s="511"/>
      <c r="Y432" s="511"/>
      <c r="Z432" s="511"/>
      <c r="AA432" s="511"/>
      <c r="AB432" s="511"/>
      <c r="AC432" s="511"/>
      <c r="AD432" s="511"/>
      <c r="AE432" s="511"/>
      <c r="AF432" s="511"/>
      <c r="AG432" s="511"/>
      <c r="AH432" s="511"/>
      <c r="AI432" s="511"/>
      <c r="AJ432" s="511"/>
      <c r="AK432" s="511"/>
      <c r="AL432" s="511"/>
      <c r="AM432" s="511"/>
      <c r="AN432" s="511"/>
      <c r="AO432" s="511"/>
      <c r="AP432" s="511"/>
      <c r="AQ432" s="511"/>
      <c r="AR432" s="511"/>
      <c r="AS432" s="511"/>
      <c r="AT432" s="511"/>
      <c r="AU432" s="511"/>
      <c r="AV432" s="511"/>
      <c r="AW432" s="511"/>
      <c r="AX432" s="511"/>
      <c r="AY432" s="511"/>
      <c r="AZ432" s="511"/>
      <c r="BA432" s="511"/>
      <c r="BB432" s="511"/>
      <c r="BC432" s="511"/>
    </row>
    <row r="433" spans="1:55" ht="16.5" customHeight="1" x14ac:dyDescent="0.3">
      <c r="A433" s="511"/>
      <c r="B433" s="511"/>
      <c r="C433" s="511"/>
      <c r="D433" s="511"/>
      <c r="E433" s="511"/>
      <c r="F433" s="511"/>
      <c r="G433" s="511"/>
      <c r="H433" s="511"/>
      <c r="I433" s="511"/>
      <c r="J433" s="511"/>
      <c r="K433" s="511"/>
      <c r="L433" s="511"/>
      <c r="M433" s="511"/>
      <c r="N433" s="511"/>
      <c r="O433" s="511"/>
      <c r="P433" s="511"/>
      <c r="Q433" s="511"/>
      <c r="R433" s="511"/>
      <c r="S433" s="511"/>
      <c r="T433" s="511"/>
      <c r="U433" s="511"/>
      <c r="V433" s="511"/>
      <c r="W433" s="511"/>
      <c r="X433" s="511"/>
      <c r="Y433" s="511"/>
      <c r="Z433" s="511"/>
      <c r="AA433" s="511"/>
      <c r="AB433" s="511"/>
      <c r="AC433" s="511"/>
      <c r="AD433" s="511"/>
      <c r="AE433" s="511"/>
      <c r="AF433" s="511"/>
      <c r="AG433" s="511"/>
      <c r="AH433" s="511"/>
      <c r="AI433" s="511"/>
      <c r="AJ433" s="511"/>
      <c r="AK433" s="511"/>
      <c r="AL433" s="511"/>
      <c r="AM433" s="511"/>
      <c r="AN433" s="511"/>
      <c r="AO433" s="511"/>
      <c r="AP433" s="511"/>
      <c r="AQ433" s="511"/>
      <c r="AR433" s="511"/>
      <c r="AS433" s="511"/>
      <c r="AT433" s="511"/>
      <c r="AU433" s="511"/>
      <c r="AV433" s="511"/>
      <c r="AW433" s="511"/>
      <c r="AX433" s="511"/>
      <c r="AY433" s="511"/>
      <c r="AZ433" s="511"/>
      <c r="BA433" s="511"/>
      <c r="BB433" s="511"/>
      <c r="BC433" s="511"/>
    </row>
    <row r="434" spans="1:55" ht="16.5" customHeight="1" x14ac:dyDescent="0.3">
      <c r="A434" s="511"/>
      <c r="B434" s="511"/>
      <c r="C434" s="511"/>
      <c r="D434" s="511"/>
      <c r="E434" s="511"/>
      <c r="F434" s="511"/>
      <c r="G434" s="511"/>
      <c r="H434" s="511"/>
      <c r="I434" s="511"/>
      <c r="J434" s="511"/>
      <c r="K434" s="511"/>
      <c r="L434" s="511"/>
      <c r="M434" s="511"/>
      <c r="N434" s="511"/>
      <c r="O434" s="511"/>
      <c r="P434" s="511"/>
      <c r="Q434" s="511"/>
      <c r="R434" s="511"/>
      <c r="S434" s="511"/>
      <c r="T434" s="511"/>
      <c r="U434" s="511"/>
      <c r="V434" s="511"/>
      <c r="W434" s="511"/>
      <c r="X434" s="511"/>
      <c r="Y434" s="511"/>
      <c r="Z434" s="511"/>
      <c r="AA434" s="511"/>
      <c r="AB434" s="511"/>
      <c r="AC434" s="511"/>
      <c r="AD434" s="511"/>
      <c r="AE434" s="511"/>
      <c r="AF434" s="511"/>
      <c r="AG434" s="511"/>
      <c r="AH434" s="511"/>
      <c r="AI434" s="511"/>
      <c r="AJ434" s="511"/>
      <c r="AK434" s="511"/>
      <c r="AL434" s="511"/>
      <c r="AM434" s="511"/>
      <c r="AN434" s="511"/>
      <c r="AO434" s="511"/>
      <c r="AP434" s="511"/>
      <c r="AQ434" s="511"/>
      <c r="AR434" s="511"/>
      <c r="AS434" s="511"/>
      <c r="AT434" s="511"/>
      <c r="AU434" s="511"/>
      <c r="AV434" s="511"/>
      <c r="AW434" s="511"/>
      <c r="AX434" s="511"/>
      <c r="AY434" s="511"/>
      <c r="AZ434" s="511"/>
      <c r="BA434" s="511"/>
      <c r="BB434" s="511"/>
      <c r="BC434" s="511"/>
    </row>
    <row r="435" spans="1:55" ht="16.5" customHeight="1" x14ac:dyDescent="0.3">
      <c r="A435" s="511"/>
      <c r="B435" s="511"/>
      <c r="C435" s="511"/>
      <c r="D435" s="511"/>
      <c r="E435" s="511"/>
      <c r="F435" s="511"/>
      <c r="G435" s="511"/>
      <c r="H435" s="511"/>
      <c r="I435" s="511"/>
      <c r="J435" s="511"/>
      <c r="K435" s="511"/>
      <c r="L435" s="511"/>
      <c r="M435" s="511"/>
      <c r="N435" s="511"/>
      <c r="O435" s="511"/>
      <c r="P435" s="511"/>
      <c r="Q435" s="511"/>
      <c r="R435" s="511"/>
      <c r="S435" s="511"/>
      <c r="T435" s="511"/>
      <c r="U435" s="511"/>
      <c r="V435" s="511"/>
      <c r="W435" s="511"/>
      <c r="X435" s="511"/>
      <c r="Y435" s="511"/>
      <c r="Z435" s="511"/>
      <c r="AA435" s="511"/>
      <c r="AB435" s="511"/>
      <c r="AC435" s="511"/>
      <c r="AD435" s="511"/>
      <c r="AE435" s="511"/>
      <c r="AF435" s="511"/>
      <c r="AG435" s="511"/>
      <c r="AH435" s="511"/>
      <c r="AI435" s="511"/>
      <c r="AJ435" s="511"/>
      <c r="AK435" s="511"/>
      <c r="AL435" s="511"/>
      <c r="AM435" s="511"/>
      <c r="AN435" s="511"/>
      <c r="AO435" s="511"/>
      <c r="AP435" s="511"/>
      <c r="AQ435" s="511"/>
      <c r="AR435" s="511"/>
      <c r="AS435" s="511"/>
      <c r="AT435" s="511"/>
      <c r="AU435" s="511"/>
      <c r="AV435" s="511"/>
      <c r="AW435" s="511"/>
      <c r="AX435" s="511"/>
      <c r="AY435" s="511"/>
      <c r="AZ435" s="511"/>
      <c r="BA435" s="511"/>
      <c r="BB435" s="511"/>
      <c r="BC435" s="511"/>
    </row>
    <row r="436" spans="1:55" ht="16.5" customHeight="1" x14ac:dyDescent="0.3">
      <c r="A436" s="511"/>
      <c r="B436" s="511"/>
      <c r="C436" s="511"/>
      <c r="D436" s="511"/>
      <c r="E436" s="511"/>
      <c r="F436" s="511"/>
      <c r="G436" s="511"/>
      <c r="H436" s="511"/>
      <c r="I436" s="511"/>
      <c r="J436" s="511"/>
      <c r="K436" s="511"/>
      <c r="L436" s="511"/>
      <c r="M436" s="511"/>
      <c r="N436" s="511"/>
      <c r="O436" s="511"/>
      <c r="P436" s="511"/>
      <c r="Q436" s="511"/>
      <c r="R436" s="511"/>
      <c r="S436" s="511"/>
      <c r="T436" s="511"/>
      <c r="U436" s="511"/>
      <c r="V436" s="511"/>
      <c r="W436" s="511"/>
      <c r="X436" s="511"/>
      <c r="Y436" s="511"/>
      <c r="Z436" s="511"/>
      <c r="AA436" s="511"/>
      <c r="AB436" s="511"/>
      <c r="AC436" s="511"/>
      <c r="AD436" s="511"/>
      <c r="AE436" s="511"/>
      <c r="AF436" s="511"/>
      <c r="AG436" s="511"/>
      <c r="AH436" s="511"/>
      <c r="AI436" s="511"/>
      <c r="AJ436" s="511"/>
      <c r="AK436" s="511"/>
      <c r="AL436" s="511"/>
      <c r="AM436" s="511"/>
      <c r="AN436" s="511"/>
      <c r="AO436" s="511"/>
      <c r="AP436" s="511"/>
      <c r="AQ436" s="511"/>
      <c r="AR436" s="511"/>
      <c r="AS436" s="511"/>
      <c r="AT436" s="511"/>
      <c r="AU436" s="511"/>
      <c r="AV436" s="511"/>
      <c r="AW436" s="511"/>
      <c r="AX436" s="511"/>
      <c r="AY436" s="511"/>
      <c r="AZ436" s="511"/>
      <c r="BA436" s="511"/>
      <c r="BB436" s="511"/>
      <c r="BC436" s="511"/>
    </row>
    <row r="437" spans="1:55" ht="16.5" customHeight="1" x14ac:dyDescent="0.3">
      <c r="A437" s="511"/>
      <c r="B437" s="511"/>
      <c r="C437" s="511"/>
      <c r="D437" s="511"/>
      <c r="E437" s="511"/>
      <c r="F437" s="511"/>
      <c r="G437" s="511"/>
      <c r="H437" s="511"/>
      <c r="I437" s="511"/>
      <c r="J437" s="511"/>
      <c r="K437" s="511"/>
      <c r="L437" s="511"/>
      <c r="M437" s="511"/>
      <c r="N437" s="511"/>
      <c r="O437" s="511"/>
      <c r="P437" s="511"/>
      <c r="Q437" s="511"/>
      <c r="R437" s="511"/>
      <c r="S437" s="511"/>
      <c r="T437" s="511"/>
      <c r="U437" s="511"/>
      <c r="V437" s="511"/>
      <c r="W437" s="511"/>
      <c r="X437" s="511"/>
      <c r="Y437" s="511"/>
      <c r="Z437" s="511"/>
      <c r="AA437" s="511"/>
      <c r="AB437" s="511"/>
      <c r="AC437" s="511"/>
      <c r="AD437" s="511"/>
      <c r="AE437" s="511"/>
      <c r="AF437" s="511"/>
      <c r="AG437" s="511"/>
      <c r="AH437" s="511"/>
      <c r="AI437" s="511"/>
      <c r="AJ437" s="511"/>
      <c r="AK437" s="511"/>
      <c r="AL437" s="511"/>
      <c r="AM437" s="511"/>
      <c r="AN437" s="511"/>
      <c r="AO437" s="511"/>
      <c r="AP437" s="511"/>
      <c r="AQ437" s="511"/>
      <c r="AR437" s="511"/>
      <c r="AS437" s="511"/>
      <c r="AT437" s="511"/>
      <c r="AU437" s="511"/>
      <c r="AV437" s="511"/>
      <c r="AW437" s="511"/>
      <c r="AX437" s="511"/>
      <c r="AY437" s="511"/>
      <c r="AZ437" s="511"/>
      <c r="BA437" s="511"/>
      <c r="BB437" s="511"/>
      <c r="BC437" s="511"/>
    </row>
    <row r="438" spans="1:55" ht="16.5" customHeight="1" x14ac:dyDescent="0.3">
      <c r="A438" s="511"/>
      <c r="B438" s="511"/>
      <c r="C438" s="511"/>
      <c r="D438" s="511"/>
      <c r="E438" s="511"/>
      <c r="F438" s="511"/>
      <c r="G438" s="511"/>
      <c r="H438" s="511"/>
      <c r="I438" s="511"/>
      <c r="J438" s="511"/>
      <c r="K438" s="511"/>
      <c r="L438" s="511"/>
      <c r="M438" s="511"/>
      <c r="N438" s="511"/>
      <c r="O438" s="511"/>
      <c r="P438" s="511"/>
      <c r="Q438" s="511"/>
      <c r="R438" s="511"/>
      <c r="S438" s="511"/>
      <c r="T438" s="511"/>
      <c r="U438" s="511"/>
      <c r="V438" s="511"/>
      <c r="W438" s="511"/>
      <c r="X438" s="511"/>
      <c r="Y438" s="511"/>
      <c r="Z438" s="511"/>
      <c r="AA438" s="511"/>
      <c r="AB438" s="511"/>
      <c r="AC438" s="511"/>
      <c r="AD438" s="511"/>
      <c r="AE438" s="511"/>
      <c r="AF438" s="511"/>
      <c r="AG438" s="511"/>
      <c r="AH438" s="511"/>
      <c r="AI438" s="511"/>
      <c r="AJ438" s="511"/>
      <c r="AK438" s="511"/>
      <c r="AL438" s="511"/>
      <c r="AM438" s="511"/>
      <c r="AN438" s="511"/>
      <c r="AO438" s="511"/>
      <c r="AP438" s="511"/>
      <c r="AQ438" s="511"/>
      <c r="AR438" s="511"/>
      <c r="AS438" s="511"/>
      <c r="AT438" s="511"/>
      <c r="AU438" s="511"/>
      <c r="AV438" s="511"/>
      <c r="AW438" s="511"/>
      <c r="AX438" s="511"/>
      <c r="AY438" s="511"/>
      <c r="AZ438" s="511"/>
      <c r="BA438" s="511"/>
      <c r="BB438" s="511"/>
      <c r="BC438" s="511"/>
    </row>
    <row r="439" spans="1:55" ht="16.5" customHeight="1" x14ac:dyDescent="0.3">
      <c r="A439" s="511"/>
      <c r="B439" s="511"/>
      <c r="C439" s="511"/>
      <c r="D439" s="511"/>
      <c r="E439" s="511"/>
      <c r="F439" s="511"/>
      <c r="G439" s="511"/>
      <c r="H439" s="511"/>
      <c r="I439" s="511"/>
      <c r="J439" s="511"/>
      <c r="K439" s="511"/>
      <c r="L439" s="511"/>
      <c r="M439" s="511"/>
      <c r="N439" s="511"/>
      <c r="O439" s="511"/>
      <c r="P439" s="511"/>
      <c r="Q439" s="511"/>
      <c r="R439" s="511"/>
      <c r="S439" s="511"/>
      <c r="T439" s="511"/>
      <c r="U439" s="511"/>
      <c r="V439" s="511"/>
      <c r="W439" s="511"/>
      <c r="X439" s="511"/>
      <c r="Y439" s="511"/>
      <c r="Z439" s="511"/>
      <c r="AA439" s="511"/>
      <c r="AB439" s="511"/>
      <c r="AC439" s="511"/>
      <c r="AD439" s="511"/>
      <c r="AE439" s="511"/>
      <c r="AF439" s="511"/>
      <c r="AG439" s="511"/>
      <c r="AH439" s="511"/>
      <c r="AI439" s="511"/>
      <c r="AJ439" s="511"/>
      <c r="AK439" s="511"/>
      <c r="AL439" s="511"/>
      <c r="AM439" s="511"/>
      <c r="AN439" s="511"/>
      <c r="AO439" s="511"/>
      <c r="AP439" s="511"/>
      <c r="AQ439" s="511"/>
      <c r="AR439" s="511"/>
      <c r="AS439" s="511"/>
      <c r="AT439" s="511"/>
      <c r="AU439" s="511"/>
      <c r="AV439" s="511"/>
      <c r="AW439" s="511"/>
      <c r="AX439" s="511"/>
      <c r="AY439" s="511"/>
      <c r="AZ439" s="511"/>
      <c r="BA439" s="511"/>
      <c r="BB439" s="511"/>
      <c r="BC439" s="511"/>
    </row>
    <row r="440" spans="1:55" ht="16.5" customHeight="1" x14ac:dyDescent="0.3">
      <c r="A440" s="511"/>
      <c r="B440" s="511"/>
      <c r="C440" s="511"/>
      <c r="D440" s="511"/>
      <c r="E440" s="511"/>
      <c r="F440" s="511"/>
      <c r="G440" s="511"/>
      <c r="H440" s="511"/>
      <c r="I440" s="511"/>
      <c r="J440" s="511"/>
      <c r="K440" s="511"/>
      <c r="L440" s="511"/>
      <c r="M440" s="511"/>
      <c r="N440" s="511"/>
      <c r="O440" s="511"/>
      <c r="P440" s="511"/>
      <c r="Q440" s="511"/>
      <c r="R440" s="511"/>
      <c r="S440" s="511"/>
      <c r="T440" s="511"/>
      <c r="U440" s="511"/>
      <c r="V440" s="511"/>
      <c r="W440" s="511"/>
      <c r="X440" s="511"/>
      <c r="Y440" s="511"/>
      <c r="Z440" s="511"/>
      <c r="AA440" s="511"/>
      <c r="AB440" s="511"/>
      <c r="AC440" s="511"/>
      <c r="AD440" s="511"/>
      <c r="AE440" s="511"/>
      <c r="AF440" s="511"/>
      <c r="AG440" s="511"/>
      <c r="AH440" s="511"/>
      <c r="AI440" s="511"/>
      <c r="AJ440" s="511"/>
      <c r="AK440" s="511"/>
      <c r="AL440" s="511"/>
      <c r="AM440" s="511"/>
      <c r="AN440" s="511"/>
      <c r="AO440" s="511"/>
      <c r="AP440" s="511"/>
      <c r="AQ440" s="511"/>
      <c r="AR440" s="511"/>
      <c r="AS440" s="511"/>
      <c r="AT440" s="511"/>
      <c r="AU440" s="511"/>
      <c r="AV440" s="511"/>
      <c r="AW440" s="511"/>
      <c r="AX440" s="511"/>
      <c r="AY440" s="511"/>
      <c r="AZ440" s="511"/>
      <c r="BA440" s="511"/>
      <c r="BB440" s="511"/>
      <c r="BC440" s="511"/>
    </row>
    <row r="441" spans="1:55" ht="16.5" customHeight="1" x14ac:dyDescent="0.3">
      <c r="A441" s="511"/>
      <c r="B441" s="511"/>
      <c r="C441" s="511"/>
      <c r="D441" s="511"/>
      <c r="E441" s="511"/>
      <c r="F441" s="511"/>
      <c r="G441" s="511"/>
      <c r="H441" s="511"/>
      <c r="I441" s="511"/>
      <c r="J441" s="511"/>
      <c r="K441" s="511"/>
      <c r="L441" s="511"/>
      <c r="M441" s="511"/>
      <c r="N441" s="511"/>
      <c r="O441" s="511"/>
      <c r="P441" s="511"/>
      <c r="Q441" s="511"/>
      <c r="R441" s="511"/>
      <c r="S441" s="511"/>
      <c r="T441" s="511"/>
      <c r="U441" s="511"/>
      <c r="V441" s="511"/>
      <c r="W441" s="511"/>
      <c r="X441" s="511"/>
      <c r="Y441" s="511"/>
      <c r="Z441" s="511"/>
      <c r="AA441" s="511"/>
      <c r="AB441" s="511"/>
      <c r="AC441" s="511"/>
      <c r="AD441" s="511"/>
      <c r="AE441" s="511"/>
      <c r="AF441" s="511"/>
      <c r="AG441" s="511"/>
      <c r="AH441" s="511"/>
      <c r="AI441" s="511"/>
      <c r="AJ441" s="511"/>
      <c r="AK441" s="511"/>
      <c r="AL441" s="511"/>
      <c r="AM441" s="511"/>
      <c r="AN441" s="511"/>
      <c r="AO441" s="511"/>
      <c r="AP441" s="511"/>
      <c r="AQ441" s="511"/>
      <c r="AR441" s="511"/>
      <c r="AS441" s="511"/>
      <c r="AT441" s="511"/>
      <c r="AU441" s="511"/>
      <c r="AV441" s="511"/>
      <c r="AW441" s="511"/>
      <c r="AX441" s="511"/>
      <c r="AY441" s="511"/>
      <c r="AZ441" s="511"/>
      <c r="BA441" s="511"/>
      <c r="BB441" s="511"/>
      <c r="BC441" s="511"/>
    </row>
    <row r="442" spans="1:55" ht="16.5" customHeight="1" x14ac:dyDescent="0.3">
      <c r="A442" s="511"/>
      <c r="B442" s="511"/>
      <c r="C442" s="511"/>
      <c r="D442" s="511"/>
      <c r="E442" s="511"/>
      <c r="F442" s="511"/>
      <c r="G442" s="511"/>
      <c r="H442" s="511"/>
      <c r="I442" s="511"/>
      <c r="J442" s="511"/>
      <c r="K442" s="511"/>
      <c r="L442" s="511"/>
      <c r="M442" s="511"/>
      <c r="N442" s="511"/>
      <c r="O442" s="511"/>
      <c r="P442" s="511"/>
      <c r="Q442" s="511"/>
      <c r="R442" s="511"/>
      <c r="S442" s="511"/>
      <c r="T442" s="511"/>
      <c r="U442" s="511"/>
      <c r="V442" s="511"/>
      <c r="W442" s="511"/>
      <c r="X442" s="511"/>
      <c r="Y442" s="511"/>
      <c r="Z442" s="511"/>
      <c r="AA442" s="511"/>
      <c r="AB442" s="511"/>
      <c r="AC442" s="511"/>
      <c r="AD442" s="511"/>
      <c r="AE442" s="511"/>
      <c r="AF442" s="511"/>
      <c r="AG442" s="511"/>
      <c r="AH442" s="511"/>
      <c r="AI442" s="511"/>
      <c r="AJ442" s="511"/>
      <c r="AK442" s="511"/>
      <c r="AL442" s="511"/>
      <c r="AM442" s="511"/>
      <c r="AN442" s="511"/>
      <c r="AO442" s="511"/>
      <c r="AP442" s="511"/>
      <c r="AQ442" s="511"/>
      <c r="AR442" s="511"/>
      <c r="AS442" s="511"/>
      <c r="AT442" s="511"/>
      <c r="AU442" s="511"/>
      <c r="AV442" s="511"/>
      <c r="AW442" s="511"/>
      <c r="AX442" s="511"/>
      <c r="AY442" s="511"/>
      <c r="AZ442" s="511"/>
      <c r="BA442" s="511"/>
      <c r="BB442" s="511"/>
      <c r="BC442" s="511"/>
    </row>
    <row r="443" spans="1:55" ht="16.5" customHeight="1" x14ac:dyDescent="0.3">
      <c r="A443" s="511"/>
      <c r="B443" s="511"/>
      <c r="C443" s="511"/>
      <c r="D443" s="511"/>
      <c r="E443" s="511"/>
      <c r="F443" s="511"/>
      <c r="G443" s="511"/>
      <c r="H443" s="511"/>
      <c r="I443" s="511"/>
      <c r="J443" s="511"/>
      <c r="K443" s="511"/>
      <c r="L443" s="511"/>
      <c r="M443" s="511"/>
      <c r="N443" s="511"/>
      <c r="O443" s="511"/>
      <c r="P443" s="511"/>
      <c r="Q443" s="511"/>
      <c r="R443" s="511"/>
      <c r="S443" s="511"/>
      <c r="T443" s="511"/>
      <c r="U443" s="511"/>
      <c r="V443" s="511"/>
      <c r="W443" s="511"/>
      <c r="X443" s="511"/>
      <c r="Y443" s="511"/>
      <c r="Z443" s="511"/>
      <c r="AA443" s="511"/>
      <c r="AB443" s="511"/>
      <c r="AC443" s="511"/>
      <c r="AD443" s="511"/>
      <c r="AE443" s="511"/>
      <c r="AF443" s="511"/>
      <c r="AG443" s="511"/>
      <c r="AH443" s="511"/>
      <c r="AI443" s="511"/>
      <c r="AJ443" s="511"/>
      <c r="AK443" s="511"/>
      <c r="AL443" s="511"/>
      <c r="AM443" s="511"/>
      <c r="AN443" s="511"/>
      <c r="AO443" s="511"/>
      <c r="AP443" s="511"/>
      <c r="AQ443" s="511"/>
      <c r="AR443" s="511"/>
      <c r="AS443" s="511"/>
      <c r="AT443" s="511"/>
      <c r="AU443" s="511"/>
      <c r="AV443" s="511"/>
      <c r="AW443" s="511"/>
      <c r="AX443" s="511"/>
      <c r="AY443" s="511"/>
      <c r="AZ443" s="511"/>
      <c r="BA443" s="511"/>
      <c r="BB443" s="511"/>
      <c r="BC443" s="511"/>
    </row>
    <row r="444" spans="1:55" ht="16.5" customHeight="1" x14ac:dyDescent="0.3">
      <c r="A444" s="511"/>
      <c r="B444" s="511"/>
      <c r="C444" s="511"/>
      <c r="D444" s="511"/>
      <c r="E444" s="511"/>
      <c r="F444" s="511"/>
      <c r="G444" s="511"/>
      <c r="H444" s="511"/>
      <c r="I444" s="511"/>
      <c r="J444" s="511"/>
      <c r="K444" s="511"/>
      <c r="L444" s="511"/>
      <c r="M444" s="511"/>
      <c r="N444" s="511"/>
      <c r="O444" s="511"/>
      <c r="P444" s="511"/>
      <c r="Q444" s="511"/>
      <c r="R444" s="511"/>
      <c r="S444" s="511"/>
      <c r="T444" s="511"/>
      <c r="U444" s="511"/>
      <c r="V444" s="511"/>
      <c r="W444" s="511"/>
      <c r="X444" s="511"/>
      <c r="Y444" s="511"/>
      <c r="Z444" s="511"/>
      <c r="AA444" s="511"/>
      <c r="AB444" s="511"/>
      <c r="AC444" s="511"/>
      <c r="AD444" s="511"/>
      <c r="AE444" s="511"/>
      <c r="AF444" s="511"/>
      <c r="AG444" s="511"/>
      <c r="AH444" s="511"/>
      <c r="AI444" s="511"/>
      <c r="AJ444" s="511"/>
      <c r="AK444" s="511"/>
      <c r="AL444" s="511"/>
      <c r="AM444" s="511"/>
      <c r="AN444" s="511"/>
      <c r="AO444" s="511"/>
      <c r="AP444" s="511"/>
      <c r="AQ444" s="511"/>
      <c r="AR444" s="511"/>
      <c r="AS444" s="511"/>
      <c r="AT444" s="511"/>
      <c r="AU444" s="511"/>
      <c r="AV444" s="511"/>
      <c r="AW444" s="511"/>
      <c r="AX444" s="511"/>
      <c r="AY444" s="511"/>
      <c r="AZ444" s="511"/>
      <c r="BA444" s="511"/>
      <c r="BB444" s="511"/>
      <c r="BC444" s="511"/>
    </row>
    <row r="445" spans="1:55" ht="16.5" customHeight="1" x14ac:dyDescent="0.3">
      <c r="A445" s="511"/>
      <c r="B445" s="511"/>
      <c r="C445" s="511"/>
      <c r="D445" s="511"/>
      <c r="E445" s="511"/>
      <c r="F445" s="511"/>
      <c r="G445" s="511"/>
      <c r="H445" s="511"/>
      <c r="I445" s="511"/>
      <c r="J445" s="511"/>
      <c r="K445" s="511"/>
      <c r="L445" s="511"/>
      <c r="M445" s="511"/>
      <c r="N445" s="511"/>
      <c r="O445" s="511"/>
      <c r="P445" s="511"/>
      <c r="Q445" s="511"/>
      <c r="R445" s="511"/>
      <c r="S445" s="511"/>
      <c r="T445" s="511"/>
      <c r="U445" s="511"/>
      <c r="V445" s="511"/>
      <c r="W445" s="511"/>
      <c r="X445" s="511"/>
      <c r="Y445" s="511"/>
      <c r="Z445" s="511"/>
      <c r="AA445" s="511"/>
      <c r="AB445" s="511"/>
      <c r="AC445" s="511"/>
      <c r="AD445" s="511"/>
      <c r="AE445" s="511"/>
      <c r="AF445" s="511"/>
      <c r="AG445" s="511"/>
      <c r="AH445" s="511"/>
      <c r="AI445" s="511"/>
      <c r="AJ445" s="511"/>
      <c r="AK445" s="511"/>
      <c r="AL445" s="511"/>
      <c r="AM445" s="511"/>
      <c r="AN445" s="511"/>
      <c r="AO445" s="511"/>
      <c r="AP445" s="511"/>
      <c r="AQ445" s="511"/>
      <c r="AR445" s="511"/>
      <c r="AS445" s="511"/>
      <c r="AT445" s="511"/>
      <c r="AU445" s="511"/>
      <c r="AV445" s="511"/>
      <c r="AW445" s="511"/>
      <c r="AX445" s="511"/>
      <c r="AY445" s="511"/>
      <c r="AZ445" s="511"/>
      <c r="BA445" s="511"/>
      <c r="BB445" s="511"/>
      <c r="BC445" s="511"/>
    </row>
    <row r="446" spans="1:55" ht="16.5" customHeight="1" x14ac:dyDescent="0.3">
      <c r="A446" s="511"/>
      <c r="B446" s="511"/>
      <c r="C446" s="511"/>
      <c r="D446" s="511"/>
      <c r="E446" s="511"/>
      <c r="F446" s="511"/>
      <c r="G446" s="511"/>
      <c r="H446" s="511"/>
      <c r="I446" s="511"/>
      <c r="J446" s="511"/>
      <c r="K446" s="511"/>
      <c r="L446" s="511"/>
      <c r="M446" s="511"/>
      <c r="N446" s="511"/>
      <c r="O446" s="511"/>
      <c r="P446" s="511"/>
      <c r="Q446" s="511"/>
      <c r="R446" s="511"/>
      <c r="S446" s="511"/>
      <c r="T446" s="511"/>
      <c r="U446" s="511"/>
      <c r="V446" s="511"/>
      <c r="W446" s="511"/>
      <c r="X446" s="511"/>
      <c r="Y446" s="511"/>
      <c r="Z446" s="511"/>
      <c r="AA446" s="511"/>
      <c r="AB446" s="511"/>
      <c r="AC446" s="511"/>
      <c r="AD446" s="511"/>
      <c r="AE446" s="511"/>
      <c r="AF446" s="511"/>
      <c r="AG446" s="511"/>
      <c r="AH446" s="511"/>
      <c r="AI446" s="511"/>
      <c r="AJ446" s="511"/>
      <c r="AK446" s="511"/>
      <c r="AL446" s="511"/>
      <c r="AM446" s="511"/>
      <c r="AN446" s="511"/>
      <c r="AO446" s="511"/>
      <c r="AP446" s="511"/>
      <c r="AQ446" s="511"/>
      <c r="AR446" s="511"/>
      <c r="AS446" s="511"/>
      <c r="AT446" s="511"/>
      <c r="AU446" s="511"/>
      <c r="AV446" s="511"/>
      <c r="AW446" s="511"/>
      <c r="AX446" s="511"/>
      <c r="AY446" s="511"/>
      <c r="AZ446" s="511"/>
      <c r="BA446" s="511"/>
      <c r="BB446" s="511"/>
      <c r="BC446" s="511"/>
    </row>
    <row r="447" spans="1:55" ht="16.5" customHeight="1" x14ac:dyDescent="0.3">
      <c r="A447" s="511"/>
      <c r="B447" s="511"/>
      <c r="C447" s="511"/>
      <c r="D447" s="511"/>
      <c r="E447" s="511"/>
      <c r="F447" s="511"/>
      <c r="G447" s="511"/>
      <c r="H447" s="511"/>
      <c r="I447" s="511"/>
      <c r="J447" s="511"/>
      <c r="K447" s="511"/>
      <c r="L447" s="511"/>
      <c r="M447" s="511"/>
      <c r="N447" s="511"/>
      <c r="O447" s="511"/>
      <c r="P447" s="511"/>
      <c r="Q447" s="511"/>
      <c r="R447" s="511"/>
      <c r="S447" s="511"/>
      <c r="T447" s="511"/>
      <c r="U447" s="511"/>
      <c r="V447" s="511"/>
      <c r="W447" s="511"/>
      <c r="X447" s="511"/>
      <c r="Y447" s="511"/>
      <c r="Z447" s="511"/>
      <c r="AA447" s="511"/>
      <c r="AB447" s="511"/>
      <c r="AC447" s="511"/>
      <c r="AD447" s="511"/>
      <c r="AE447" s="511"/>
      <c r="AF447" s="511"/>
      <c r="AG447" s="511"/>
      <c r="AH447" s="511"/>
      <c r="AI447" s="511"/>
      <c r="AJ447" s="511"/>
      <c r="AK447" s="511"/>
      <c r="AL447" s="511"/>
      <c r="AM447" s="511"/>
      <c r="AN447" s="511"/>
      <c r="AO447" s="511"/>
      <c r="AP447" s="511"/>
      <c r="AQ447" s="511"/>
      <c r="AR447" s="511"/>
      <c r="AS447" s="511"/>
      <c r="AT447" s="511"/>
      <c r="AU447" s="511"/>
      <c r="AV447" s="511"/>
      <c r="AW447" s="511"/>
      <c r="AX447" s="511"/>
      <c r="AY447" s="511"/>
      <c r="AZ447" s="511"/>
      <c r="BA447" s="511"/>
      <c r="BB447" s="511"/>
      <c r="BC447" s="511"/>
    </row>
    <row r="448" spans="1:55" ht="16.5" customHeight="1" x14ac:dyDescent="0.3">
      <c r="A448" s="511"/>
      <c r="B448" s="511"/>
      <c r="C448" s="511"/>
      <c r="D448" s="511"/>
      <c r="E448" s="511"/>
      <c r="F448" s="511"/>
      <c r="G448" s="511"/>
      <c r="H448" s="511"/>
      <c r="I448" s="511"/>
      <c r="J448" s="511"/>
      <c r="K448" s="511"/>
      <c r="L448" s="511"/>
      <c r="M448" s="511"/>
      <c r="N448" s="511"/>
      <c r="O448" s="511"/>
      <c r="P448" s="511"/>
      <c r="Q448" s="511"/>
      <c r="R448" s="511"/>
      <c r="S448" s="511"/>
      <c r="T448" s="511"/>
      <c r="U448" s="511"/>
      <c r="V448" s="511"/>
      <c r="W448" s="511"/>
      <c r="X448" s="511"/>
      <c r="Y448" s="511"/>
      <c r="Z448" s="511"/>
      <c r="AA448" s="511"/>
      <c r="AB448" s="511"/>
      <c r="AC448" s="511"/>
      <c r="AD448" s="511"/>
      <c r="AE448" s="511"/>
      <c r="AF448" s="511"/>
      <c r="AG448" s="511"/>
      <c r="AH448" s="511"/>
      <c r="AI448" s="511"/>
      <c r="AJ448" s="511"/>
      <c r="AK448" s="511"/>
      <c r="AL448" s="511"/>
      <c r="AM448" s="511"/>
      <c r="AN448" s="511"/>
      <c r="AO448" s="511"/>
      <c r="AP448" s="511"/>
      <c r="AQ448" s="511"/>
      <c r="AR448" s="511"/>
      <c r="AS448" s="511"/>
      <c r="AT448" s="511"/>
      <c r="AU448" s="511"/>
      <c r="AV448" s="511"/>
      <c r="AW448" s="511"/>
      <c r="AX448" s="511"/>
      <c r="AY448" s="511"/>
      <c r="AZ448" s="511"/>
      <c r="BA448" s="511"/>
      <c r="BB448" s="511"/>
      <c r="BC448" s="511"/>
    </row>
    <row r="449" spans="1:55" ht="16.5" customHeight="1" x14ac:dyDescent="0.3">
      <c r="A449" s="511"/>
      <c r="B449" s="511"/>
      <c r="C449" s="511"/>
      <c r="D449" s="511"/>
      <c r="E449" s="511"/>
      <c r="F449" s="511"/>
      <c r="G449" s="511"/>
      <c r="H449" s="511"/>
      <c r="I449" s="511"/>
      <c r="J449" s="511"/>
      <c r="K449" s="511"/>
      <c r="L449" s="511"/>
      <c r="M449" s="511"/>
      <c r="N449" s="511"/>
      <c r="O449" s="511"/>
      <c r="P449" s="511"/>
      <c r="Q449" s="511"/>
      <c r="R449" s="511"/>
      <c r="S449" s="511"/>
      <c r="T449" s="511"/>
      <c r="U449" s="511"/>
      <c r="V449" s="511"/>
      <c r="W449" s="511"/>
      <c r="X449" s="511"/>
      <c r="Y449" s="511"/>
      <c r="Z449" s="511"/>
      <c r="AA449" s="511"/>
      <c r="AB449" s="511"/>
      <c r="AC449" s="511"/>
      <c r="AD449" s="511"/>
      <c r="AE449" s="511"/>
      <c r="AF449" s="511"/>
      <c r="AG449" s="511"/>
      <c r="AH449" s="511"/>
      <c r="AI449" s="511"/>
      <c r="AJ449" s="511"/>
      <c r="AK449" s="511"/>
      <c r="AL449" s="511"/>
      <c r="AM449" s="511"/>
      <c r="AN449" s="511"/>
      <c r="AO449" s="511"/>
      <c r="AP449" s="511"/>
      <c r="AQ449" s="511"/>
      <c r="AR449" s="511"/>
      <c r="AS449" s="511"/>
      <c r="AT449" s="511"/>
      <c r="AU449" s="511"/>
      <c r="AV449" s="511"/>
      <c r="AW449" s="511"/>
      <c r="AX449" s="511"/>
      <c r="AY449" s="511"/>
      <c r="AZ449" s="511"/>
      <c r="BA449" s="511"/>
      <c r="BB449" s="511"/>
      <c r="BC449" s="511"/>
    </row>
    <row r="450" spans="1:55" ht="16.5" customHeight="1" x14ac:dyDescent="0.3">
      <c r="A450" s="511"/>
      <c r="B450" s="511"/>
      <c r="C450" s="511"/>
      <c r="D450" s="511"/>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c r="AA450" s="511"/>
      <c r="AB450" s="511"/>
      <c r="AC450" s="511"/>
      <c r="AD450" s="511"/>
      <c r="AE450" s="511"/>
      <c r="AF450" s="511"/>
      <c r="AG450" s="511"/>
      <c r="AH450" s="511"/>
      <c r="AI450" s="511"/>
      <c r="AJ450" s="511"/>
      <c r="AK450" s="511"/>
      <c r="AL450" s="511"/>
      <c r="AM450" s="511"/>
      <c r="AN450" s="511"/>
      <c r="AO450" s="511"/>
      <c r="AP450" s="511"/>
      <c r="AQ450" s="511"/>
      <c r="AR450" s="511"/>
      <c r="AS450" s="511"/>
      <c r="AT450" s="511"/>
      <c r="AU450" s="511"/>
      <c r="AV450" s="511"/>
      <c r="AW450" s="511"/>
      <c r="AX450" s="511"/>
      <c r="AY450" s="511"/>
      <c r="AZ450" s="511"/>
      <c r="BA450" s="511"/>
      <c r="BB450" s="511"/>
      <c r="BC450" s="511"/>
    </row>
    <row r="451" spans="1:55" ht="16.5" customHeight="1" x14ac:dyDescent="0.3">
      <c r="A451" s="511"/>
      <c r="B451" s="511"/>
      <c r="C451" s="511"/>
      <c r="D451" s="511"/>
      <c r="E451" s="511"/>
      <c r="F451" s="511"/>
      <c r="G451" s="511"/>
      <c r="H451" s="511"/>
      <c r="I451" s="511"/>
      <c r="J451" s="511"/>
      <c r="K451" s="511"/>
      <c r="L451" s="511"/>
      <c r="M451" s="511"/>
      <c r="N451" s="511"/>
      <c r="O451" s="511"/>
      <c r="P451" s="511"/>
      <c r="Q451" s="511"/>
      <c r="R451" s="511"/>
      <c r="S451" s="511"/>
      <c r="T451" s="511"/>
      <c r="U451" s="511"/>
      <c r="V451" s="511"/>
      <c r="W451" s="511"/>
      <c r="X451" s="511"/>
      <c r="Y451" s="511"/>
      <c r="Z451" s="511"/>
      <c r="AA451" s="511"/>
      <c r="AB451" s="511"/>
      <c r="AC451" s="511"/>
      <c r="AD451" s="511"/>
      <c r="AE451" s="511"/>
      <c r="AF451" s="511"/>
      <c r="AG451" s="511"/>
      <c r="AH451" s="511"/>
      <c r="AI451" s="511"/>
      <c r="AJ451" s="511"/>
      <c r="AK451" s="511"/>
      <c r="AL451" s="511"/>
      <c r="AM451" s="511"/>
      <c r="AN451" s="511"/>
      <c r="AO451" s="511"/>
      <c r="AP451" s="511"/>
      <c r="AQ451" s="511"/>
      <c r="AR451" s="511"/>
      <c r="AS451" s="511"/>
      <c r="AT451" s="511"/>
      <c r="AU451" s="511"/>
      <c r="AV451" s="511"/>
      <c r="AW451" s="511"/>
      <c r="AX451" s="511"/>
      <c r="AY451" s="511"/>
      <c r="AZ451" s="511"/>
      <c r="BA451" s="511"/>
      <c r="BB451" s="511"/>
      <c r="BC451" s="511"/>
    </row>
    <row r="452" spans="1:55" ht="16.5" customHeight="1" x14ac:dyDescent="0.3">
      <c r="A452" s="511"/>
      <c r="B452" s="511"/>
      <c r="C452" s="511"/>
      <c r="D452" s="511"/>
      <c r="E452" s="511"/>
      <c r="F452" s="511"/>
      <c r="G452" s="511"/>
      <c r="H452" s="511"/>
      <c r="I452" s="511"/>
      <c r="J452" s="511"/>
      <c r="K452" s="511"/>
      <c r="L452" s="511"/>
      <c r="M452" s="511"/>
      <c r="N452" s="511"/>
      <c r="O452" s="511"/>
      <c r="P452" s="511"/>
      <c r="Q452" s="511"/>
      <c r="R452" s="511"/>
      <c r="S452" s="511"/>
      <c r="T452" s="511"/>
      <c r="U452" s="511"/>
      <c r="V452" s="511"/>
      <c r="W452" s="511"/>
      <c r="X452" s="511"/>
      <c r="Y452" s="511"/>
      <c r="Z452" s="511"/>
      <c r="AA452" s="511"/>
      <c r="AB452" s="511"/>
      <c r="AC452" s="511"/>
      <c r="AD452" s="511"/>
      <c r="AE452" s="511"/>
      <c r="AF452" s="511"/>
      <c r="AG452" s="511"/>
      <c r="AH452" s="511"/>
      <c r="AI452" s="511"/>
      <c r="AJ452" s="511"/>
      <c r="AK452" s="511"/>
      <c r="AL452" s="511"/>
      <c r="AM452" s="511"/>
      <c r="AN452" s="511"/>
      <c r="AO452" s="511"/>
      <c r="AP452" s="511"/>
      <c r="AQ452" s="511"/>
      <c r="AR452" s="511"/>
      <c r="AS452" s="511"/>
      <c r="AT452" s="511"/>
      <c r="AU452" s="511"/>
      <c r="AV452" s="511"/>
      <c r="AW452" s="511"/>
      <c r="AX452" s="511"/>
      <c r="AY452" s="511"/>
      <c r="AZ452" s="511"/>
      <c r="BA452" s="511"/>
      <c r="BB452" s="511"/>
      <c r="BC452" s="511"/>
    </row>
    <row r="453" spans="1:55" ht="16.5" customHeight="1" x14ac:dyDescent="0.3">
      <c r="A453" s="511"/>
      <c r="B453" s="511"/>
      <c r="C453" s="511"/>
      <c r="D453" s="511"/>
      <c r="E453" s="511"/>
      <c r="F453" s="511"/>
      <c r="G453" s="511"/>
      <c r="H453" s="511"/>
      <c r="I453" s="511"/>
      <c r="J453" s="511"/>
      <c r="K453" s="511"/>
      <c r="L453" s="511"/>
      <c r="M453" s="511"/>
      <c r="N453" s="511"/>
      <c r="O453" s="511"/>
      <c r="P453" s="511"/>
      <c r="Q453" s="511"/>
      <c r="R453" s="511"/>
      <c r="S453" s="511"/>
      <c r="T453" s="511"/>
      <c r="U453" s="511"/>
      <c r="V453" s="511"/>
      <c r="W453" s="511"/>
      <c r="X453" s="511"/>
      <c r="Y453" s="511"/>
      <c r="Z453" s="511"/>
      <c r="AA453" s="511"/>
      <c r="AB453" s="511"/>
      <c r="AC453" s="511"/>
      <c r="AD453" s="511"/>
      <c r="AE453" s="511"/>
      <c r="AF453" s="511"/>
      <c r="AG453" s="511"/>
      <c r="AH453" s="511"/>
      <c r="AI453" s="511"/>
      <c r="AJ453" s="511"/>
      <c r="AK453" s="511"/>
      <c r="AL453" s="511"/>
      <c r="AM453" s="511"/>
      <c r="AN453" s="511"/>
      <c r="AO453" s="511"/>
      <c r="AP453" s="511"/>
      <c r="AQ453" s="511"/>
      <c r="AR453" s="511"/>
      <c r="AS453" s="511"/>
      <c r="AT453" s="511"/>
      <c r="AU453" s="511"/>
      <c r="AV453" s="511"/>
      <c r="AW453" s="511"/>
      <c r="AX453" s="511"/>
      <c r="AY453" s="511"/>
      <c r="AZ453" s="511"/>
      <c r="BA453" s="511"/>
      <c r="BB453" s="511"/>
      <c r="BC453" s="511"/>
    </row>
    <row r="454" spans="1:55" ht="16.5" customHeight="1" x14ac:dyDescent="0.3">
      <c r="A454" s="511"/>
      <c r="B454" s="511"/>
      <c r="C454" s="511"/>
      <c r="D454" s="511"/>
      <c r="E454" s="511"/>
      <c r="F454" s="511"/>
      <c r="G454" s="511"/>
      <c r="H454" s="511"/>
      <c r="I454" s="511"/>
      <c r="J454" s="511"/>
      <c r="K454" s="511"/>
      <c r="L454" s="511"/>
      <c r="M454" s="511"/>
      <c r="N454" s="511"/>
      <c r="O454" s="511"/>
      <c r="P454" s="511"/>
      <c r="Q454" s="511"/>
      <c r="R454" s="511"/>
      <c r="S454" s="511"/>
      <c r="T454" s="511"/>
      <c r="U454" s="511"/>
      <c r="V454" s="511"/>
      <c r="W454" s="511"/>
      <c r="X454" s="511"/>
      <c r="Y454" s="511"/>
      <c r="Z454" s="511"/>
      <c r="AA454" s="511"/>
      <c r="AB454" s="511"/>
      <c r="AC454" s="511"/>
      <c r="AD454" s="511"/>
      <c r="AE454" s="511"/>
      <c r="AF454" s="511"/>
      <c r="AG454" s="511"/>
      <c r="AH454" s="511"/>
      <c r="AI454" s="511"/>
      <c r="AJ454" s="511"/>
      <c r="AK454" s="511"/>
      <c r="AL454" s="511"/>
      <c r="AM454" s="511"/>
      <c r="AN454" s="511"/>
      <c r="AO454" s="511"/>
      <c r="AP454" s="511"/>
      <c r="AQ454" s="511"/>
      <c r="AR454" s="511"/>
      <c r="AS454" s="511"/>
      <c r="AT454" s="511"/>
      <c r="AU454" s="511"/>
      <c r="AV454" s="511"/>
      <c r="AW454" s="511"/>
      <c r="AX454" s="511"/>
      <c r="AY454" s="511"/>
      <c r="AZ454" s="511"/>
      <c r="BA454" s="511"/>
      <c r="BB454" s="511"/>
      <c r="BC454" s="511"/>
    </row>
    <row r="455" spans="1:55" ht="16.5" customHeight="1" x14ac:dyDescent="0.3">
      <c r="A455" s="511"/>
      <c r="B455" s="511"/>
      <c r="C455" s="511"/>
      <c r="D455" s="511"/>
      <c r="E455" s="511"/>
      <c r="F455" s="511"/>
      <c r="G455" s="511"/>
      <c r="H455" s="511"/>
      <c r="I455" s="511"/>
      <c r="J455" s="511"/>
      <c r="K455" s="511"/>
      <c r="L455" s="511"/>
      <c r="M455" s="511"/>
      <c r="N455" s="511"/>
      <c r="O455" s="511"/>
      <c r="P455" s="511"/>
      <c r="Q455" s="511"/>
      <c r="R455" s="511"/>
      <c r="S455" s="511"/>
      <c r="T455" s="511"/>
      <c r="U455" s="511"/>
      <c r="V455" s="511"/>
      <c r="W455" s="511"/>
      <c r="X455" s="511"/>
      <c r="Y455" s="511"/>
      <c r="Z455" s="511"/>
      <c r="AA455" s="511"/>
      <c r="AB455" s="511"/>
      <c r="AC455" s="511"/>
      <c r="AD455" s="511"/>
      <c r="AE455" s="511"/>
      <c r="AF455" s="511"/>
      <c r="AG455" s="511"/>
      <c r="AH455" s="511"/>
      <c r="AI455" s="511"/>
      <c r="AJ455" s="511"/>
      <c r="AK455" s="511"/>
      <c r="AL455" s="511"/>
      <c r="AM455" s="511"/>
      <c r="AN455" s="511"/>
      <c r="AO455" s="511"/>
      <c r="AP455" s="511"/>
      <c r="AQ455" s="511"/>
      <c r="AR455" s="511"/>
      <c r="AS455" s="511"/>
      <c r="AT455" s="511"/>
      <c r="AU455" s="511"/>
      <c r="AV455" s="511"/>
      <c r="AW455" s="511"/>
      <c r="AX455" s="511"/>
      <c r="AY455" s="511"/>
      <c r="AZ455" s="511"/>
      <c r="BA455" s="511"/>
      <c r="BB455" s="511"/>
      <c r="BC455" s="511"/>
    </row>
    <row r="456" spans="1:55" ht="16.5" customHeight="1" x14ac:dyDescent="0.3">
      <c r="A456" s="511"/>
      <c r="B456" s="511"/>
      <c r="C456" s="511"/>
      <c r="D456" s="511"/>
      <c r="E456" s="511"/>
      <c r="F456" s="511"/>
      <c r="G456" s="511"/>
      <c r="H456" s="511"/>
      <c r="I456" s="511"/>
      <c r="J456" s="511"/>
      <c r="K456" s="511"/>
      <c r="L456" s="511"/>
      <c r="M456" s="511"/>
      <c r="N456" s="511"/>
      <c r="O456" s="511"/>
      <c r="P456" s="511"/>
      <c r="Q456" s="511"/>
      <c r="R456" s="511"/>
      <c r="S456" s="511"/>
      <c r="T456" s="511"/>
      <c r="U456" s="511"/>
      <c r="V456" s="511"/>
      <c r="W456" s="511"/>
      <c r="X456" s="511"/>
      <c r="Y456" s="511"/>
      <c r="Z456" s="511"/>
      <c r="AA456" s="511"/>
      <c r="AB456" s="511"/>
      <c r="AC456" s="511"/>
      <c r="AD456" s="511"/>
      <c r="AE456" s="511"/>
      <c r="AF456" s="511"/>
      <c r="AG456" s="511"/>
      <c r="AH456" s="511"/>
      <c r="AI456" s="511"/>
      <c r="AJ456" s="511"/>
      <c r="AK456" s="511"/>
      <c r="AL456" s="511"/>
      <c r="AM456" s="511"/>
      <c r="AN456" s="511"/>
      <c r="AO456" s="511"/>
      <c r="AP456" s="511"/>
      <c r="AQ456" s="511"/>
      <c r="AR456" s="511"/>
      <c r="AS456" s="511"/>
      <c r="AT456" s="511"/>
      <c r="AU456" s="511"/>
      <c r="AV456" s="511"/>
      <c r="AW456" s="511"/>
      <c r="AX456" s="511"/>
      <c r="AY456" s="511"/>
      <c r="AZ456" s="511"/>
      <c r="BA456" s="511"/>
      <c r="BB456" s="511"/>
      <c r="BC456" s="511"/>
    </row>
    <row r="457" spans="1:55" ht="16.5" customHeight="1" x14ac:dyDescent="0.3">
      <c r="A457" s="511"/>
      <c r="B457" s="511"/>
      <c r="C457" s="511"/>
      <c r="D457" s="511"/>
      <c r="E457" s="511"/>
      <c r="F457" s="511"/>
      <c r="G457" s="511"/>
      <c r="H457" s="511"/>
      <c r="I457" s="511"/>
      <c r="J457" s="511"/>
      <c r="K457" s="511"/>
      <c r="L457" s="511"/>
      <c r="M457" s="511"/>
      <c r="N457" s="511"/>
      <c r="O457" s="511"/>
      <c r="P457" s="511"/>
      <c r="Q457" s="511"/>
      <c r="R457" s="511"/>
      <c r="S457" s="511"/>
      <c r="T457" s="511"/>
      <c r="U457" s="511"/>
      <c r="V457" s="511"/>
      <c r="W457" s="511"/>
      <c r="X457" s="511"/>
      <c r="Y457" s="511"/>
      <c r="Z457" s="511"/>
      <c r="AA457" s="511"/>
      <c r="AB457" s="511"/>
      <c r="AC457" s="511"/>
      <c r="AD457" s="511"/>
      <c r="AE457" s="511"/>
      <c r="AF457" s="511"/>
      <c r="AG457" s="511"/>
      <c r="AH457" s="511"/>
      <c r="AI457" s="511"/>
      <c r="AJ457" s="511"/>
      <c r="AK457" s="511"/>
      <c r="AL457" s="511"/>
      <c r="AM457" s="511"/>
      <c r="AN457" s="511"/>
      <c r="AO457" s="511"/>
      <c r="AP457" s="511"/>
      <c r="AQ457" s="511"/>
      <c r="AR457" s="511"/>
      <c r="AS457" s="511"/>
      <c r="AT457" s="511"/>
      <c r="AU457" s="511"/>
      <c r="AV457" s="511"/>
      <c r="AW457" s="511"/>
      <c r="AX457" s="511"/>
      <c r="AY457" s="511"/>
      <c r="AZ457" s="511"/>
      <c r="BA457" s="511"/>
      <c r="BB457" s="511"/>
      <c r="BC457" s="511"/>
    </row>
    <row r="458" spans="1:55" ht="16.5" customHeight="1" x14ac:dyDescent="0.3">
      <c r="A458" s="511"/>
      <c r="B458" s="511"/>
      <c r="C458" s="511"/>
      <c r="D458" s="511"/>
      <c r="E458" s="511"/>
      <c r="F458" s="511"/>
      <c r="G458" s="511"/>
      <c r="H458" s="511"/>
      <c r="I458" s="511"/>
      <c r="J458" s="511"/>
      <c r="K458" s="511"/>
      <c r="L458" s="511"/>
      <c r="M458" s="511"/>
      <c r="N458" s="511"/>
      <c r="O458" s="511"/>
      <c r="P458" s="511"/>
      <c r="Q458" s="511"/>
      <c r="R458" s="511"/>
      <c r="S458" s="511"/>
      <c r="T458" s="511"/>
      <c r="U458" s="511"/>
      <c r="V458" s="511"/>
      <c r="W458" s="511"/>
      <c r="X458" s="511"/>
      <c r="Y458" s="511"/>
      <c r="Z458" s="511"/>
      <c r="AA458" s="511"/>
      <c r="AB458" s="511"/>
      <c r="AC458" s="511"/>
      <c r="AD458" s="511"/>
      <c r="AE458" s="511"/>
      <c r="AF458" s="511"/>
      <c r="AG458" s="511"/>
      <c r="AH458" s="511"/>
      <c r="AI458" s="511"/>
      <c r="AJ458" s="511"/>
      <c r="AK458" s="511"/>
      <c r="AL458" s="511"/>
      <c r="AM458" s="511"/>
      <c r="AN458" s="511"/>
      <c r="AO458" s="511"/>
      <c r="AP458" s="511"/>
      <c r="AQ458" s="511"/>
      <c r="AR458" s="511"/>
      <c r="AS458" s="511"/>
      <c r="AT458" s="511"/>
      <c r="AU458" s="511"/>
      <c r="AV458" s="511"/>
      <c r="AW458" s="511"/>
      <c r="AX458" s="511"/>
      <c r="AY458" s="511"/>
      <c r="AZ458" s="511"/>
      <c r="BA458" s="511"/>
      <c r="BB458" s="511"/>
      <c r="BC458" s="511"/>
    </row>
    <row r="459" spans="1:55" ht="16.5" customHeight="1" x14ac:dyDescent="0.3">
      <c r="A459" s="511"/>
      <c r="B459" s="511"/>
      <c r="C459" s="511"/>
      <c r="D459" s="511"/>
      <c r="E459" s="511"/>
      <c r="F459" s="511"/>
      <c r="G459" s="511"/>
      <c r="H459" s="511"/>
      <c r="I459" s="511"/>
      <c r="J459" s="511"/>
      <c r="K459" s="511"/>
      <c r="L459" s="511"/>
      <c r="M459" s="511"/>
      <c r="N459" s="511"/>
      <c r="O459" s="511"/>
      <c r="P459" s="511"/>
      <c r="Q459" s="511"/>
      <c r="R459" s="511"/>
      <c r="S459" s="511"/>
      <c r="T459" s="511"/>
      <c r="U459" s="511"/>
      <c r="V459" s="511"/>
      <c r="W459" s="511"/>
      <c r="X459" s="511"/>
      <c r="Y459" s="511"/>
      <c r="Z459" s="511"/>
      <c r="AA459" s="511"/>
      <c r="AB459" s="511"/>
      <c r="AC459" s="511"/>
      <c r="AD459" s="511"/>
      <c r="AE459" s="511"/>
      <c r="AF459" s="511"/>
      <c r="AG459" s="511"/>
      <c r="AH459" s="511"/>
      <c r="AI459" s="511"/>
      <c r="AJ459" s="511"/>
      <c r="AK459" s="511"/>
      <c r="AL459" s="511"/>
      <c r="AM459" s="511"/>
      <c r="AN459" s="511"/>
      <c r="AO459" s="511"/>
      <c r="AP459" s="511"/>
      <c r="AQ459" s="511"/>
      <c r="AR459" s="511"/>
      <c r="AS459" s="511"/>
      <c r="AT459" s="511"/>
      <c r="AU459" s="511"/>
      <c r="AV459" s="511"/>
      <c r="AW459" s="511"/>
      <c r="AX459" s="511"/>
      <c r="AY459" s="511"/>
      <c r="AZ459" s="511"/>
      <c r="BA459" s="511"/>
      <c r="BB459" s="511"/>
      <c r="BC459" s="511"/>
    </row>
    <row r="460" spans="1:55" ht="16.5" customHeight="1" x14ac:dyDescent="0.3">
      <c r="A460" s="511"/>
      <c r="B460" s="511"/>
      <c r="C460" s="511"/>
      <c r="D460" s="511"/>
      <c r="E460" s="511"/>
      <c r="F460" s="511"/>
      <c r="G460" s="511"/>
      <c r="H460" s="511"/>
      <c r="I460" s="511"/>
      <c r="J460" s="511"/>
      <c r="K460" s="511"/>
      <c r="L460" s="511"/>
      <c r="M460" s="511"/>
      <c r="N460" s="511"/>
      <c r="O460" s="511"/>
      <c r="P460" s="511"/>
      <c r="Q460" s="511"/>
      <c r="R460" s="511"/>
      <c r="S460" s="511"/>
      <c r="T460" s="511"/>
      <c r="U460" s="511"/>
      <c r="V460" s="511"/>
      <c r="W460" s="511"/>
      <c r="X460" s="511"/>
      <c r="Y460" s="511"/>
      <c r="Z460" s="511"/>
      <c r="AA460" s="511"/>
      <c r="AB460" s="511"/>
      <c r="AC460" s="511"/>
      <c r="AD460" s="511"/>
      <c r="AE460" s="511"/>
      <c r="AF460" s="511"/>
      <c r="AG460" s="511"/>
      <c r="AH460" s="511"/>
      <c r="AI460" s="511"/>
      <c r="AJ460" s="511"/>
      <c r="AK460" s="511"/>
      <c r="AL460" s="511"/>
      <c r="AM460" s="511"/>
      <c r="AN460" s="511"/>
      <c r="AO460" s="511"/>
      <c r="AP460" s="511"/>
      <c r="AQ460" s="511"/>
      <c r="AR460" s="511"/>
      <c r="AS460" s="511"/>
      <c r="AT460" s="511"/>
      <c r="AU460" s="511"/>
      <c r="AV460" s="511"/>
      <c r="AW460" s="511"/>
      <c r="AX460" s="511"/>
      <c r="AY460" s="511"/>
      <c r="AZ460" s="511"/>
      <c r="BA460" s="511"/>
      <c r="BB460" s="511"/>
      <c r="BC460" s="511"/>
    </row>
    <row r="461" spans="1:55" ht="16.5" customHeight="1" x14ac:dyDescent="0.3">
      <c r="A461" s="511"/>
      <c r="B461" s="511"/>
      <c r="C461" s="511"/>
      <c r="D461" s="511"/>
      <c r="E461" s="511"/>
      <c r="F461" s="511"/>
      <c r="G461" s="511"/>
      <c r="H461" s="511"/>
      <c r="I461" s="511"/>
      <c r="J461" s="511"/>
      <c r="K461" s="511"/>
      <c r="L461" s="511"/>
      <c r="M461" s="511"/>
      <c r="N461" s="511"/>
      <c r="O461" s="511"/>
      <c r="P461" s="511"/>
      <c r="Q461" s="511"/>
      <c r="R461" s="511"/>
      <c r="S461" s="511"/>
      <c r="T461" s="511"/>
      <c r="U461" s="511"/>
      <c r="V461" s="511"/>
      <c r="W461" s="511"/>
      <c r="X461" s="511"/>
      <c r="Y461" s="511"/>
      <c r="Z461" s="511"/>
      <c r="AA461" s="511"/>
      <c r="AB461" s="511"/>
      <c r="AC461" s="511"/>
      <c r="AD461" s="511"/>
      <c r="AE461" s="511"/>
      <c r="AF461" s="511"/>
      <c r="AG461" s="511"/>
      <c r="AH461" s="511"/>
      <c r="AI461" s="511"/>
      <c r="AJ461" s="511"/>
      <c r="AK461" s="511"/>
      <c r="AL461" s="511"/>
      <c r="AM461" s="511"/>
      <c r="AN461" s="511"/>
      <c r="AO461" s="511"/>
      <c r="AP461" s="511"/>
      <c r="AQ461" s="511"/>
      <c r="AR461" s="511"/>
      <c r="AS461" s="511"/>
      <c r="AT461" s="511"/>
      <c r="AU461" s="511"/>
      <c r="AV461" s="511"/>
      <c r="AW461" s="511"/>
      <c r="AX461" s="511"/>
      <c r="AY461" s="511"/>
      <c r="AZ461" s="511"/>
      <c r="BA461" s="511"/>
      <c r="BB461" s="511"/>
      <c r="BC461" s="511"/>
    </row>
    <row r="462" spans="1:55" ht="16.5" customHeight="1" x14ac:dyDescent="0.3">
      <c r="A462" s="511"/>
      <c r="B462" s="511"/>
      <c r="C462" s="511"/>
      <c r="D462" s="511"/>
      <c r="E462" s="511"/>
      <c r="F462" s="511"/>
      <c r="G462" s="511"/>
      <c r="H462" s="511"/>
      <c r="I462" s="511"/>
      <c r="J462" s="511"/>
      <c r="K462" s="511"/>
      <c r="L462" s="511"/>
      <c r="M462" s="511"/>
      <c r="N462" s="511"/>
      <c r="O462" s="511"/>
      <c r="P462" s="511"/>
      <c r="Q462" s="511"/>
      <c r="R462" s="511"/>
      <c r="S462" s="511"/>
      <c r="T462" s="511"/>
      <c r="U462" s="511"/>
      <c r="V462" s="511"/>
      <c r="W462" s="511"/>
      <c r="X462" s="511"/>
      <c r="Y462" s="511"/>
      <c r="Z462" s="511"/>
      <c r="AA462" s="511"/>
      <c r="AB462" s="511"/>
      <c r="AC462" s="511"/>
      <c r="AD462" s="511"/>
      <c r="AE462" s="511"/>
      <c r="AF462" s="511"/>
      <c r="AG462" s="511"/>
      <c r="AH462" s="511"/>
      <c r="AI462" s="511"/>
      <c r="AJ462" s="511"/>
      <c r="AK462" s="511"/>
      <c r="AL462" s="511"/>
      <c r="AM462" s="511"/>
      <c r="AN462" s="511"/>
      <c r="AO462" s="511"/>
      <c r="AP462" s="511"/>
      <c r="AQ462" s="511"/>
      <c r="AR462" s="511"/>
      <c r="AS462" s="511"/>
      <c r="AT462" s="511"/>
      <c r="AU462" s="511"/>
      <c r="AV462" s="511"/>
      <c r="AW462" s="511"/>
      <c r="AX462" s="511"/>
      <c r="AY462" s="511"/>
      <c r="AZ462" s="511"/>
      <c r="BA462" s="511"/>
      <c r="BB462" s="511"/>
      <c r="BC462" s="511"/>
    </row>
    <row r="463" spans="1:55" ht="16.5" customHeight="1" x14ac:dyDescent="0.3">
      <c r="A463" s="511"/>
      <c r="B463" s="511"/>
      <c r="C463" s="511"/>
      <c r="D463" s="511"/>
      <c r="E463" s="511"/>
      <c r="F463" s="511"/>
      <c r="G463" s="511"/>
      <c r="H463" s="511"/>
      <c r="I463" s="511"/>
      <c r="J463" s="511"/>
      <c r="K463" s="511"/>
      <c r="L463" s="511"/>
      <c r="M463" s="511"/>
      <c r="N463" s="511"/>
      <c r="O463" s="511"/>
      <c r="P463" s="511"/>
      <c r="Q463" s="511"/>
      <c r="R463" s="511"/>
      <c r="S463" s="511"/>
      <c r="T463" s="511"/>
      <c r="U463" s="511"/>
      <c r="V463" s="511"/>
      <c r="W463" s="511"/>
      <c r="X463" s="511"/>
      <c r="Y463" s="511"/>
      <c r="Z463" s="511"/>
      <c r="AA463" s="511"/>
      <c r="AB463" s="511"/>
      <c r="AC463" s="511"/>
      <c r="AD463" s="511"/>
      <c r="AE463" s="511"/>
      <c r="AF463" s="511"/>
      <c r="AG463" s="511"/>
      <c r="AH463" s="511"/>
      <c r="AI463" s="511"/>
      <c r="AJ463" s="511"/>
      <c r="AK463" s="511"/>
      <c r="AL463" s="511"/>
      <c r="AM463" s="511"/>
      <c r="AN463" s="511"/>
      <c r="AO463" s="511"/>
      <c r="AP463" s="511"/>
      <c r="AQ463" s="511"/>
      <c r="AR463" s="511"/>
      <c r="AS463" s="511"/>
      <c r="AT463" s="511"/>
      <c r="AU463" s="511"/>
      <c r="AV463" s="511"/>
      <c r="AW463" s="511"/>
      <c r="AX463" s="511"/>
      <c r="AY463" s="511"/>
      <c r="AZ463" s="511"/>
      <c r="BA463" s="511"/>
      <c r="BB463" s="511"/>
      <c r="BC463" s="511"/>
    </row>
    <row r="464" spans="1:55" ht="16.5" customHeight="1" x14ac:dyDescent="0.3">
      <c r="A464" s="511"/>
      <c r="B464" s="511"/>
      <c r="C464" s="511"/>
      <c r="D464" s="511"/>
      <c r="E464" s="511"/>
      <c r="F464" s="511"/>
      <c r="G464" s="511"/>
      <c r="H464" s="511"/>
      <c r="I464" s="511"/>
      <c r="J464" s="511"/>
      <c r="K464" s="511"/>
      <c r="L464" s="511"/>
      <c r="M464" s="511"/>
      <c r="N464" s="511"/>
      <c r="O464" s="511"/>
      <c r="P464" s="511"/>
      <c r="Q464" s="511"/>
      <c r="R464" s="511"/>
      <c r="S464" s="511"/>
      <c r="T464" s="511"/>
      <c r="U464" s="511"/>
      <c r="V464" s="511"/>
      <c r="W464" s="511"/>
      <c r="X464" s="511"/>
      <c r="Y464" s="511"/>
      <c r="Z464" s="511"/>
      <c r="AA464" s="511"/>
      <c r="AB464" s="511"/>
      <c r="AC464" s="511"/>
      <c r="AD464" s="511"/>
      <c r="AE464" s="511"/>
      <c r="AF464" s="511"/>
      <c r="AG464" s="511"/>
      <c r="AH464" s="511"/>
      <c r="AI464" s="511"/>
      <c r="AJ464" s="511"/>
      <c r="AK464" s="511"/>
      <c r="AL464" s="511"/>
      <c r="AM464" s="511"/>
      <c r="AN464" s="511"/>
      <c r="AO464" s="511"/>
      <c r="AP464" s="511"/>
      <c r="AQ464" s="511"/>
      <c r="AR464" s="511"/>
      <c r="AS464" s="511"/>
      <c r="AT464" s="511"/>
      <c r="AU464" s="511"/>
      <c r="AV464" s="511"/>
      <c r="AW464" s="511"/>
      <c r="AX464" s="511"/>
      <c r="AY464" s="511"/>
      <c r="AZ464" s="511"/>
      <c r="BA464" s="511"/>
      <c r="BB464" s="511"/>
      <c r="BC464" s="511"/>
    </row>
    <row r="465" spans="1:55" ht="16.5" customHeight="1" x14ac:dyDescent="0.3">
      <c r="A465" s="511"/>
      <c r="B465" s="511"/>
      <c r="C465" s="511"/>
      <c r="D465" s="511"/>
      <c r="E465" s="511"/>
      <c r="F465" s="511"/>
      <c r="G465" s="511"/>
      <c r="H465" s="511"/>
      <c r="I465" s="511"/>
      <c r="J465" s="511"/>
      <c r="K465" s="511"/>
      <c r="L465" s="511"/>
      <c r="M465" s="511"/>
      <c r="N465" s="511"/>
      <c r="O465" s="511"/>
      <c r="P465" s="511"/>
      <c r="Q465" s="511"/>
      <c r="R465" s="511"/>
      <c r="S465" s="511"/>
      <c r="T465" s="511"/>
      <c r="U465" s="511"/>
      <c r="V465" s="511"/>
      <c r="W465" s="511"/>
      <c r="X465" s="511"/>
      <c r="Y465" s="511"/>
      <c r="Z465" s="511"/>
      <c r="AA465" s="511"/>
      <c r="AB465" s="511"/>
      <c r="AC465" s="511"/>
      <c r="AD465" s="511"/>
      <c r="AE465" s="511"/>
      <c r="AF465" s="511"/>
      <c r="AG465" s="511"/>
      <c r="AH465" s="511"/>
      <c r="AI465" s="511"/>
      <c r="AJ465" s="511"/>
      <c r="AK465" s="511"/>
      <c r="AL465" s="511"/>
      <c r="AM465" s="511"/>
      <c r="AN465" s="511"/>
      <c r="AO465" s="511"/>
      <c r="AP465" s="511"/>
      <c r="AQ465" s="511"/>
      <c r="AR465" s="511"/>
      <c r="AS465" s="511"/>
      <c r="AT465" s="511"/>
      <c r="AU465" s="511"/>
      <c r="AV465" s="511"/>
      <c r="AW465" s="511"/>
      <c r="AX465" s="511"/>
      <c r="AY465" s="511"/>
      <c r="AZ465" s="511"/>
      <c r="BA465" s="511"/>
      <c r="BB465" s="511"/>
      <c r="BC465" s="511"/>
    </row>
    <row r="466" spans="1:55" ht="16.5" customHeight="1" x14ac:dyDescent="0.3">
      <c r="A466" s="511"/>
      <c r="B466" s="511"/>
      <c r="C466" s="511"/>
      <c r="D466" s="511"/>
      <c r="E466" s="511"/>
      <c r="F466" s="511"/>
      <c r="G466" s="511"/>
      <c r="H466" s="511"/>
      <c r="I466" s="511"/>
      <c r="J466" s="511"/>
      <c r="K466" s="511"/>
      <c r="L466" s="511"/>
      <c r="M466" s="511"/>
      <c r="N466" s="511"/>
      <c r="O466" s="511"/>
      <c r="P466" s="511"/>
      <c r="Q466" s="511"/>
      <c r="R466" s="511"/>
      <c r="S466" s="511"/>
      <c r="T466" s="511"/>
      <c r="U466" s="511"/>
      <c r="V466" s="511"/>
      <c r="W466" s="511"/>
      <c r="X466" s="511"/>
      <c r="Y466" s="511"/>
      <c r="Z466" s="511"/>
      <c r="AA466" s="511"/>
      <c r="AB466" s="511"/>
      <c r="AC466" s="511"/>
      <c r="AD466" s="511"/>
      <c r="AE466" s="511"/>
      <c r="AF466" s="511"/>
      <c r="AG466" s="511"/>
      <c r="AH466" s="511"/>
      <c r="AI466" s="511"/>
      <c r="AJ466" s="511"/>
      <c r="AK466" s="511"/>
      <c r="AL466" s="511"/>
      <c r="AM466" s="511"/>
      <c r="AN466" s="511"/>
      <c r="AO466" s="511"/>
      <c r="AP466" s="511"/>
      <c r="AQ466" s="511"/>
      <c r="AR466" s="511"/>
      <c r="AS466" s="511"/>
      <c r="AT466" s="511"/>
      <c r="AU466" s="511"/>
      <c r="AV466" s="511"/>
      <c r="AW466" s="511"/>
      <c r="AX466" s="511"/>
      <c r="AY466" s="511"/>
      <c r="AZ466" s="511"/>
      <c r="BA466" s="511"/>
      <c r="BB466" s="511"/>
      <c r="BC466" s="511"/>
    </row>
    <row r="467" spans="1:55" ht="16.5" customHeight="1" x14ac:dyDescent="0.3">
      <c r="A467" s="511"/>
      <c r="B467" s="511"/>
      <c r="C467" s="511"/>
      <c r="D467" s="511"/>
      <c r="E467" s="511"/>
      <c r="F467" s="511"/>
      <c r="G467" s="511"/>
      <c r="H467" s="511"/>
      <c r="I467" s="511"/>
      <c r="J467" s="511"/>
      <c r="K467" s="511"/>
      <c r="L467" s="511"/>
      <c r="M467" s="511"/>
      <c r="N467" s="511"/>
      <c r="O467" s="511"/>
      <c r="P467" s="511"/>
      <c r="Q467" s="511"/>
      <c r="R467" s="511"/>
      <c r="S467" s="511"/>
      <c r="T467" s="511"/>
      <c r="U467" s="511"/>
      <c r="V467" s="511"/>
      <c r="W467" s="511"/>
      <c r="X467" s="511"/>
      <c r="Y467" s="511"/>
      <c r="Z467" s="511"/>
      <c r="AA467" s="511"/>
      <c r="AB467" s="511"/>
      <c r="AC467" s="511"/>
      <c r="AD467" s="511"/>
      <c r="AE467" s="511"/>
      <c r="AF467" s="511"/>
      <c r="AG467" s="511"/>
      <c r="AH467" s="511"/>
      <c r="AI467" s="511"/>
      <c r="AJ467" s="511"/>
      <c r="AK467" s="511"/>
      <c r="AL467" s="511"/>
      <c r="AM467" s="511"/>
      <c r="AN467" s="511"/>
      <c r="AO467" s="511"/>
      <c r="AP467" s="511"/>
      <c r="AQ467" s="511"/>
      <c r="AR467" s="511"/>
      <c r="AS467" s="511"/>
      <c r="AT467" s="511"/>
      <c r="AU467" s="511"/>
      <c r="AV467" s="511"/>
      <c r="AW467" s="511"/>
      <c r="AX467" s="511"/>
      <c r="AY467" s="511"/>
      <c r="AZ467" s="511"/>
      <c r="BA467" s="511"/>
      <c r="BB467" s="511"/>
      <c r="BC467" s="511"/>
    </row>
    <row r="468" spans="1:55" ht="16.5" customHeight="1" x14ac:dyDescent="0.3">
      <c r="A468" s="511"/>
      <c r="B468" s="511"/>
      <c r="C468" s="511"/>
      <c r="D468" s="511"/>
      <c r="E468" s="511"/>
      <c r="F468" s="511"/>
      <c r="G468" s="511"/>
      <c r="H468" s="511"/>
      <c r="I468" s="511"/>
      <c r="J468" s="511"/>
      <c r="K468" s="511"/>
      <c r="L468" s="511"/>
      <c r="M468" s="511"/>
      <c r="N468" s="511"/>
      <c r="O468" s="511"/>
      <c r="P468" s="511"/>
      <c r="Q468" s="511"/>
      <c r="R468" s="511"/>
      <c r="S468" s="511"/>
      <c r="T468" s="511"/>
      <c r="U468" s="511"/>
      <c r="V468" s="511"/>
      <c r="W468" s="511"/>
      <c r="X468" s="511"/>
      <c r="Y468" s="511"/>
      <c r="Z468" s="511"/>
      <c r="AA468" s="511"/>
      <c r="AB468" s="511"/>
      <c r="AC468" s="511"/>
      <c r="AD468" s="511"/>
      <c r="AE468" s="511"/>
      <c r="AF468" s="511"/>
      <c r="AG468" s="511"/>
      <c r="AH468" s="511"/>
      <c r="AI468" s="511"/>
      <c r="AJ468" s="511"/>
      <c r="AK468" s="511"/>
      <c r="AL468" s="511"/>
      <c r="AM468" s="511"/>
      <c r="AN468" s="511"/>
      <c r="AO468" s="511"/>
      <c r="AP468" s="511"/>
      <c r="AQ468" s="511"/>
      <c r="AR468" s="511"/>
      <c r="AS468" s="511"/>
      <c r="AT468" s="511"/>
      <c r="AU468" s="511"/>
      <c r="AV468" s="511"/>
      <c r="AW468" s="511"/>
      <c r="AX468" s="511"/>
      <c r="AY468" s="511"/>
      <c r="AZ468" s="511"/>
      <c r="BA468" s="511"/>
      <c r="BB468" s="511"/>
      <c r="BC468" s="511"/>
    </row>
    <row r="469" spans="1:55" ht="16.5" customHeight="1" x14ac:dyDescent="0.3">
      <c r="A469" s="511"/>
      <c r="B469" s="511"/>
      <c r="C469" s="511"/>
      <c r="D469" s="511"/>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c r="AA469" s="511"/>
      <c r="AB469" s="511"/>
      <c r="AC469" s="511"/>
      <c r="AD469" s="511"/>
      <c r="AE469" s="511"/>
      <c r="AF469" s="511"/>
      <c r="AG469" s="511"/>
      <c r="AH469" s="511"/>
      <c r="AI469" s="511"/>
      <c r="AJ469" s="511"/>
      <c r="AK469" s="511"/>
      <c r="AL469" s="511"/>
      <c r="AM469" s="511"/>
      <c r="AN469" s="511"/>
      <c r="AO469" s="511"/>
      <c r="AP469" s="511"/>
      <c r="AQ469" s="511"/>
      <c r="AR469" s="511"/>
      <c r="AS469" s="511"/>
      <c r="AT469" s="511"/>
      <c r="AU469" s="511"/>
      <c r="AV469" s="511"/>
      <c r="AW469" s="511"/>
      <c r="AX469" s="511"/>
      <c r="AY469" s="511"/>
      <c r="AZ469" s="511"/>
      <c r="BA469" s="511"/>
      <c r="BB469" s="511"/>
      <c r="BC469" s="511"/>
    </row>
    <row r="470" spans="1:55" ht="16.5" customHeight="1" x14ac:dyDescent="0.3">
      <c r="A470" s="511"/>
      <c r="B470" s="511"/>
      <c r="C470" s="511"/>
      <c r="D470" s="511"/>
      <c r="E470" s="511"/>
      <c r="F470" s="511"/>
      <c r="G470" s="511"/>
      <c r="H470" s="511"/>
      <c r="I470" s="511"/>
      <c r="J470" s="511"/>
      <c r="K470" s="511"/>
      <c r="L470" s="511"/>
      <c r="M470" s="511"/>
      <c r="N470" s="511"/>
      <c r="O470" s="511"/>
      <c r="P470" s="511"/>
      <c r="Q470" s="511"/>
      <c r="R470" s="511"/>
      <c r="S470" s="511"/>
      <c r="T470" s="511"/>
      <c r="U470" s="511"/>
      <c r="V470" s="511"/>
      <c r="W470" s="511"/>
      <c r="X470" s="511"/>
      <c r="Y470" s="511"/>
      <c r="Z470" s="511"/>
      <c r="AA470" s="511"/>
      <c r="AB470" s="511"/>
      <c r="AC470" s="511"/>
      <c r="AD470" s="511"/>
      <c r="AE470" s="511"/>
      <c r="AF470" s="511"/>
      <c r="AG470" s="511"/>
      <c r="AH470" s="511"/>
      <c r="AI470" s="511"/>
      <c r="AJ470" s="511"/>
      <c r="AK470" s="511"/>
      <c r="AL470" s="511"/>
      <c r="AM470" s="511"/>
      <c r="AN470" s="511"/>
      <c r="AO470" s="511"/>
      <c r="AP470" s="511"/>
      <c r="AQ470" s="511"/>
      <c r="AR470" s="511"/>
      <c r="AS470" s="511"/>
      <c r="AT470" s="511"/>
      <c r="AU470" s="511"/>
      <c r="AV470" s="511"/>
      <c r="AW470" s="511"/>
      <c r="AX470" s="511"/>
      <c r="AY470" s="511"/>
      <c r="AZ470" s="511"/>
      <c r="BA470" s="511"/>
      <c r="BB470" s="511"/>
      <c r="BC470" s="511"/>
    </row>
    <row r="471" spans="1:55" ht="16.5" customHeight="1" x14ac:dyDescent="0.3">
      <c r="A471" s="511"/>
      <c r="B471" s="511"/>
      <c r="C471" s="511"/>
      <c r="D471" s="511"/>
      <c r="E471" s="511"/>
      <c r="F471" s="511"/>
      <c r="G471" s="511"/>
      <c r="H471" s="511"/>
      <c r="I471" s="511"/>
      <c r="J471" s="511"/>
      <c r="K471" s="511"/>
      <c r="L471" s="511"/>
      <c r="M471" s="511"/>
      <c r="N471" s="511"/>
      <c r="O471" s="511"/>
      <c r="P471" s="511"/>
      <c r="Q471" s="511"/>
      <c r="R471" s="511"/>
      <c r="S471" s="511"/>
      <c r="T471" s="511"/>
      <c r="U471" s="511"/>
      <c r="V471" s="511"/>
      <c r="W471" s="511"/>
      <c r="X471" s="511"/>
      <c r="Y471" s="511"/>
      <c r="Z471" s="511"/>
      <c r="AA471" s="511"/>
      <c r="AB471" s="511"/>
      <c r="AC471" s="511"/>
      <c r="AD471" s="511"/>
      <c r="AE471" s="511"/>
      <c r="AF471" s="511"/>
      <c r="AG471" s="511"/>
      <c r="AH471" s="511"/>
      <c r="AI471" s="511"/>
      <c r="AJ471" s="511"/>
      <c r="AK471" s="511"/>
      <c r="AL471" s="511"/>
      <c r="AM471" s="511"/>
      <c r="AN471" s="511"/>
      <c r="AO471" s="511"/>
      <c r="AP471" s="511"/>
      <c r="AQ471" s="511"/>
      <c r="AR471" s="511"/>
      <c r="AS471" s="511"/>
      <c r="AT471" s="511"/>
      <c r="AU471" s="511"/>
      <c r="AV471" s="511"/>
      <c r="AW471" s="511"/>
      <c r="AX471" s="511"/>
      <c r="AY471" s="511"/>
      <c r="AZ471" s="511"/>
      <c r="BA471" s="511"/>
      <c r="BB471" s="511"/>
      <c r="BC471" s="511"/>
    </row>
    <row r="472" spans="1:55" ht="16.5" customHeight="1" x14ac:dyDescent="0.3">
      <c r="A472" s="511"/>
      <c r="B472" s="511"/>
      <c r="C472" s="511"/>
      <c r="D472" s="511"/>
      <c r="E472" s="511"/>
      <c r="F472" s="511"/>
      <c r="G472" s="511"/>
      <c r="H472" s="511"/>
      <c r="I472" s="511"/>
      <c r="J472" s="511"/>
      <c r="K472" s="511"/>
      <c r="L472" s="511"/>
      <c r="M472" s="511"/>
      <c r="N472" s="511"/>
      <c r="O472" s="511"/>
      <c r="P472" s="511"/>
      <c r="Q472" s="511"/>
      <c r="R472" s="511"/>
      <c r="S472" s="511"/>
      <c r="T472" s="511"/>
      <c r="U472" s="511"/>
      <c r="V472" s="511"/>
      <c r="W472" s="511"/>
      <c r="X472" s="511"/>
      <c r="Y472" s="511"/>
      <c r="Z472" s="511"/>
      <c r="AA472" s="511"/>
      <c r="AB472" s="511"/>
      <c r="AC472" s="511"/>
      <c r="AD472" s="511"/>
      <c r="AE472" s="511"/>
      <c r="AF472" s="511"/>
      <c r="AG472" s="511"/>
      <c r="AH472" s="511"/>
      <c r="AI472" s="511"/>
      <c r="AJ472" s="511"/>
      <c r="AK472" s="511"/>
      <c r="AL472" s="511"/>
      <c r="AM472" s="511"/>
      <c r="AN472" s="511"/>
      <c r="AO472" s="511"/>
      <c r="AP472" s="511"/>
      <c r="AQ472" s="511"/>
      <c r="AR472" s="511"/>
      <c r="AS472" s="511"/>
      <c r="AT472" s="511"/>
      <c r="AU472" s="511"/>
      <c r="AV472" s="511"/>
      <c r="AW472" s="511"/>
      <c r="AX472" s="511"/>
      <c r="AY472" s="511"/>
      <c r="AZ472" s="511"/>
      <c r="BA472" s="511"/>
      <c r="BB472" s="511"/>
      <c r="BC472" s="511"/>
    </row>
    <row r="473" spans="1:55" ht="16.5" customHeight="1" x14ac:dyDescent="0.3">
      <c r="A473" s="511"/>
      <c r="B473" s="511"/>
      <c r="C473" s="511"/>
      <c r="D473" s="511"/>
      <c r="E473" s="511"/>
      <c r="F473" s="511"/>
      <c r="G473" s="511"/>
      <c r="H473" s="511"/>
      <c r="I473" s="511"/>
      <c r="J473" s="511"/>
      <c r="K473" s="511"/>
      <c r="L473" s="511"/>
      <c r="M473" s="511"/>
      <c r="N473" s="511"/>
      <c r="O473" s="511"/>
      <c r="P473" s="511"/>
      <c r="Q473" s="511"/>
      <c r="R473" s="511"/>
      <c r="S473" s="511"/>
      <c r="T473" s="511"/>
      <c r="U473" s="511"/>
      <c r="V473" s="511"/>
      <c r="W473" s="511"/>
      <c r="X473" s="511"/>
      <c r="Y473" s="511"/>
      <c r="Z473" s="511"/>
      <c r="AA473" s="511"/>
      <c r="AB473" s="511"/>
      <c r="AC473" s="511"/>
      <c r="AD473" s="511"/>
      <c r="AE473" s="511"/>
      <c r="AF473" s="511"/>
      <c r="AG473" s="511"/>
      <c r="AH473" s="511"/>
      <c r="AI473" s="511"/>
      <c r="AJ473" s="511"/>
      <c r="AK473" s="511"/>
      <c r="AL473" s="511"/>
      <c r="AM473" s="511"/>
      <c r="AN473" s="511"/>
      <c r="AO473" s="511"/>
      <c r="AP473" s="511"/>
      <c r="AQ473" s="511"/>
      <c r="AR473" s="511"/>
      <c r="AS473" s="511"/>
      <c r="AT473" s="511"/>
      <c r="AU473" s="511"/>
      <c r="AV473" s="511"/>
      <c r="AW473" s="511"/>
      <c r="AX473" s="511"/>
      <c r="AY473" s="511"/>
      <c r="AZ473" s="511"/>
      <c r="BA473" s="511"/>
      <c r="BB473" s="511"/>
      <c r="BC473" s="511"/>
    </row>
    <row r="474" spans="1:55" ht="16.5" customHeight="1" x14ac:dyDescent="0.3">
      <c r="A474" s="511"/>
      <c r="B474" s="511"/>
      <c r="C474" s="511"/>
      <c r="D474" s="511"/>
      <c r="E474" s="511"/>
      <c r="F474" s="511"/>
      <c r="G474" s="511"/>
      <c r="H474" s="511"/>
      <c r="I474" s="511"/>
      <c r="J474" s="511"/>
      <c r="K474" s="511"/>
      <c r="L474" s="511"/>
      <c r="M474" s="511"/>
      <c r="N474" s="511"/>
      <c r="O474" s="511"/>
      <c r="P474" s="511"/>
      <c r="Q474" s="511"/>
      <c r="R474" s="511"/>
      <c r="S474" s="511"/>
      <c r="T474" s="511"/>
      <c r="U474" s="511"/>
      <c r="V474" s="511"/>
      <c r="W474" s="511"/>
      <c r="X474" s="511"/>
      <c r="Y474" s="511"/>
      <c r="Z474" s="511"/>
      <c r="AA474" s="511"/>
      <c r="AB474" s="511"/>
      <c r="AC474" s="511"/>
      <c r="AD474" s="511"/>
      <c r="AE474" s="511"/>
      <c r="AF474" s="511"/>
      <c r="AG474" s="511"/>
      <c r="AH474" s="511"/>
      <c r="AI474" s="511"/>
      <c r="AJ474" s="511"/>
      <c r="AK474" s="511"/>
      <c r="AL474" s="511"/>
      <c r="AM474" s="511"/>
      <c r="AN474" s="511"/>
      <c r="AO474" s="511"/>
      <c r="AP474" s="511"/>
      <c r="AQ474" s="511"/>
      <c r="AR474" s="511"/>
      <c r="AS474" s="511"/>
      <c r="AT474" s="511"/>
      <c r="AU474" s="511"/>
      <c r="AV474" s="511"/>
      <c r="AW474" s="511"/>
      <c r="AX474" s="511"/>
      <c r="AY474" s="511"/>
      <c r="AZ474" s="511"/>
      <c r="BA474" s="511"/>
      <c r="BB474" s="511"/>
      <c r="BC474" s="511"/>
    </row>
    <row r="475" spans="1:55" ht="16.5" customHeight="1" x14ac:dyDescent="0.3">
      <c r="A475" s="511"/>
      <c r="B475" s="511"/>
      <c r="C475" s="511"/>
      <c r="D475" s="511"/>
      <c r="E475" s="511"/>
      <c r="F475" s="511"/>
      <c r="G475" s="511"/>
      <c r="H475" s="511"/>
      <c r="I475" s="511"/>
      <c r="J475" s="511"/>
      <c r="K475" s="511"/>
      <c r="L475" s="511"/>
      <c r="M475" s="511"/>
      <c r="N475" s="511"/>
      <c r="O475" s="511"/>
      <c r="P475" s="511"/>
      <c r="Q475" s="511"/>
      <c r="R475" s="511"/>
      <c r="S475" s="511"/>
      <c r="T475" s="511"/>
      <c r="U475" s="511"/>
      <c r="V475" s="511"/>
      <c r="W475" s="511"/>
      <c r="X475" s="511"/>
      <c r="Y475" s="511"/>
      <c r="Z475" s="511"/>
      <c r="AA475" s="511"/>
      <c r="AB475" s="511"/>
      <c r="AC475" s="511"/>
      <c r="AD475" s="511"/>
      <c r="AE475" s="511"/>
      <c r="AF475" s="511"/>
      <c r="AG475" s="511"/>
      <c r="AH475" s="511"/>
      <c r="AI475" s="511"/>
      <c r="AJ475" s="511"/>
      <c r="AK475" s="511"/>
      <c r="AL475" s="511"/>
      <c r="AM475" s="511"/>
      <c r="AN475" s="511"/>
      <c r="AO475" s="511"/>
      <c r="AP475" s="511"/>
      <c r="AQ475" s="511"/>
      <c r="AR475" s="511"/>
      <c r="AS475" s="511"/>
      <c r="AT475" s="511"/>
      <c r="AU475" s="511"/>
      <c r="AV475" s="511"/>
      <c r="AW475" s="511"/>
      <c r="AX475" s="511"/>
      <c r="AY475" s="511"/>
      <c r="AZ475" s="511"/>
      <c r="BA475" s="511"/>
      <c r="BB475" s="511"/>
      <c r="BC475" s="511"/>
    </row>
    <row r="476" spans="1:55" ht="16.5" customHeight="1" x14ac:dyDescent="0.3">
      <c r="A476" s="511"/>
      <c r="B476" s="511"/>
      <c r="C476" s="511"/>
      <c r="D476" s="511"/>
      <c r="E476" s="511"/>
      <c r="F476" s="511"/>
      <c r="G476" s="511"/>
      <c r="H476" s="511"/>
      <c r="I476" s="511"/>
      <c r="J476" s="511"/>
      <c r="K476" s="511"/>
      <c r="L476" s="511"/>
      <c r="M476" s="511"/>
      <c r="N476" s="511"/>
      <c r="O476" s="511"/>
      <c r="P476" s="511"/>
      <c r="Q476" s="511"/>
      <c r="R476" s="511"/>
      <c r="S476" s="511"/>
      <c r="T476" s="511"/>
      <c r="U476" s="511"/>
      <c r="V476" s="511"/>
      <c r="W476" s="511"/>
      <c r="X476" s="511"/>
      <c r="Y476" s="511"/>
      <c r="Z476" s="511"/>
      <c r="AA476" s="511"/>
      <c r="AB476" s="511"/>
      <c r="AC476" s="511"/>
      <c r="AD476" s="511"/>
      <c r="AE476" s="511"/>
      <c r="AF476" s="511"/>
      <c r="AG476" s="511"/>
      <c r="AH476" s="511"/>
      <c r="AI476" s="511"/>
      <c r="AJ476" s="511"/>
      <c r="AK476" s="511"/>
      <c r="AL476" s="511"/>
      <c r="AM476" s="511"/>
      <c r="AN476" s="511"/>
      <c r="AO476" s="511"/>
      <c r="AP476" s="511"/>
      <c r="AQ476" s="511"/>
      <c r="AR476" s="511"/>
      <c r="AS476" s="511"/>
      <c r="AT476" s="511"/>
      <c r="AU476" s="511"/>
      <c r="AV476" s="511"/>
      <c r="AW476" s="511"/>
      <c r="AX476" s="511"/>
      <c r="AY476" s="511"/>
      <c r="AZ476" s="511"/>
      <c r="BA476" s="511"/>
      <c r="BB476" s="511"/>
      <c r="BC476" s="511"/>
    </row>
    <row r="477" spans="1:55" ht="16.5" customHeight="1" x14ac:dyDescent="0.3">
      <c r="A477" s="511"/>
      <c r="B477" s="511"/>
      <c r="C477" s="511"/>
      <c r="D477" s="511"/>
      <c r="E477" s="511"/>
      <c r="F477" s="511"/>
      <c r="G477" s="511"/>
      <c r="H477" s="511"/>
      <c r="I477" s="511"/>
      <c r="J477" s="511"/>
      <c r="K477" s="511"/>
      <c r="L477" s="511"/>
      <c r="M477" s="511"/>
      <c r="N477" s="511"/>
      <c r="O477" s="511"/>
      <c r="P477" s="511"/>
      <c r="Q477" s="511"/>
      <c r="R477" s="511"/>
      <c r="S477" s="511"/>
      <c r="T477" s="511"/>
      <c r="U477" s="511"/>
      <c r="V477" s="511"/>
      <c r="W477" s="511"/>
      <c r="X477" s="511"/>
      <c r="Y477" s="511"/>
      <c r="Z477" s="511"/>
      <c r="AA477" s="511"/>
      <c r="AB477" s="511"/>
      <c r="AC477" s="511"/>
      <c r="AD477" s="511"/>
      <c r="AE477" s="511"/>
      <c r="AF477" s="511"/>
      <c r="AG477" s="511"/>
      <c r="AH477" s="511"/>
      <c r="AI477" s="511"/>
      <c r="AJ477" s="511"/>
      <c r="AK477" s="511"/>
      <c r="AL477" s="511"/>
      <c r="AM477" s="511"/>
      <c r="AN477" s="511"/>
      <c r="AO477" s="511"/>
      <c r="AP477" s="511"/>
      <c r="AQ477" s="511"/>
      <c r="AR477" s="511"/>
      <c r="AS477" s="511"/>
      <c r="AT477" s="511"/>
      <c r="AU477" s="511"/>
      <c r="AV477" s="511"/>
      <c r="AW477" s="511"/>
      <c r="AX477" s="511"/>
      <c r="AY477" s="511"/>
      <c r="AZ477" s="511"/>
      <c r="BA477" s="511"/>
      <c r="BB477" s="511"/>
      <c r="BC477" s="511"/>
    </row>
    <row r="478" spans="1:55" ht="16.5" customHeight="1" x14ac:dyDescent="0.3">
      <c r="A478" s="511"/>
      <c r="B478" s="511"/>
      <c r="C478" s="511"/>
      <c r="D478" s="511"/>
      <c r="E478" s="511"/>
      <c r="F478" s="511"/>
      <c r="G478" s="511"/>
      <c r="H478" s="511"/>
      <c r="I478" s="511"/>
      <c r="J478" s="511"/>
      <c r="K478" s="511"/>
      <c r="L478" s="511"/>
      <c r="M478" s="511"/>
      <c r="N478" s="511"/>
      <c r="O478" s="511"/>
      <c r="P478" s="511"/>
      <c r="Q478" s="511"/>
      <c r="R478" s="511"/>
      <c r="S478" s="511"/>
      <c r="T478" s="511"/>
      <c r="U478" s="511"/>
      <c r="V478" s="511"/>
      <c r="W478" s="511"/>
      <c r="X478" s="511"/>
      <c r="Y478" s="511"/>
      <c r="Z478" s="511"/>
      <c r="AA478" s="511"/>
      <c r="AB478" s="511"/>
      <c r="AC478" s="511"/>
      <c r="AD478" s="511"/>
      <c r="AE478" s="511"/>
      <c r="AF478" s="511"/>
      <c r="AG478" s="511"/>
      <c r="AH478" s="511"/>
      <c r="AI478" s="511"/>
      <c r="AJ478" s="511"/>
      <c r="AK478" s="511"/>
      <c r="AL478" s="511"/>
      <c r="AM478" s="511"/>
      <c r="AN478" s="511"/>
      <c r="AO478" s="511"/>
      <c r="AP478" s="511"/>
      <c r="AQ478" s="511"/>
      <c r="AR478" s="511"/>
      <c r="AS478" s="511"/>
      <c r="AT478" s="511"/>
      <c r="AU478" s="511"/>
      <c r="AV478" s="511"/>
      <c r="AW478" s="511"/>
      <c r="AX478" s="511"/>
      <c r="AY478" s="511"/>
      <c r="AZ478" s="511"/>
      <c r="BA478" s="511"/>
      <c r="BB478" s="511"/>
      <c r="BC478" s="511"/>
    </row>
    <row r="479" spans="1:55" ht="16.5" customHeight="1" x14ac:dyDescent="0.3">
      <c r="A479" s="511"/>
      <c r="B479" s="511"/>
      <c r="C479" s="511"/>
      <c r="D479" s="511"/>
      <c r="E479" s="511"/>
      <c r="F479" s="511"/>
      <c r="G479" s="511"/>
      <c r="H479" s="511"/>
      <c r="I479" s="511"/>
      <c r="J479" s="511"/>
      <c r="K479" s="511"/>
      <c r="L479" s="511"/>
      <c r="M479" s="511"/>
      <c r="N479" s="511"/>
      <c r="O479" s="511"/>
      <c r="P479" s="511"/>
      <c r="Q479" s="511"/>
      <c r="R479" s="511"/>
      <c r="S479" s="511"/>
      <c r="T479" s="511"/>
      <c r="U479" s="511"/>
      <c r="V479" s="511"/>
      <c r="W479" s="511"/>
      <c r="X479" s="511"/>
      <c r="Y479" s="511"/>
      <c r="Z479" s="511"/>
      <c r="AA479" s="511"/>
      <c r="AB479" s="511"/>
      <c r="AC479" s="511"/>
      <c r="AD479" s="511"/>
      <c r="AE479" s="511"/>
      <c r="AF479" s="511"/>
      <c r="AG479" s="511"/>
      <c r="AH479" s="511"/>
      <c r="AI479" s="511"/>
      <c r="AJ479" s="511"/>
      <c r="AK479" s="511"/>
      <c r="AL479" s="511"/>
      <c r="AM479" s="511"/>
      <c r="AN479" s="511"/>
      <c r="AO479" s="511"/>
      <c r="AP479" s="511"/>
      <c r="AQ479" s="511"/>
      <c r="AR479" s="511"/>
      <c r="AS479" s="511"/>
      <c r="AT479" s="511"/>
      <c r="AU479" s="511"/>
      <c r="AV479" s="511"/>
      <c r="AW479" s="511"/>
      <c r="AX479" s="511"/>
      <c r="AY479" s="511"/>
      <c r="AZ479" s="511"/>
      <c r="BA479" s="511"/>
      <c r="BB479" s="511"/>
      <c r="BC479" s="511"/>
    </row>
    <row r="480" spans="1:55" ht="16.5" customHeight="1" x14ac:dyDescent="0.3">
      <c r="A480" s="511"/>
      <c r="B480" s="511"/>
      <c r="C480" s="511"/>
      <c r="D480" s="511"/>
      <c r="E480" s="511"/>
      <c r="F480" s="511"/>
      <c r="G480" s="511"/>
      <c r="H480" s="511"/>
      <c r="I480" s="511"/>
      <c r="J480" s="511"/>
      <c r="K480" s="511"/>
      <c r="L480" s="511"/>
      <c r="M480" s="511"/>
      <c r="N480" s="511"/>
      <c r="O480" s="511"/>
      <c r="P480" s="511"/>
      <c r="Q480" s="511"/>
      <c r="R480" s="511"/>
      <c r="S480" s="511"/>
      <c r="T480" s="511"/>
      <c r="U480" s="511"/>
      <c r="V480" s="511"/>
      <c r="W480" s="511"/>
      <c r="X480" s="511"/>
      <c r="Y480" s="511"/>
      <c r="Z480" s="511"/>
      <c r="AA480" s="511"/>
      <c r="AB480" s="511"/>
      <c r="AC480" s="511"/>
      <c r="AD480" s="511"/>
      <c r="AE480" s="511"/>
      <c r="AF480" s="511"/>
      <c r="AG480" s="511"/>
      <c r="AH480" s="511"/>
      <c r="AI480" s="511"/>
      <c r="AJ480" s="511"/>
      <c r="AK480" s="511"/>
      <c r="AL480" s="511"/>
      <c r="AM480" s="511"/>
      <c r="AN480" s="511"/>
      <c r="AO480" s="511"/>
      <c r="AP480" s="511"/>
      <c r="AQ480" s="511"/>
      <c r="AR480" s="511"/>
      <c r="AS480" s="511"/>
      <c r="AT480" s="511"/>
      <c r="AU480" s="511"/>
      <c r="AV480" s="511"/>
      <c r="AW480" s="511"/>
      <c r="AX480" s="511"/>
      <c r="AY480" s="511"/>
      <c r="AZ480" s="511"/>
      <c r="BA480" s="511"/>
      <c r="BB480" s="511"/>
      <c r="BC480" s="511"/>
    </row>
    <row r="481" spans="1:55" ht="16.5" customHeight="1" x14ac:dyDescent="0.3">
      <c r="A481" s="511"/>
      <c r="B481" s="511"/>
      <c r="C481" s="511"/>
      <c r="D481" s="511"/>
      <c r="E481" s="511"/>
      <c r="F481" s="511"/>
      <c r="G481" s="511"/>
      <c r="H481" s="511"/>
      <c r="I481" s="511"/>
      <c r="J481" s="511"/>
      <c r="K481" s="511"/>
      <c r="L481" s="511"/>
      <c r="M481" s="511"/>
      <c r="N481" s="511"/>
      <c r="O481" s="511"/>
      <c r="P481" s="511"/>
      <c r="Q481" s="511"/>
      <c r="R481" s="511"/>
      <c r="S481" s="511"/>
      <c r="T481" s="511"/>
      <c r="U481" s="511"/>
      <c r="V481" s="511"/>
      <c r="W481" s="511"/>
      <c r="X481" s="511"/>
      <c r="Y481" s="511"/>
      <c r="Z481" s="511"/>
      <c r="AA481" s="511"/>
      <c r="AB481" s="511"/>
      <c r="AC481" s="511"/>
      <c r="AD481" s="511"/>
      <c r="AE481" s="511"/>
      <c r="AF481" s="511"/>
      <c r="AG481" s="511"/>
      <c r="AH481" s="511"/>
      <c r="AI481" s="511"/>
      <c r="AJ481" s="511"/>
      <c r="AK481" s="511"/>
      <c r="AL481" s="511"/>
      <c r="AM481" s="511"/>
      <c r="AN481" s="511"/>
      <c r="AO481" s="511"/>
      <c r="AP481" s="511"/>
      <c r="AQ481" s="511"/>
      <c r="AR481" s="511"/>
      <c r="AS481" s="511"/>
      <c r="AT481" s="511"/>
      <c r="AU481" s="511"/>
      <c r="AV481" s="511"/>
      <c r="AW481" s="511"/>
      <c r="AX481" s="511"/>
      <c r="AY481" s="511"/>
      <c r="AZ481" s="511"/>
      <c r="BA481" s="511"/>
      <c r="BB481" s="511"/>
      <c r="BC481" s="511"/>
    </row>
    <row r="482" spans="1:55" ht="16.5" customHeight="1" x14ac:dyDescent="0.3">
      <c r="A482" s="511"/>
      <c r="B482" s="511"/>
      <c r="C482" s="511"/>
      <c r="D482" s="511"/>
      <c r="E482" s="511"/>
      <c r="F482" s="511"/>
      <c r="G482" s="511"/>
      <c r="H482" s="511"/>
      <c r="I482" s="511"/>
      <c r="J482" s="511"/>
      <c r="K482" s="511"/>
      <c r="L482" s="511"/>
      <c r="M482" s="511"/>
      <c r="N482" s="511"/>
      <c r="O482" s="511"/>
      <c r="P482" s="511"/>
      <c r="Q482" s="511"/>
      <c r="R482" s="511"/>
      <c r="S482" s="511"/>
      <c r="T482" s="511"/>
      <c r="U482" s="511"/>
      <c r="V482" s="511"/>
      <c r="W482" s="511"/>
      <c r="X482" s="511"/>
      <c r="Y482" s="511"/>
      <c r="Z482" s="511"/>
      <c r="AA482" s="511"/>
      <c r="AB482" s="511"/>
      <c r="AC482" s="511"/>
      <c r="AD482" s="511"/>
      <c r="AE482" s="511"/>
      <c r="AF482" s="511"/>
      <c r="AG482" s="511"/>
      <c r="AH482" s="511"/>
      <c r="AI482" s="511"/>
      <c r="AJ482" s="511"/>
      <c r="AK482" s="511"/>
      <c r="AL482" s="511"/>
      <c r="AM482" s="511"/>
      <c r="AN482" s="511"/>
      <c r="AO482" s="511"/>
      <c r="AP482" s="511"/>
      <c r="AQ482" s="511"/>
      <c r="AR482" s="511"/>
      <c r="AS482" s="511"/>
      <c r="AT482" s="511"/>
      <c r="AU482" s="511"/>
      <c r="AV482" s="511"/>
      <c r="AW482" s="511"/>
      <c r="AX482" s="511"/>
      <c r="AY482" s="511"/>
      <c r="AZ482" s="511"/>
      <c r="BA482" s="511"/>
      <c r="BB482" s="511"/>
      <c r="BC482" s="511"/>
    </row>
    <row r="483" spans="1:55" ht="16.5" customHeight="1" x14ac:dyDescent="0.3">
      <c r="A483" s="511"/>
      <c r="B483" s="511"/>
      <c r="C483" s="511"/>
      <c r="D483" s="511"/>
      <c r="E483" s="511"/>
      <c r="F483" s="511"/>
      <c r="G483" s="511"/>
      <c r="H483" s="511"/>
      <c r="I483" s="511"/>
      <c r="J483" s="511"/>
      <c r="K483" s="511"/>
      <c r="L483" s="511"/>
      <c r="M483" s="511"/>
      <c r="N483" s="511"/>
      <c r="O483" s="511"/>
      <c r="P483" s="511"/>
      <c r="Q483" s="511"/>
      <c r="R483" s="511"/>
      <c r="S483" s="511"/>
      <c r="T483" s="511"/>
      <c r="U483" s="511"/>
      <c r="V483" s="511"/>
      <c r="W483" s="511"/>
      <c r="X483" s="511"/>
      <c r="Y483" s="511"/>
      <c r="Z483" s="511"/>
      <c r="AA483" s="511"/>
      <c r="AB483" s="511"/>
      <c r="AC483" s="511"/>
      <c r="AD483" s="511"/>
      <c r="AE483" s="511"/>
      <c r="AF483" s="511"/>
      <c r="AG483" s="511"/>
      <c r="AH483" s="511"/>
      <c r="AI483" s="511"/>
      <c r="AJ483" s="511"/>
      <c r="AK483" s="511"/>
      <c r="AL483" s="511"/>
      <c r="AM483" s="511"/>
      <c r="AN483" s="511"/>
      <c r="AO483" s="511"/>
      <c r="AP483" s="511"/>
      <c r="AQ483" s="511"/>
      <c r="AR483" s="511"/>
      <c r="AS483" s="511"/>
      <c r="AT483" s="511"/>
      <c r="AU483" s="511"/>
      <c r="AV483" s="511"/>
      <c r="AW483" s="511"/>
      <c r="AX483" s="511"/>
      <c r="AY483" s="511"/>
      <c r="AZ483" s="511"/>
      <c r="BA483" s="511"/>
      <c r="BB483" s="511"/>
      <c r="BC483" s="511"/>
    </row>
    <row r="484" spans="1:55" ht="16.5" customHeight="1" x14ac:dyDescent="0.3">
      <c r="A484" s="511"/>
      <c r="B484" s="511"/>
      <c r="C484" s="511"/>
      <c r="D484" s="511"/>
      <c r="E484" s="511"/>
      <c r="F484" s="511"/>
      <c r="G484" s="511"/>
      <c r="H484" s="511"/>
      <c r="I484" s="511"/>
      <c r="J484" s="511"/>
      <c r="K484" s="511"/>
      <c r="L484" s="511"/>
      <c r="M484" s="511"/>
      <c r="N484" s="511"/>
      <c r="O484" s="511"/>
      <c r="P484" s="511"/>
      <c r="Q484" s="511"/>
      <c r="R484" s="511"/>
      <c r="S484" s="511"/>
      <c r="T484" s="511"/>
      <c r="U484" s="511"/>
      <c r="V484" s="511"/>
      <c r="W484" s="511"/>
      <c r="X484" s="511"/>
      <c r="Y484" s="511"/>
      <c r="Z484" s="511"/>
      <c r="AA484" s="511"/>
      <c r="AB484" s="511"/>
      <c r="AC484" s="511"/>
      <c r="AD484" s="511"/>
      <c r="AE484" s="511"/>
      <c r="AF484" s="511"/>
      <c r="AG484" s="511"/>
      <c r="AH484" s="511"/>
      <c r="AI484" s="511"/>
      <c r="AJ484" s="511"/>
      <c r="AK484" s="511"/>
      <c r="AL484" s="511"/>
      <c r="AM484" s="511"/>
      <c r="AN484" s="511"/>
      <c r="AO484" s="511"/>
      <c r="AP484" s="511"/>
      <c r="AQ484" s="511"/>
      <c r="AR484" s="511"/>
      <c r="AS484" s="511"/>
      <c r="AT484" s="511"/>
      <c r="AU484" s="511"/>
      <c r="AV484" s="511"/>
      <c r="AW484" s="511"/>
      <c r="AX484" s="511"/>
      <c r="AY484" s="511"/>
      <c r="AZ484" s="511"/>
      <c r="BA484" s="511"/>
      <c r="BB484" s="511"/>
      <c r="BC484" s="511"/>
    </row>
    <row r="485" spans="1:55" ht="16.5" customHeight="1" x14ac:dyDescent="0.3">
      <c r="A485" s="511"/>
      <c r="B485" s="511"/>
      <c r="C485" s="511"/>
      <c r="D485" s="511"/>
      <c r="E485" s="511"/>
      <c r="F485" s="511"/>
      <c r="G485" s="511"/>
      <c r="H485" s="511"/>
      <c r="I485" s="511"/>
      <c r="J485" s="511"/>
      <c r="K485" s="511"/>
      <c r="L485" s="511"/>
      <c r="M485" s="511"/>
      <c r="N485" s="511"/>
      <c r="O485" s="511"/>
      <c r="P485" s="511"/>
      <c r="Q485" s="511"/>
      <c r="R485" s="511"/>
      <c r="S485" s="511"/>
      <c r="T485" s="511"/>
      <c r="U485" s="511"/>
      <c r="V485" s="511"/>
      <c r="W485" s="511"/>
      <c r="X485" s="511"/>
      <c r="Y485" s="511"/>
      <c r="Z485" s="511"/>
      <c r="AA485" s="511"/>
      <c r="AB485" s="511"/>
      <c r="AC485" s="511"/>
      <c r="AD485" s="511"/>
      <c r="AE485" s="511"/>
      <c r="AF485" s="511"/>
      <c r="AG485" s="511"/>
      <c r="AH485" s="511"/>
      <c r="AI485" s="511"/>
      <c r="AJ485" s="511"/>
      <c r="AK485" s="511"/>
      <c r="AL485" s="511"/>
      <c r="AM485" s="511"/>
      <c r="AN485" s="511"/>
      <c r="AO485" s="511"/>
      <c r="AP485" s="511"/>
      <c r="AQ485" s="511"/>
      <c r="AR485" s="511"/>
      <c r="AS485" s="511"/>
      <c r="AT485" s="511"/>
      <c r="AU485" s="511"/>
      <c r="AV485" s="511"/>
      <c r="AW485" s="511"/>
      <c r="AX485" s="511"/>
      <c r="AY485" s="511"/>
      <c r="AZ485" s="511"/>
      <c r="BA485" s="511"/>
      <c r="BB485" s="511"/>
      <c r="BC485" s="511"/>
    </row>
    <row r="486" spans="1:55" ht="16.5" customHeight="1" x14ac:dyDescent="0.3">
      <c r="A486" s="511"/>
      <c r="B486" s="511"/>
      <c r="C486" s="511"/>
      <c r="D486" s="511"/>
      <c r="E486" s="511"/>
      <c r="F486" s="511"/>
      <c r="G486" s="511"/>
      <c r="H486" s="511"/>
      <c r="I486" s="511"/>
      <c r="J486" s="511"/>
      <c r="K486" s="511"/>
      <c r="L486" s="511"/>
      <c r="M486" s="511"/>
      <c r="N486" s="511"/>
      <c r="O486" s="511"/>
      <c r="P486" s="511"/>
      <c r="Q486" s="511"/>
      <c r="R486" s="511"/>
      <c r="S486" s="511"/>
      <c r="T486" s="511"/>
      <c r="U486" s="511"/>
      <c r="V486" s="511"/>
      <c r="W486" s="511"/>
      <c r="X486" s="511"/>
      <c r="Y486" s="511"/>
      <c r="Z486" s="511"/>
      <c r="AA486" s="511"/>
      <c r="AB486" s="511"/>
      <c r="AC486" s="511"/>
      <c r="AD486" s="511"/>
      <c r="AE486" s="511"/>
      <c r="AF486" s="511"/>
      <c r="AG486" s="511"/>
      <c r="AH486" s="511"/>
      <c r="AI486" s="511"/>
      <c r="AJ486" s="511"/>
      <c r="AK486" s="511"/>
      <c r="AL486" s="511"/>
      <c r="AM486" s="511"/>
      <c r="AN486" s="511"/>
      <c r="AO486" s="511"/>
      <c r="AP486" s="511"/>
      <c r="AQ486" s="511"/>
      <c r="AR486" s="511"/>
      <c r="AS486" s="511"/>
      <c r="AT486" s="511"/>
      <c r="AU486" s="511"/>
      <c r="AV486" s="511"/>
      <c r="AW486" s="511"/>
      <c r="AX486" s="511"/>
      <c r="AY486" s="511"/>
      <c r="AZ486" s="511"/>
      <c r="BA486" s="511"/>
      <c r="BB486" s="511"/>
      <c r="BC486" s="511"/>
    </row>
    <row r="487" spans="1:55" ht="16.5" customHeight="1" x14ac:dyDescent="0.3">
      <c r="A487" s="511"/>
      <c r="B487" s="511"/>
      <c r="C487" s="511"/>
      <c r="D487" s="511"/>
      <c r="E487" s="511"/>
      <c r="F487" s="511"/>
      <c r="G487" s="511"/>
      <c r="H487" s="511"/>
      <c r="I487" s="511"/>
      <c r="J487" s="511"/>
      <c r="K487" s="511"/>
      <c r="L487" s="511"/>
      <c r="M487" s="511"/>
      <c r="N487" s="511"/>
      <c r="O487" s="511"/>
      <c r="P487" s="511"/>
      <c r="Q487" s="511"/>
      <c r="R487" s="511"/>
      <c r="S487" s="511"/>
      <c r="T487" s="511"/>
      <c r="U487" s="511"/>
      <c r="V487" s="511"/>
      <c r="W487" s="511"/>
      <c r="X487" s="511"/>
      <c r="Y487" s="511"/>
      <c r="Z487" s="511"/>
      <c r="AA487" s="511"/>
      <c r="AB487" s="511"/>
      <c r="AC487" s="511"/>
      <c r="AD487" s="511"/>
      <c r="AE487" s="511"/>
      <c r="AF487" s="511"/>
      <c r="AG487" s="511"/>
      <c r="AH487" s="511"/>
      <c r="AI487" s="511"/>
      <c r="AJ487" s="511"/>
      <c r="AK487" s="511"/>
      <c r="AL487" s="511"/>
      <c r="AM487" s="511"/>
      <c r="AN487" s="511"/>
      <c r="AO487" s="511"/>
      <c r="AP487" s="511"/>
      <c r="AQ487" s="511"/>
      <c r="AR487" s="511"/>
      <c r="AS487" s="511"/>
      <c r="AT487" s="511"/>
      <c r="AU487" s="511"/>
      <c r="AV487" s="511"/>
      <c r="AW487" s="511"/>
      <c r="AX487" s="511"/>
      <c r="AY487" s="511"/>
      <c r="AZ487" s="511"/>
      <c r="BA487" s="511"/>
      <c r="BB487" s="511"/>
      <c r="BC487" s="511"/>
    </row>
    <row r="488" spans="1:55" ht="16.5" customHeight="1" x14ac:dyDescent="0.3">
      <c r="A488" s="511"/>
      <c r="B488" s="511"/>
      <c r="C488" s="511"/>
      <c r="D488" s="511"/>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c r="AA488" s="511"/>
      <c r="AB488" s="511"/>
      <c r="AC488" s="511"/>
      <c r="AD488" s="511"/>
      <c r="AE488" s="511"/>
      <c r="AF488" s="511"/>
      <c r="AG488" s="511"/>
      <c r="AH488" s="511"/>
      <c r="AI488" s="511"/>
      <c r="AJ488" s="511"/>
      <c r="AK488" s="511"/>
      <c r="AL488" s="511"/>
      <c r="AM488" s="511"/>
      <c r="AN488" s="511"/>
      <c r="AO488" s="511"/>
      <c r="AP488" s="511"/>
      <c r="AQ488" s="511"/>
      <c r="AR488" s="511"/>
      <c r="AS488" s="511"/>
      <c r="AT488" s="511"/>
      <c r="AU488" s="511"/>
      <c r="AV488" s="511"/>
      <c r="AW488" s="511"/>
      <c r="AX488" s="511"/>
      <c r="AY488" s="511"/>
      <c r="AZ488" s="511"/>
      <c r="BA488" s="511"/>
      <c r="BB488" s="511"/>
      <c r="BC488" s="511"/>
    </row>
    <row r="489" spans="1:55" ht="16.5" customHeight="1" x14ac:dyDescent="0.3">
      <c r="A489" s="511"/>
      <c r="B489" s="511"/>
      <c r="C489" s="511"/>
      <c r="D489" s="511"/>
      <c r="E489" s="511"/>
      <c r="F489" s="511"/>
      <c r="G489" s="511"/>
      <c r="H489" s="511"/>
      <c r="I489" s="511"/>
      <c r="J489" s="511"/>
      <c r="K489" s="511"/>
      <c r="L489" s="511"/>
      <c r="M489" s="511"/>
      <c r="N489" s="511"/>
      <c r="O489" s="511"/>
      <c r="P489" s="511"/>
      <c r="Q489" s="511"/>
      <c r="R489" s="511"/>
      <c r="S489" s="511"/>
      <c r="T489" s="511"/>
      <c r="U489" s="511"/>
      <c r="V489" s="511"/>
      <c r="W489" s="511"/>
      <c r="X489" s="511"/>
      <c r="Y489" s="511"/>
      <c r="Z489" s="511"/>
      <c r="AA489" s="511"/>
      <c r="AB489" s="511"/>
      <c r="AC489" s="511"/>
      <c r="AD489" s="511"/>
      <c r="AE489" s="511"/>
      <c r="AF489" s="511"/>
      <c r="AG489" s="511"/>
      <c r="AH489" s="511"/>
      <c r="AI489" s="511"/>
      <c r="AJ489" s="511"/>
      <c r="AK489" s="511"/>
      <c r="AL489" s="511"/>
      <c r="AM489" s="511"/>
      <c r="AN489" s="511"/>
      <c r="AO489" s="511"/>
      <c r="AP489" s="511"/>
      <c r="AQ489" s="511"/>
      <c r="AR489" s="511"/>
      <c r="AS489" s="511"/>
      <c r="AT489" s="511"/>
      <c r="AU489" s="511"/>
      <c r="AV489" s="511"/>
      <c r="AW489" s="511"/>
      <c r="AX489" s="511"/>
      <c r="AY489" s="511"/>
      <c r="AZ489" s="511"/>
      <c r="BA489" s="511"/>
      <c r="BB489" s="511"/>
      <c r="BC489" s="511"/>
    </row>
    <row r="490" spans="1:55" ht="16.5" customHeight="1" x14ac:dyDescent="0.3">
      <c r="A490" s="511"/>
      <c r="B490" s="511"/>
      <c r="C490" s="511"/>
      <c r="D490" s="511"/>
      <c r="E490" s="511"/>
      <c r="F490" s="511"/>
      <c r="G490" s="511"/>
      <c r="H490" s="511"/>
      <c r="I490" s="511"/>
      <c r="J490" s="511"/>
      <c r="K490" s="511"/>
      <c r="L490" s="511"/>
      <c r="M490" s="511"/>
      <c r="N490" s="511"/>
      <c r="O490" s="511"/>
      <c r="P490" s="511"/>
      <c r="Q490" s="511"/>
      <c r="R490" s="511"/>
      <c r="S490" s="511"/>
      <c r="T490" s="511"/>
      <c r="U490" s="511"/>
      <c r="V490" s="511"/>
      <c r="W490" s="511"/>
      <c r="X490" s="511"/>
      <c r="Y490" s="511"/>
      <c r="Z490" s="511"/>
      <c r="AA490" s="511"/>
      <c r="AB490" s="511"/>
      <c r="AC490" s="511"/>
      <c r="AD490" s="511"/>
      <c r="AE490" s="511"/>
      <c r="AF490" s="511"/>
      <c r="AG490" s="511"/>
      <c r="AH490" s="511"/>
      <c r="AI490" s="511"/>
      <c r="AJ490" s="511"/>
      <c r="AK490" s="511"/>
      <c r="AL490" s="511"/>
      <c r="AM490" s="511"/>
      <c r="AN490" s="511"/>
      <c r="AO490" s="511"/>
      <c r="AP490" s="511"/>
      <c r="AQ490" s="511"/>
      <c r="AR490" s="511"/>
      <c r="AS490" s="511"/>
      <c r="AT490" s="511"/>
      <c r="AU490" s="511"/>
      <c r="AV490" s="511"/>
      <c r="AW490" s="511"/>
      <c r="AX490" s="511"/>
      <c r="AY490" s="511"/>
      <c r="AZ490" s="511"/>
      <c r="BA490" s="511"/>
      <c r="BB490" s="511"/>
      <c r="BC490" s="511"/>
    </row>
    <row r="491" spans="1:55" ht="16.5" customHeight="1" x14ac:dyDescent="0.3">
      <c r="A491" s="511"/>
      <c r="B491" s="511"/>
      <c r="C491" s="511"/>
      <c r="D491" s="511"/>
      <c r="E491" s="511"/>
      <c r="F491" s="511"/>
      <c r="G491" s="511"/>
      <c r="H491" s="511"/>
      <c r="I491" s="511"/>
      <c r="J491" s="511"/>
      <c r="K491" s="511"/>
      <c r="L491" s="511"/>
      <c r="M491" s="511"/>
      <c r="N491" s="511"/>
      <c r="O491" s="511"/>
      <c r="P491" s="511"/>
      <c r="Q491" s="511"/>
      <c r="R491" s="511"/>
      <c r="S491" s="511"/>
      <c r="T491" s="511"/>
      <c r="U491" s="511"/>
      <c r="V491" s="511"/>
      <c r="W491" s="511"/>
      <c r="X491" s="511"/>
      <c r="Y491" s="511"/>
      <c r="Z491" s="511"/>
      <c r="AA491" s="511"/>
      <c r="AB491" s="511"/>
      <c r="AC491" s="511"/>
      <c r="AD491" s="511"/>
      <c r="AE491" s="511"/>
      <c r="AF491" s="511"/>
      <c r="AG491" s="511"/>
      <c r="AH491" s="511"/>
      <c r="AI491" s="511"/>
      <c r="AJ491" s="511"/>
      <c r="AK491" s="511"/>
      <c r="AL491" s="511"/>
      <c r="AM491" s="511"/>
      <c r="AN491" s="511"/>
      <c r="AO491" s="511"/>
      <c r="AP491" s="511"/>
      <c r="AQ491" s="511"/>
      <c r="AR491" s="511"/>
      <c r="AS491" s="511"/>
      <c r="AT491" s="511"/>
      <c r="AU491" s="511"/>
      <c r="AV491" s="511"/>
      <c r="AW491" s="511"/>
      <c r="AX491" s="511"/>
      <c r="AY491" s="511"/>
      <c r="AZ491" s="511"/>
      <c r="BA491" s="511"/>
      <c r="BB491" s="511"/>
      <c r="BC491" s="511"/>
    </row>
    <row r="492" spans="1:55" ht="16.5" customHeight="1" x14ac:dyDescent="0.3">
      <c r="A492" s="511"/>
      <c r="B492" s="511"/>
      <c r="C492" s="511"/>
      <c r="D492" s="511"/>
      <c r="E492" s="511"/>
      <c r="F492" s="511"/>
      <c r="G492" s="511"/>
      <c r="H492" s="511"/>
      <c r="I492" s="511"/>
      <c r="J492" s="511"/>
      <c r="K492" s="511"/>
      <c r="L492" s="511"/>
      <c r="M492" s="511"/>
      <c r="N492" s="511"/>
      <c r="O492" s="511"/>
      <c r="P492" s="511"/>
      <c r="Q492" s="511"/>
      <c r="R492" s="511"/>
      <c r="S492" s="511"/>
      <c r="T492" s="511"/>
      <c r="U492" s="511"/>
      <c r="V492" s="511"/>
      <c r="W492" s="511"/>
      <c r="X492" s="511"/>
      <c r="Y492" s="511"/>
      <c r="Z492" s="511"/>
      <c r="AA492" s="511"/>
      <c r="AB492" s="511"/>
      <c r="AC492" s="511"/>
      <c r="AD492" s="511"/>
      <c r="AE492" s="511"/>
      <c r="AF492" s="511"/>
      <c r="AG492" s="511"/>
      <c r="AH492" s="511"/>
      <c r="AI492" s="511"/>
      <c r="AJ492" s="511"/>
      <c r="AK492" s="511"/>
      <c r="AL492" s="511"/>
      <c r="AM492" s="511"/>
      <c r="AN492" s="511"/>
      <c r="AO492" s="511"/>
      <c r="AP492" s="511"/>
      <c r="AQ492" s="511"/>
      <c r="AR492" s="511"/>
      <c r="AS492" s="511"/>
      <c r="AT492" s="511"/>
      <c r="AU492" s="511"/>
      <c r="AV492" s="511"/>
      <c r="AW492" s="511"/>
      <c r="AX492" s="511"/>
      <c r="AY492" s="511"/>
      <c r="AZ492" s="511"/>
      <c r="BA492" s="511"/>
      <c r="BB492" s="511"/>
      <c r="BC492" s="511"/>
    </row>
    <row r="493" spans="1:55" ht="16.5" customHeight="1" x14ac:dyDescent="0.3">
      <c r="A493" s="511"/>
      <c r="B493" s="511"/>
      <c r="C493" s="511"/>
      <c r="D493" s="511"/>
      <c r="E493" s="511"/>
      <c r="F493" s="511"/>
      <c r="G493" s="511"/>
      <c r="H493" s="511"/>
      <c r="I493" s="511"/>
      <c r="J493" s="511"/>
      <c r="K493" s="511"/>
      <c r="L493" s="511"/>
      <c r="M493" s="511"/>
      <c r="N493" s="511"/>
      <c r="O493" s="511"/>
      <c r="P493" s="511"/>
      <c r="Q493" s="511"/>
      <c r="R493" s="511"/>
      <c r="S493" s="511"/>
      <c r="T493" s="511"/>
      <c r="U493" s="511"/>
      <c r="V493" s="511"/>
      <c r="W493" s="511"/>
      <c r="X493" s="511"/>
      <c r="Y493" s="511"/>
      <c r="Z493" s="511"/>
      <c r="AA493" s="511"/>
      <c r="AB493" s="511"/>
      <c r="AC493" s="511"/>
      <c r="AD493" s="511"/>
      <c r="AE493" s="511"/>
      <c r="AF493" s="511"/>
      <c r="AG493" s="511"/>
      <c r="AH493" s="511"/>
      <c r="AI493" s="511"/>
      <c r="AJ493" s="511"/>
      <c r="AK493" s="511"/>
      <c r="AL493" s="511"/>
      <c r="AM493" s="511"/>
      <c r="AN493" s="511"/>
      <c r="AO493" s="511"/>
      <c r="AP493" s="511"/>
      <c r="AQ493" s="511"/>
      <c r="AR493" s="511"/>
      <c r="AS493" s="511"/>
      <c r="AT493" s="511"/>
      <c r="AU493" s="511"/>
      <c r="AV493" s="511"/>
      <c r="AW493" s="511"/>
      <c r="AX493" s="511"/>
      <c r="AY493" s="511"/>
      <c r="AZ493" s="511"/>
      <c r="BA493" s="511"/>
      <c r="BB493" s="511"/>
      <c r="BC493" s="511"/>
    </row>
    <row r="494" spans="1:55" ht="16.5" customHeight="1" x14ac:dyDescent="0.3">
      <c r="A494" s="511"/>
      <c r="B494" s="511"/>
      <c r="C494" s="511"/>
      <c r="D494" s="511"/>
      <c r="E494" s="511"/>
      <c r="F494" s="511"/>
      <c r="G494" s="511"/>
      <c r="H494" s="511"/>
      <c r="I494" s="511"/>
      <c r="J494" s="511"/>
      <c r="K494" s="511"/>
      <c r="L494" s="511"/>
      <c r="M494" s="511"/>
      <c r="N494" s="511"/>
      <c r="O494" s="511"/>
      <c r="P494" s="511"/>
      <c r="Q494" s="511"/>
      <c r="R494" s="511"/>
      <c r="S494" s="511"/>
      <c r="T494" s="511"/>
      <c r="U494" s="511"/>
      <c r="V494" s="511"/>
      <c r="W494" s="511"/>
      <c r="X494" s="511"/>
      <c r="Y494" s="511"/>
      <c r="Z494" s="511"/>
      <c r="AA494" s="511"/>
      <c r="AB494" s="511"/>
      <c r="AC494" s="511"/>
      <c r="AD494" s="511"/>
      <c r="AE494" s="511"/>
      <c r="AF494" s="511"/>
      <c r="AG494" s="511"/>
      <c r="AH494" s="511"/>
      <c r="AI494" s="511"/>
      <c r="AJ494" s="511"/>
      <c r="AK494" s="511"/>
      <c r="AL494" s="511"/>
      <c r="AM494" s="511"/>
      <c r="AN494" s="511"/>
      <c r="AO494" s="511"/>
      <c r="AP494" s="511"/>
      <c r="AQ494" s="511"/>
      <c r="AR494" s="511"/>
      <c r="AS494" s="511"/>
      <c r="AT494" s="511"/>
      <c r="AU494" s="511"/>
      <c r="AV494" s="511"/>
      <c r="AW494" s="511"/>
      <c r="AX494" s="511"/>
      <c r="AY494" s="511"/>
      <c r="AZ494" s="511"/>
      <c r="BA494" s="511"/>
      <c r="BB494" s="511"/>
      <c r="BC494" s="511"/>
    </row>
    <row r="495" spans="1:55" ht="16.5" customHeight="1" x14ac:dyDescent="0.3">
      <c r="A495" s="511"/>
      <c r="B495" s="511"/>
      <c r="C495" s="511"/>
      <c r="D495" s="511"/>
      <c r="E495" s="511"/>
      <c r="F495" s="511"/>
      <c r="G495" s="511"/>
      <c r="H495" s="511"/>
      <c r="I495" s="511"/>
      <c r="J495" s="511"/>
      <c r="K495" s="511"/>
      <c r="L495" s="511"/>
      <c r="M495" s="511"/>
      <c r="N495" s="511"/>
      <c r="O495" s="511"/>
      <c r="P495" s="511"/>
      <c r="Q495" s="511"/>
      <c r="R495" s="511"/>
      <c r="S495" s="511"/>
      <c r="T495" s="511"/>
      <c r="U495" s="511"/>
      <c r="V495" s="511"/>
      <c r="W495" s="511"/>
      <c r="X495" s="511"/>
      <c r="Y495" s="511"/>
      <c r="Z495" s="511"/>
      <c r="AA495" s="511"/>
      <c r="AB495" s="511"/>
      <c r="AC495" s="511"/>
      <c r="AD495" s="511"/>
      <c r="AE495" s="511"/>
      <c r="AF495" s="511"/>
      <c r="AG495" s="511"/>
      <c r="AH495" s="511"/>
      <c r="AI495" s="511"/>
      <c r="AJ495" s="511"/>
      <c r="AK495" s="511"/>
      <c r="AL495" s="511"/>
      <c r="AM495" s="511"/>
      <c r="AN495" s="511"/>
      <c r="AO495" s="511"/>
      <c r="AP495" s="511"/>
      <c r="AQ495" s="511"/>
      <c r="AR495" s="511"/>
      <c r="AS495" s="511"/>
      <c r="AT495" s="511"/>
      <c r="AU495" s="511"/>
      <c r="AV495" s="511"/>
      <c r="AW495" s="511"/>
      <c r="AX495" s="511"/>
      <c r="AY495" s="511"/>
      <c r="AZ495" s="511"/>
      <c r="BA495" s="511"/>
      <c r="BB495" s="511"/>
      <c r="BC495" s="511"/>
    </row>
    <row r="496" spans="1:55" ht="16.5" customHeight="1" x14ac:dyDescent="0.3">
      <c r="A496" s="511"/>
      <c r="B496" s="511"/>
      <c r="C496" s="511"/>
      <c r="D496" s="511"/>
      <c r="E496" s="511"/>
      <c r="F496" s="511"/>
      <c r="G496" s="511"/>
      <c r="H496" s="511"/>
      <c r="I496" s="511"/>
      <c r="J496" s="511"/>
      <c r="K496" s="511"/>
      <c r="L496" s="511"/>
      <c r="M496" s="511"/>
      <c r="N496" s="511"/>
      <c r="O496" s="511"/>
      <c r="P496" s="511"/>
      <c r="Q496" s="511"/>
      <c r="R496" s="511"/>
      <c r="S496" s="511"/>
      <c r="T496" s="511"/>
      <c r="U496" s="511"/>
      <c r="V496" s="511"/>
      <c r="W496" s="511"/>
      <c r="X496" s="511"/>
      <c r="Y496" s="511"/>
      <c r="Z496" s="511"/>
      <c r="AA496" s="511"/>
      <c r="AB496" s="511"/>
      <c r="AC496" s="511"/>
      <c r="AD496" s="511"/>
      <c r="AE496" s="511"/>
      <c r="AF496" s="511"/>
      <c r="AG496" s="511"/>
      <c r="AH496" s="511"/>
      <c r="AI496" s="511"/>
      <c r="AJ496" s="511"/>
      <c r="AK496" s="511"/>
      <c r="AL496" s="511"/>
      <c r="AM496" s="511"/>
      <c r="AN496" s="511"/>
      <c r="AO496" s="511"/>
      <c r="AP496" s="511"/>
      <c r="AQ496" s="511"/>
      <c r="AR496" s="511"/>
      <c r="AS496" s="511"/>
      <c r="AT496" s="511"/>
      <c r="AU496" s="511"/>
      <c r="AV496" s="511"/>
      <c r="AW496" s="511"/>
      <c r="AX496" s="511"/>
      <c r="AY496" s="511"/>
      <c r="AZ496" s="511"/>
      <c r="BA496" s="511"/>
      <c r="BB496" s="511"/>
      <c r="BC496" s="511"/>
    </row>
    <row r="497" spans="1:55" ht="16.5" customHeight="1" x14ac:dyDescent="0.3">
      <c r="A497" s="511"/>
      <c r="B497" s="511"/>
      <c r="C497" s="511"/>
      <c r="D497" s="511"/>
      <c r="E497" s="511"/>
      <c r="F497" s="511"/>
      <c r="G497" s="511"/>
      <c r="H497" s="511"/>
      <c r="I497" s="511"/>
      <c r="J497" s="511"/>
      <c r="K497" s="511"/>
      <c r="L497" s="511"/>
      <c r="M497" s="511"/>
      <c r="N497" s="511"/>
      <c r="O497" s="511"/>
      <c r="P497" s="511"/>
      <c r="Q497" s="511"/>
      <c r="R497" s="511"/>
      <c r="S497" s="511"/>
      <c r="T497" s="511"/>
      <c r="U497" s="511"/>
      <c r="V497" s="511"/>
      <c r="W497" s="511"/>
      <c r="X497" s="511"/>
      <c r="Y497" s="511"/>
      <c r="Z497" s="511"/>
      <c r="AA497" s="511"/>
      <c r="AB497" s="511"/>
      <c r="AC497" s="511"/>
      <c r="AD497" s="511"/>
      <c r="AE497" s="511"/>
      <c r="AF497" s="511"/>
      <c r="AG497" s="511"/>
      <c r="AH497" s="511"/>
      <c r="AI497" s="511"/>
      <c r="AJ497" s="511"/>
      <c r="AK497" s="511"/>
      <c r="AL497" s="511"/>
      <c r="AM497" s="511"/>
      <c r="AN497" s="511"/>
      <c r="AO497" s="511"/>
      <c r="AP497" s="511"/>
      <c r="AQ497" s="511"/>
      <c r="AR497" s="511"/>
      <c r="AS497" s="511"/>
      <c r="AT497" s="511"/>
      <c r="AU497" s="511"/>
      <c r="AV497" s="511"/>
      <c r="AW497" s="511"/>
      <c r="AX497" s="511"/>
      <c r="AY497" s="511"/>
      <c r="AZ497" s="511"/>
      <c r="BA497" s="511"/>
      <c r="BB497" s="511"/>
      <c r="BC497" s="511"/>
    </row>
    <row r="498" spans="1:55" ht="16.5" customHeight="1" x14ac:dyDescent="0.3">
      <c r="A498" s="511"/>
      <c r="B498" s="511"/>
      <c r="C498" s="511"/>
      <c r="D498" s="511"/>
      <c r="E498" s="511"/>
      <c r="F498" s="511"/>
      <c r="G498" s="511"/>
      <c r="H498" s="511"/>
      <c r="I498" s="511"/>
      <c r="J498" s="511"/>
      <c r="K498" s="511"/>
      <c r="L498" s="511"/>
      <c r="M498" s="511"/>
      <c r="N498" s="511"/>
      <c r="O498" s="511"/>
      <c r="P498" s="511"/>
      <c r="Q498" s="511"/>
      <c r="R498" s="511"/>
      <c r="S498" s="511"/>
      <c r="T498" s="511"/>
      <c r="U498" s="511"/>
      <c r="V498" s="511"/>
      <c r="W498" s="511"/>
      <c r="X498" s="511"/>
      <c r="Y498" s="511"/>
      <c r="Z498" s="511"/>
      <c r="AA498" s="511"/>
      <c r="AB498" s="511"/>
      <c r="AC498" s="511"/>
      <c r="AD498" s="511"/>
      <c r="AE498" s="511"/>
      <c r="AF498" s="511"/>
      <c r="AG498" s="511"/>
      <c r="AH498" s="511"/>
      <c r="AI498" s="511"/>
      <c r="AJ498" s="511"/>
      <c r="AK498" s="511"/>
      <c r="AL498" s="511"/>
      <c r="AM498" s="511"/>
      <c r="AN498" s="511"/>
      <c r="AO498" s="511"/>
      <c r="AP498" s="511"/>
      <c r="AQ498" s="511"/>
      <c r="AR498" s="511"/>
      <c r="AS498" s="511"/>
      <c r="AT498" s="511"/>
      <c r="AU498" s="511"/>
      <c r="AV498" s="511"/>
      <c r="AW498" s="511"/>
      <c r="AX498" s="511"/>
      <c r="AY498" s="511"/>
      <c r="AZ498" s="511"/>
      <c r="BA498" s="511"/>
      <c r="BB498" s="511"/>
      <c r="BC498" s="511"/>
    </row>
    <row r="499" spans="1:55" ht="16.5" customHeight="1" x14ac:dyDescent="0.3">
      <c r="A499" s="511"/>
      <c r="B499" s="511"/>
      <c r="C499" s="511"/>
      <c r="D499" s="511"/>
      <c r="E499" s="511"/>
      <c r="F499" s="511"/>
      <c r="G499" s="511"/>
      <c r="H499" s="511"/>
      <c r="I499" s="511"/>
      <c r="J499" s="511"/>
      <c r="K499" s="511"/>
      <c r="L499" s="511"/>
      <c r="M499" s="511"/>
      <c r="N499" s="511"/>
      <c r="O499" s="511"/>
      <c r="P499" s="511"/>
      <c r="Q499" s="511"/>
      <c r="R499" s="511"/>
      <c r="S499" s="511"/>
      <c r="T499" s="511"/>
      <c r="U499" s="511"/>
      <c r="V499" s="511"/>
      <c r="W499" s="511"/>
      <c r="X499" s="511"/>
      <c r="Y499" s="511"/>
      <c r="Z499" s="511"/>
      <c r="AA499" s="511"/>
      <c r="AB499" s="511"/>
      <c r="AC499" s="511"/>
      <c r="AD499" s="511"/>
      <c r="AE499" s="511"/>
      <c r="AF499" s="511"/>
      <c r="AG499" s="511"/>
      <c r="AH499" s="511"/>
      <c r="AI499" s="511"/>
      <c r="AJ499" s="511"/>
      <c r="AK499" s="511"/>
      <c r="AL499" s="511"/>
      <c r="AM499" s="511"/>
      <c r="AN499" s="511"/>
      <c r="AO499" s="511"/>
      <c r="AP499" s="511"/>
      <c r="AQ499" s="511"/>
      <c r="AR499" s="511"/>
      <c r="AS499" s="511"/>
      <c r="AT499" s="511"/>
      <c r="AU499" s="511"/>
      <c r="AV499" s="511"/>
      <c r="AW499" s="511"/>
      <c r="AX499" s="511"/>
      <c r="AY499" s="511"/>
      <c r="AZ499" s="511"/>
      <c r="BA499" s="511"/>
      <c r="BB499" s="511"/>
      <c r="BC499" s="511"/>
    </row>
    <row r="500" spans="1:55" ht="16.5" customHeight="1" x14ac:dyDescent="0.3">
      <c r="A500" s="511"/>
      <c r="B500" s="511"/>
      <c r="C500" s="511"/>
      <c r="D500" s="511"/>
      <c r="E500" s="511"/>
      <c r="F500" s="511"/>
      <c r="G500" s="511"/>
      <c r="H500" s="511"/>
      <c r="I500" s="511"/>
      <c r="J500" s="511"/>
      <c r="K500" s="511"/>
      <c r="L500" s="511"/>
      <c r="M500" s="511"/>
      <c r="N500" s="511"/>
      <c r="O500" s="511"/>
      <c r="P500" s="511"/>
      <c r="Q500" s="511"/>
      <c r="R500" s="511"/>
      <c r="S500" s="511"/>
      <c r="T500" s="511"/>
      <c r="U500" s="511"/>
      <c r="V500" s="511"/>
      <c r="W500" s="511"/>
      <c r="X500" s="511"/>
      <c r="Y500" s="511"/>
      <c r="Z500" s="511"/>
      <c r="AA500" s="511"/>
      <c r="AB500" s="511"/>
      <c r="AC500" s="511"/>
      <c r="AD500" s="511"/>
      <c r="AE500" s="511"/>
      <c r="AF500" s="511"/>
      <c r="AG500" s="511"/>
      <c r="AH500" s="511"/>
      <c r="AI500" s="511"/>
      <c r="AJ500" s="511"/>
      <c r="AK500" s="511"/>
      <c r="AL500" s="511"/>
      <c r="AM500" s="511"/>
      <c r="AN500" s="511"/>
      <c r="AO500" s="511"/>
      <c r="AP500" s="511"/>
      <c r="AQ500" s="511"/>
      <c r="AR500" s="511"/>
      <c r="AS500" s="511"/>
      <c r="AT500" s="511"/>
      <c r="AU500" s="511"/>
      <c r="AV500" s="511"/>
      <c r="AW500" s="511"/>
      <c r="AX500" s="511"/>
      <c r="AY500" s="511"/>
      <c r="AZ500" s="511"/>
      <c r="BA500" s="511"/>
      <c r="BB500" s="511"/>
      <c r="BC500" s="511"/>
    </row>
    <row r="501" spans="1:55" ht="16.5" customHeight="1" x14ac:dyDescent="0.3">
      <c r="A501" s="511"/>
      <c r="B501" s="511"/>
      <c r="C501" s="511"/>
      <c r="D501" s="511"/>
      <c r="E501" s="511"/>
      <c r="F501" s="511"/>
      <c r="G501" s="511"/>
      <c r="H501" s="511"/>
      <c r="I501" s="511"/>
      <c r="J501" s="511"/>
      <c r="K501" s="511"/>
      <c r="L501" s="511"/>
      <c r="M501" s="511"/>
      <c r="N501" s="511"/>
      <c r="O501" s="511"/>
      <c r="P501" s="511"/>
      <c r="Q501" s="511"/>
      <c r="R501" s="511"/>
      <c r="S501" s="511"/>
      <c r="T501" s="511"/>
      <c r="U501" s="511"/>
      <c r="V501" s="511"/>
      <c r="W501" s="511"/>
      <c r="X501" s="511"/>
      <c r="Y501" s="511"/>
      <c r="Z501" s="511"/>
      <c r="AA501" s="511"/>
      <c r="AB501" s="511"/>
      <c r="AC501" s="511"/>
      <c r="AD501" s="511"/>
      <c r="AE501" s="511"/>
      <c r="AF501" s="511"/>
      <c r="AG501" s="511"/>
      <c r="AH501" s="511"/>
      <c r="AI501" s="511"/>
      <c r="AJ501" s="511"/>
      <c r="AK501" s="511"/>
      <c r="AL501" s="511"/>
      <c r="AM501" s="511"/>
      <c r="AN501" s="511"/>
      <c r="AO501" s="511"/>
      <c r="AP501" s="511"/>
      <c r="AQ501" s="511"/>
      <c r="AR501" s="511"/>
      <c r="AS501" s="511"/>
      <c r="AT501" s="511"/>
      <c r="AU501" s="511"/>
      <c r="AV501" s="511"/>
      <c r="AW501" s="511"/>
      <c r="AX501" s="511"/>
      <c r="AY501" s="511"/>
      <c r="AZ501" s="511"/>
      <c r="BA501" s="511"/>
      <c r="BB501" s="511"/>
      <c r="BC501" s="511"/>
    </row>
    <row r="502" spans="1:55" ht="16.5" customHeight="1" x14ac:dyDescent="0.3">
      <c r="A502" s="511"/>
      <c r="B502" s="511"/>
      <c r="C502" s="511"/>
      <c r="D502" s="511"/>
      <c r="E502" s="511"/>
      <c r="F502" s="511"/>
      <c r="G502" s="511"/>
      <c r="H502" s="511"/>
      <c r="I502" s="511"/>
      <c r="J502" s="511"/>
      <c r="K502" s="511"/>
      <c r="L502" s="511"/>
      <c r="M502" s="511"/>
      <c r="N502" s="511"/>
      <c r="O502" s="511"/>
      <c r="P502" s="511"/>
      <c r="Q502" s="511"/>
      <c r="R502" s="511"/>
      <c r="S502" s="511"/>
      <c r="T502" s="511"/>
      <c r="U502" s="511"/>
      <c r="V502" s="511"/>
      <c r="W502" s="511"/>
      <c r="X502" s="511"/>
      <c r="Y502" s="511"/>
      <c r="Z502" s="511"/>
      <c r="AA502" s="511"/>
      <c r="AB502" s="511"/>
      <c r="AC502" s="511"/>
      <c r="AD502" s="511"/>
      <c r="AE502" s="511"/>
      <c r="AF502" s="511"/>
      <c r="AG502" s="511"/>
      <c r="AH502" s="511"/>
      <c r="AI502" s="511"/>
      <c r="AJ502" s="511"/>
      <c r="AK502" s="511"/>
      <c r="AL502" s="511"/>
      <c r="AM502" s="511"/>
      <c r="AN502" s="511"/>
      <c r="AO502" s="511"/>
      <c r="AP502" s="511"/>
      <c r="AQ502" s="511"/>
      <c r="AR502" s="511"/>
      <c r="AS502" s="511"/>
      <c r="AT502" s="511"/>
      <c r="AU502" s="511"/>
      <c r="AV502" s="511"/>
      <c r="AW502" s="511"/>
      <c r="AX502" s="511"/>
      <c r="AY502" s="511"/>
      <c r="AZ502" s="511"/>
      <c r="BA502" s="511"/>
      <c r="BB502" s="511"/>
      <c r="BC502" s="511"/>
    </row>
    <row r="503" spans="1:55" ht="16.5" customHeight="1" x14ac:dyDescent="0.3">
      <c r="A503" s="511"/>
      <c r="B503" s="511"/>
      <c r="C503" s="511"/>
      <c r="D503" s="511"/>
      <c r="E503" s="511"/>
      <c r="F503" s="511"/>
      <c r="G503" s="511"/>
      <c r="H503" s="511"/>
      <c r="I503" s="511"/>
      <c r="J503" s="511"/>
      <c r="K503" s="511"/>
      <c r="L503" s="511"/>
      <c r="M503" s="511"/>
      <c r="N503" s="511"/>
      <c r="O503" s="511"/>
      <c r="P503" s="511"/>
      <c r="Q503" s="511"/>
      <c r="R503" s="511"/>
      <c r="S503" s="511"/>
      <c r="T503" s="511"/>
      <c r="U503" s="511"/>
      <c r="V503" s="511"/>
      <c r="W503" s="511"/>
      <c r="X503" s="511"/>
      <c r="Y503" s="511"/>
      <c r="Z503" s="511"/>
      <c r="AA503" s="511"/>
      <c r="AB503" s="511"/>
      <c r="AC503" s="511"/>
      <c r="AD503" s="511"/>
      <c r="AE503" s="511"/>
      <c r="AF503" s="511"/>
      <c r="AG503" s="511"/>
      <c r="AH503" s="511"/>
      <c r="AI503" s="511"/>
      <c r="AJ503" s="511"/>
      <c r="AK503" s="511"/>
      <c r="AL503" s="511"/>
      <c r="AM503" s="511"/>
      <c r="AN503" s="511"/>
      <c r="AO503" s="511"/>
      <c r="AP503" s="511"/>
      <c r="AQ503" s="511"/>
      <c r="AR503" s="511"/>
      <c r="AS503" s="511"/>
      <c r="AT503" s="511"/>
      <c r="AU503" s="511"/>
      <c r="AV503" s="511"/>
      <c r="AW503" s="511"/>
      <c r="AX503" s="511"/>
      <c r="AY503" s="511"/>
      <c r="AZ503" s="511"/>
      <c r="BA503" s="511"/>
      <c r="BB503" s="511"/>
      <c r="BC503" s="511"/>
    </row>
    <row r="504" spans="1:55" ht="16.5" customHeight="1" x14ac:dyDescent="0.3">
      <c r="A504" s="511"/>
      <c r="B504" s="511"/>
      <c r="C504" s="511"/>
      <c r="D504" s="511"/>
      <c r="E504" s="511"/>
      <c r="F504" s="511"/>
      <c r="G504" s="511"/>
      <c r="H504" s="511"/>
      <c r="I504" s="511"/>
      <c r="J504" s="511"/>
      <c r="K504" s="511"/>
      <c r="L504" s="511"/>
      <c r="M504" s="511"/>
      <c r="N504" s="511"/>
      <c r="O504" s="511"/>
      <c r="P504" s="511"/>
      <c r="Q504" s="511"/>
      <c r="R504" s="511"/>
      <c r="S504" s="511"/>
      <c r="T504" s="511"/>
      <c r="U504" s="511"/>
      <c r="V504" s="511"/>
      <c r="W504" s="511"/>
      <c r="X504" s="511"/>
      <c r="Y504" s="511"/>
      <c r="Z504" s="511"/>
      <c r="AA504" s="511"/>
      <c r="AB504" s="511"/>
      <c r="AC504" s="511"/>
      <c r="AD504" s="511"/>
      <c r="AE504" s="511"/>
      <c r="AF504" s="511"/>
      <c r="AG504" s="511"/>
      <c r="AH504" s="511"/>
      <c r="AI504" s="511"/>
      <c r="AJ504" s="511"/>
      <c r="AK504" s="511"/>
      <c r="AL504" s="511"/>
      <c r="AM504" s="511"/>
      <c r="AN504" s="511"/>
      <c r="AO504" s="511"/>
      <c r="AP504" s="511"/>
      <c r="AQ504" s="511"/>
      <c r="AR504" s="511"/>
      <c r="AS504" s="511"/>
      <c r="AT504" s="511"/>
      <c r="AU504" s="511"/>
      <c r="AV504" s="511"/>
      <c r="AW504" s="511"/>
      <c r="AX504" s="511"/>
      <c r="AY504" s="511"/>
      <c r="AZ504" s="511"/>
      <c r="BA504" s="511"/>
      <c r="BB504" s="511"/>
      <c r="BC504" s="511"/>
    </row>
    <row r="505" spans="1:55" ht="16.5" customHeight="1" x14ac:dyDescent="0.3">
      <c r="A505" s="511"/>
      <c r="B505" s="511"/>
      <c r="C505" s="511"/>
      <c r="D505" s="511"/>
      <c r="E505" s="511"/>
      <c r="F505" s="511"/>
      <c r="G505" s="511"/>
      <c r="H505" s="511"/>
      <c r="I505" s="511"/>
      <c r="J505" s="511"/>
      <c r="K505" s="511"/>
      <c r="L505" s="511"/>
      <c r="M505" s="511"/>
      <c r="N505" s="511"/>
      <c r="O505" s="511"/>
      <c r="P505" s="511"/>
      <c r="Q505" s="511"/>
      <c r="R505" s="511"/>
      <c r="S505" s="511"/>
      <c r="T505" s="511"/>
      <c r="U505" s="511"/>
      <c r="V505" s="511"/>
      <c r="W505" s="511"/>
      <c r="X505" s="511"/>
      <c r="Y505" s="511"/>
      <c r="Z505" s="511"/>
      <c r="AA505" s="511"/>
      <c r="AB505" s="511"/>
      <c r="AC505" s="511"/>
      <c r="AD505" s="511"/>
      <c r="AE505" s="511"/>
      <c r="AF505" s="511"/>
      <c r="AG505" s="511"/>
      <c r="AH505" s="511"/>
      <c r="AI505" s="511"/>
      <c r="AJ505" s="511"/>
      <c r="AK505" s="511"/>
      <c r="AL505" s="511"/>
      <c r="AM505" s="511"/>
      <c r="AN505" s="511"/>
      <c r="AO505" s="511"/>
      <c r="AP505" s="511"/>
      <c r="AQ505" s="511"/>
      <c r="AR505" s="511"/>
      <c r="AS505" s="511"/>
      <c r="AT505" s="511"/>
      <c r="AU505" s="511"/>
      <c r="AV505" s="511"/>
      <c r="AW505" s="511"/>
      <c r="AX505" s="511"/>
      <c r="AY505" s="511"/>
      <c r="AZ505" s="511"/>
      <c r="BA505" s="511"/>
      <c r="BB505" s="511"/>
      <c r="BC505" s="511"/>
    </row>
    <row r="506" spans="1:55" ht="16.5" customHeight="1" x14ac:dyDescent="0.3">
      <c r="A506" s="511"/>
      <c r="B506" s="511"/>
      <c r="C506" s="511"/>
      <c r="D506" s="511"/>
      <c r="E506" s="511"/>
      <c r="F506" s="511"/>
      <c r="G506" s="511"/>
      <c r="H506" s="511"/>
      <c r="I506" s="511"/>
      <c r="J506" s="511"/>
      <c r="K506" s="511"/>
      <c r="L506" s="511"/>
      <c r="M506" s="511"/>
      <c r="N506" s="511"/>
      <c r="O506" s="511"/>
      <c r="P506" s="511"/>
      <c r="Q506" s="511"/>
      <c r="R506" s="511"/>
      <c r="S506" s="511"/>
      <c r="T506" s="511"/>
      <c r="U506" s="511"/>
      <c r="V506" s="511"/>
      <c r="W506" s="511"/>
      <c r="X506" s="511"/>
      <c r="Y506" s="511"/>
      <c r="Z506" s="511"/>
      <c r="AA506" s="511"/>
      <c r="AB506" s="511"/>
      <c r="AC506" s="511"/>
      <c r="AD506" s="511"/>
      <c r="AE506" s="511"/>
      <c r="AF506" s="511"/>
      <c r="AG506" s="511"/>
      <c r="AH506" s="511"/>
      <c r="AI506" s="511"/>
      <c r="AJ506" s="511"/>
      <c r="AK506" s="511"/>
      <c r="AL506" s="511"/>
      <c r="AM506" s="511"/>
      <c r="AN506" s="511"/>
      <c r="AO506" s="511"/>
      <c r="AP506" s="511"/>
      <c r="AQ506" s="511"/>
      <c r="AR506" s="511"/>
      <c r="AS506" s="511"/>
      <c r="AT506" s="511"/>
      <c r="AU506" s="511"/>
      <c r="AV506" s="511"/>
      <c r="AW506" s="511"/>
      <c r="AX506" s="511"/>
      <c r="AY506" s="511"/>
      <c r="AZ506" s="511"/>
      <c r="BA506" s="511"/>
      <c r="BB506" s="511"/>
      <c r="BC506" s="511"/>
    </row>
    <row r="507" spans="1:55" ht="16.5" customHeight="1" x14ac:dyDescent="0.3">
      <c r="A507" s="511"/>
      <c r="B507" s="511"/>
      <c r="C507" s="511"/>
      <c r="D507" s="511"/>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c r="AA507" s="511"/>
      <c r="AB507" s="511"/>
      <c r="AC507" s="511"/>
      <c r="AD507" s="511"/>
      <c r="AE507" s="511"/>
      <c r="AF507" s="511"/>
      <c r="AG507" s="511"/>
      <c r="AH507" s="511"/>
      <c r="AI507" s="511"/>
      <c r="AJ507" s="511"/>
      <c r="AK507" s="511"/>
      <c r="AL507" s="511"/>
      <c r="AM507" s="511"/>
      <c r="AN507" s="511"/>
      <c r="AO507" s="511"/>
      <c r="AP507" s="511"/>
      <c r="AQ507" s="511"/>
      <c r="AR507" s="511"/>
      <c r="AS507" s="511"/>
      <c r="AT507" s="511"/>
      <c r="AU507" s="511"/>
      <c r="AV507" s="511"/>
      <c r="AW507" s="511"/>
      <c r="AX507" s="511"/>
      <c r="AY507" s="511"/>
      <c r="AZ507" s="511"/>
      <c r="BA507" s="511"/>
      <c r="BB507" s="511"/>
      <c r="BC507" s="511"/>
    </row>
    <row r="508" spans="1:55" ht="16.5" customHeight="1" x14ac:dyDescent="0.3">
      <c r="A508" s="511"/>
      <c r="B508" s="511"/>
      <c r="C508" s="511"/>
      <c r="D508" s="511"/>
      <c r="E508" s="511"/>
      <c r="F508" s="511"/>
      <c r="G508" s="511"/>
      <c r="H508" s="511"/>
      <c r="I508" s="511"/>
      <c r="J508" s="511"/>
      <c r="K508" s="511"/>
      <c r="L508" s="511"/>
      <c r="M508" s="511"/>
      <c r="N508" s="511"/>
      <c r="O508" s="511"/>
      <c r="P508" s="511"/>
      <c r="Q508" s="511"/>
      <c r="R508" s="511"/>
      <c r="S508" s="511"/>
      <c r="T508" s="511"/>
      <c r="U508" s="511"/>
      <c r="V508" s="511"/>
      <c r="W508" s="511"/>
      <c r="X508" s="511"/>
      <c r="Y508" s="511"/>
      <c r="Z508" s="511"/>
      <c r="AA508" s="511"/>
      <c r="AB508" s="511"/>
      <c r="AC508" s="511"/>
      <c r="AD508" s="511"/>
      <c r="AE508" s="511"/>
      <c r="AF508" s="511"/>
      <c r="AG508" s="511"/>
      <c r="AH508" s="511"/>
      <c r="AI508" s="511"/>
      <c r="AJ508" s="511"/>
      <c r="AK508" s="511"/>
      <c r="AL508" s="511"/>
      <c r="AM508" s="511"/>
      <c r="AN508" s="511"/>
      <c r="AO508" s="511"/>
      <c r="AP508" s="511"/>
      <c r="AQ508" s="511"/>
      <c r="AR508" s="511"/>
      <c r="AS508" s="511"/>
      <c r="AT508" s="511"/>
      <c r="AU508" s="511"/>
      <c r="AV508" s="511"/>
      <c r="AW508" s="511"/>
      <c r="AX508" s="511"/>
      <c r="AY508" s="511"/>
      <c r="AZ508" s="511"/>
      <c r="BA508" s="511"/>
      <c r="BB508" s="511"/>
      <c r="BC508" s="511"/>
    </row>
    <row r="509" spans="1:55" ht="16.5" customHeight="1" x14ac:dyDescent="0.3">
      <c r="A509" s="511"/>
      <c r="B509" s="511"/>
      <c r="C509" s="511"/>
      <c r="D509" s="511"/>
      <c r="E509" s="511"/>
      <c r="F509" s="511"/>
      <c r="G509" s="511"/>
      <c r="H509" s="511"/>
      <c r="I509" s="511"/>
      <c r="J509" s="511"/>
      <c r="K509" s="511"/>
      <c r="L509" s="511"/>
      <c r="M509" s="511"/>
      <c r="N509" s="511"/>
      <c r="O509" s="511"/>
      <c r="P509" s="511"/>
      <c r="Q509" s="511"/>
      <c r="R509" s="511"/>
      <c r="S509" s="511"/>
      <c r="T509" s="511"/>
      <c r="U509" s="511"/>
      <c r="V509" s="511"/>
      <c r="W509" s="511"/>
      <c r="X509" s="511"/>
      <c r="Y509" s="511"/>
      <c r="Z509" s="511"/>
      <c r="AA509" s="511"/>
      <c r="AB509" s="511"/>
      <c r="AC509" s="511"/>
      <c r="AD509" s="511"/>
      <c r="AE509" s="511"/>
      <c r="AF509" s="511"/>
      <c r="AG509" s="511"/>
      <c r="AH509" s="511"/>
      <c r="AI509" s="511"/>
      <c r="AJ509" s="511"/>
      <c r="AK509" s="511"/>
      <c r="AL509" s="511"/>
      <c r="AM509" s="511"/>
      <c r="AN509" s="511"/>
      <c r="AO509" s="511"/>
      <c r="AP509" s="511"/>
      <c r="AQ509" s="511"/>
      <c r="AR509" s="511"/>
      <c r="AS509" s="511"/>
      <c r="AT509" s="511"/>
      <c r="AU509" s="511"/>
      <c r="AV509" s="511"/>
      <c r="AW509" s="511"/>
      <c r="AX509" s="511"/>
      <c r="AY509" s="511"/>
      <c r="AZ509" s="511"/>
      <c r="BA509" s="511"/>
      <c r="BB509" s="511"/>
      <c r="BC509" s="511"/>
    </row>
    <row r="510" spans="1:55" ht="16.5" customHeight="1" x14ac:dyDescent="0.3">
      <c r="A510" s="511"/>
      <c r="B510" s="511"/>
      <c r="C510" s="511"/>
      <c r="D510" s="511"/>
      <c r="E510" s="511"/>
      <c r="F510" s="511"/>
      <c r="G510" s="511"/>
      <c r="H510" s="511"/>
      <c r="I510" s="511"/>
      <c r="J510" s="511"/>
      <c r="K510" s="511"/>
      <c r="L510" s="511"/>
      <c r="M510" s="511"/>
      <c r="N510" s="511"/>
      <c r="O510" s="511"/>
      <c r="P510" s="511"/>
      <c r="Q510" s="511"/>
      <c r="R510" s="511"/>
      <c r="S510" s="511"/>
      <c r="T510" s="511"/>
      <c r="U510" s="511"/>
      <c r="V510" s="511"/>
      <c r="W510" s="511"/>
      <c r="X510" s="511"/>
      <c r="Y510" s="511"/>
      <c r="Z510" s="511"/>
      <c r="AA510" s="511"/>
      <c r="AB510" s="511"/>
      <c r="AC510" s="511"/>
      <c r="AD510" s="511"/>
      <c r="AE510" s="511"/>
      <c r="AF510" s="511"/>
      <c r="AG510" s="511"/>
      <c r="AH510" s="511"/>
      <c r="AI510" s="511"/>
      <c r="AJ510" s="511"/>
      <c r="AK510" s="511"/>
      <c r="AL510" s="511"/>
      <c r="AM510" s="511"/>
      <c r="AN510" s="511"/>
      <c r="AO510" s="511"/>
      <c r="AP510" s="511"/>
      <c r="AQ510" s="511"/>
      <c r="AR510" s="511"/>
      <c r="AS510" s="511"/>
      <c r="AT510" s="511"/>
      <c r="AU510" s="511"/>
      <c r="AV510" s="511"/>
      <c r="AW510" s="511"/>
      <c r="AX510" s="511"/>
      <c r="AY510" s="511"/>
      <c r="AZ510" s="511"/>
      <c r="BA510" s="511"/>
      <c r="BB510" s="511"/>
      <c r="BC510" s="511"/>
    </row>
    <row r="511" spans="1:55" ht="16.5" customHeight="1" x14ac:dyDescent="0.3">
      <c r="A511" s="511"/>
      <c r="B511" s="511"/>
      <c r="C511" s="511"/>
      <c r="D511" s="511"/>
      <c r="E511" s="511"/>
      <c r="F511" s="511"/>
      <c r="G511" s="511"/>
      <c r="H511" s="511"/>
      <c r="I511" s="511"/>
      <c r="J511" s="511"/>
      <c r="K511" s="511"/>
      <c r="L511" s="511"/>
      <c r="M511" s="511"/>
      <c r="N511" s="511"/>
      <c r="O511" s="511"/>
      <c r="P511" s="511"/>
      <c r="Q511" s="511"/>
      <c r="R511" s="511"/>
      <c r="S511" s="511"/>
      <c r="T511" s="511"/>
      <c r="U511" s="511"/>
      <c r="V511" s="511"/>
      <c r="W511" s="511"/>
      <c r="X511" s="511"/>
      <c r="Y511" s="511"/>
      <c r="Z511" s="511"/>
      <c r="AA511" s="511"/>
      <c r="AB511" s="511"/>
      <c r="AC511" s="511"/>
      <c r="AD511" s="511"/>
      <c r="AE511" s="511"/>
      <c r="AF511" s="511"/>
      <c r="AG511" s="511"/>
      <c r="AH511" s="511"/>
      <c r="AI511" s="511"/>
      <c r="AJ511" s="511"/>
      <c r="AK511" s="511"/>
      <c r="AL511" s="511"/>
      <c r="AM511" s="511"/>
      <c r="AN511" s="511"/>
      <c r="AO511" s="511"/>
      <c r="AP511" s="511"/>
      <c r="AQ511" s="511"/>
      <c r="AR511" s="511"/>
      <c r="AS511" s="511"/>
      <c r="AT511" s="511"/>
      <c r="AU511" s="511"/>
      <c r="AV511" s="511"/>
      <c r="AW511" s="511"/>
      <c r="AX511" s="511"/>
      <c r="AY511" s="511"/>
      <c r="AZ511" s="511"/>
      <c r="BA511" s="511"/>
      <c r="BB511" s="511"/>
      <c r="BC511" s="511"/>
    </row>
    <row r="512" spans="1:55" ht="16.5" customHeight="1" x14ac:dyDescent="0.3">
      <c r="A512" s="511"/>
      <c r="B512" s="511"/>
      <c r="C512" s="511"/>
      <c r="D512" s="511"/>
      <c r="E512" s="511"/>
      <c r="F512" s="511"/>
      <c r="G512" s="511"/>
      <c r="H512" s="511"/>
      <c r="I512" s="511"/>
      <c r="J512" s="511"/>
      <c r="K512" s="511"/>
      <c r="L512" s="511"/>
      <c r="M512" s="511"/>
      <c r="N512" s="511"/>
      <c r="O512" s="511"/>
      <c r="P512" s="511"/>
      <c r="Q512" s="511"/>
      <c r="R512" s="511"/>
      <c r="S512" s="511"/>
      <c r="T512" s="511"/>
      <c r="U512" s="511"/>
      <c r="V512" s="511"/>
      <c r="W512" s="511"/>
      <c r="X512" s="511"/>
      <c r="Y512" s="511"/>
      <c r="Z512" s="511"/>
      <c r="AA512" s="511"/>
      <c r="AB512" s="511"/>
      <c r="AC512" s="511"/>
      <c r="AD512" s="511"/>
      <c r="AE512" s="511"/>
      <c r="AF512" s="511"/>
      <c r="AG512" s="511"/>
      <c r="AH512" s="511"/>
      <c r="AI512" s="511"/>
      <c r="AJ512" s="511"/>
      <c r="AK512" s="511"/>
      <c r="AL512" s="511"/>
      <c r="AM512" s="511"/>
      <c r="AN512" s="511"/>
      <c r="AO512" s="511"/>
      <c r="AP512" s="511"/>
      <c r="AQ512" s="511"/>
      <c r="AR512" s="511"/>
      <c r="AS512" s="511"/>
      <c r="AT512" s="511"/>
      <c r="AU512" s="511"/>
      <c r="AV512" s="511"/>
      <c r="AW512" s="511"/>
      <c r="AX512" s="511"/>
      <c r="AY512" s="511"/>
      <c r="AZ512" s="511"/>
      <c r="BA512" s="511"/>
      <c r="BB512" s="511"/>
      <c r="BC512" s="511"/>
    </row>
    <row r="513" spans="1:55" ht="16.5" customHeight="1" x14ac:dyDescent="0.3">
      <c r="A513" s="511"/>
      <c r="B513" s="511"/>
      <c r="C513" s="511"/>
      <c r="D513" s="511"/>
      <c r="E513" s="511"/>
      <c r="F513" s="511"/>
      <c r="G513" s="511"/>
      <c r="H513" s="511"/>
      <c r="I513" s="511"/>
      <c r="J513" s="511"/>
      <c r="K513" s="511"/>
      <c r="L513" s="511"/>
      <c r="M513" s="511"/>
      <c r="N513" s="511"/>
      <c r="O513" s="511"/>
      <c r="P513" s="511"/>
      <c r="Q513" s="511"/>
      <c r="R513" s="511"/>
      <c r="S513" s="511"/>
      <c r="T513" s="511"/>
      <c r="U513" s="511"/>
      <c r="V513" s="511"/>
      <c r="W513" s="511"/>
      <c r="X513" s="511"/>
      <c r="Y513" s="511"/>
      <c r="Z513" s="511"/>
      <c r="AA513" s="511"/>
      <c r="AB513" s="511"/>
      <c r="AC513" s="511"/>
      <c r="AD513" s="511"/>
      <c r="AE513" s="511"/>
      <c r="AF513" s="511"/>
      <c r="AG513" s="511"/>
      <c r="AH513" s="511"/>
      <c r="AI513" s="511"/>
      <c r="AJ513" s="511"/>
      <c r="AK513" s="511"/>
      <c r="AL513" s="511"/>
      <c r="AM513" s="511"/>
      <c r="AN513" s="511"/>
      <c r="AO513" s="511"/>
      <c r="AP513" s="511"/>
      <c r="AQ513" s="511"/>
      <c r="AR513" s="511"/>
      <c r="AS513" s="511"/>
      <c r="AT513" s="511"/>
      <c r="AU513" s="511"/>
      <c r="AV513" s="511"/>
      <c r="AW513" s="511"/>
      <c r="AX513" s="511"/>
      <c r="AY513" s="511"/>
      <c r="AZ513" s="511"/>
      <c r="BA513" s="511"/>
      <c r="BB513" s="511"/>
      <c r="BC513" s="511"/>
    </row>
    <row r="514" spans="1:55" ht="16.5" customHeight="1" x14ac:dyDescent="0.3">
      <c r="A514" s="511"/>
      <c r="B514" s="511"/>
      <c r="C514" s="511"/>
      <c r="D514" s="511"/>
      <c r="E514" s="511"/>
      <c r="F514" s="511"/>
      <c r="G514" s="511"/>
      <c r="H514" s="511"/>
      <c r="I514" s="511"/>
      <c r="J514" s="511"/>
      <c r="K514" s="511"/>
      <c r="L514" s="511"/>
      <c r="M514" s="511"/>
      <c r="N514" s="511"/>
      <c r="O514" s="511"/>
      <c r="P514" s="511"/>
      <c r="Q514" s="511"/>
      <c r="R514" s="511"/>
      <c r="S514" s="511"/>
      <c r="T514" s="511"/>
      <c r="U514" s="511"/>
      <c r="V514" s="511"/>
      <c r="W514" s="511"/>
      <c r="X514" s="511"/>
      <c r="Y514" s="511"/>
      <c r="Z514" s="511"/>
      <c r="AA514" s="511"/>
      <c r="AB514" s="511"/>
      <c r="AC514" s="511"/>
      <c r="AD514" s="511"/>
      <c r="AE514" s="511"/>
      <c r="AF514" s="511"/>
      <c r="AG514" s="511"/>
      <c r="AH514" s="511"/>
      <c r="AI514" s="511"/>
      <c r="AJ514" s="511"/>
      <c r="AK514" s="511"/>
      <c r="AL514" s="511"/>
      <c r="AM514" s="511"/>
      <c r="AN514" s="511"/>
      <c r="AO514" s="511"/>
      <c r="AP514" s="511"/>
      <c r="AQ514" s="511"/>
      <c r="AR514" s="511"/>
      <c r="AS514" s="511"/>
      <c r="AT514" s="511"/>
      <c r="AU514" s="511"/>
      <c r="AV514" s="511"/>
      <c r="AW514" s="511"/>
      <c r="AX514" s="511"/>
      <c r="AY514" s="511"/>
      <c r="AZ514" s="511"/>
      <c r="BA514" s="511"/>
      <c r="BB514" s="511"/>
      <c r="BC514" s="511"/>
    </row>
    <row r="515" spans="1:55" ht="16.5" customHeight="1" x14ac:dyDescent="0.3">
      <c r="A515" s="511"/>
      <c r="B515" s="511"/>
      <c r="C515" s="511"/>
      <c r="D515" s="511"/>
      <c r="E515" s="511"/>
      <c r="F515" s="511"/>
      <c r="G515" s="511"/>
      <c r="H515" s="511"/>
      <c r="I515" s="511"/>
      <c r="J515" s="511"/>
      <c r="K515" s="511"/>
      <c r="L515" s="511"/>
      <c r="M515" s="511"/>
      <c r="N515" s="511"/>
      <c r="O515" s="511"/>
      <c r="P515" s="511"/>
      <c r="Q515" s="511"/>
      <c r="R515" s="511"/>
      <c r="S515" s="511"/>
      <c r="T515" s="511"/>
      <c r="U515" s="511"/>
      <c r="V515" s="511"/>
      <c r="W515" s="511"/>
      <c r="X515" s="511"/>
      <c r="Y515" s="511"/>
      <c r="Z515" s="511"/>
      <c r="AA515" s="511"/>
      <c r="AB515" s="511"/>
      <c r="AC515" s="511"/>
      <c r="AD515" s="511"/>
      <c r="AE515" s="511"/>
      <c r="AF515" s="511"/>
      <c r="AG515" s="511"/>
      <c r="AH515" s="511"/>
      <c r="AI515" s="511"/>
      <c r="AJ515" s="511"/>
      <c r="AK515" s="511"/>
      <c r="AL515" s="511"/>
      <c r="AM515" s="511"/>
      <c r="AN515" s="511"/>
      <c r="AO515" s="511"/>
      <c r="AP515" s="511"/>
      <c r="AQ515" s="511"/>
      <c r="AR515" s="511"/>
      <c r="AS515" s="511"/>
      <c r="AT515" s="511"/>
      <c r="AU515" s="511"/>
      <c r="AV515" s="511"/>
      <c r="AW515" s="511"/>
      <c r="AX515" s="511"/>
      <c r="AY515" s="511"/>
      <c r="AZ515" s="511"/>
      <c r="BA515" s="511"/>
      <c r="BB515" s="511"/>
      <c r="BC515" s="511"/>
    </row>
    <row r="516" spans="1:55" ht="16.5" customHeight="1" x14ac:dyDescent="0.3">
      <c r="A516" s="511"/>
      <c r="B516" s="511"/>
      <c r="C516" s="511"/>
      <c r="D516" s="511"/>
      <c r="E516" s="511"/>
      <c r="F516" s="511"/>
      <c r="G516" s="511"/>
      <c r="H516" s="511"/>
      <c r="I516" s="511"/>
      <c r="J516" s="511"/>
      <c r="K516" s="511"/>
      <c r="L516" s="511"/>
      <c r="M516" s="511"/>
      <c r="N516" s="511"/>
      <c r="O516" s="511"/>
      <c r="P516" s="511"/>
      <c r="Q516" s="511"/>
      <c r="R516" s="511"/>
      <c r="S516" s="511"/>
      <c r="T516" s="511"/>
      <c r="U516" s="511"/>
      <c r="V516" s="511"/>
      <c r="W516" s="511"/>
      <c r="X516" s="511"/>
      <c r="Y516" s="511"/>
      <c r="Z516" s="511"/>
      <c r="AA516" s="511"/>
      <c r="AB516" s="511"/>
      <c r="AC516" s="511"/>
      <c r="AD516" s="511"/>
      <c r="AE516" s="511"/>
      <c r="AF516" s="511"/>
      <c r="AG516" s="511"/>
      <c r="AH516" s="511"/>
      <c r="AI516" s="511"/>
      <c r="AJ516" s="511"/>
      <c r="AK516" s="511"/>
      <c r="AL516" s="511"/>
      <c r="AM516" s="511"/>
      <c r="AN516" s="511"/>
      <c r="AO516" s="511"/>
      <c r="AP516" s="511"/>
      <c r="AQ516" s="511"/>
      <c r="AR516" s="511"/>
      <c r="AS516" s="511"/>
      <c r="AT516" s="511"/>
      <c r="AU516" s="511"/>
      <c r="AV516" s="511"/>
      <c r="AW516" s="511"/>
      <c r="AX516" s="511"/>
      <c r="AY516" s="511"/>
      <c r="AZ516" s="511"/>
      <c r="BA516" s="511"/>
      <c r="BB516" s="511"/>
      <c r="BC516" s="511"/>
    </row>
    <row r="517" spans="1:55" ht="16.5" customHeight="1" x14ac:dyDescent="0.3">
      <c r="A517" s="511"/>
      <c r="B517" s="511"/>
      <c r="C517" s="511"/>
      <c r="D517" s="511"/>
      <c r="E517" s="511"/>
      <c r="F517" s="511"/>
      <c r="G517" s="511"/>
      <c r="H517" s="511"/>
      <c r="I517" s="511"/>
      <c r="J517" s="511"/>
      <c r="K517" s="511"/>
      <c r="L517" s="511"/>
      <c r="M517" s="511"/>
      <c r="N517" s="511"/>
      <c r="O517" s="511"/>
      <c r="P517" s="511"/>
      <c r="Q517" s="511"/>
      <c r="R517" s="511"/>
      <c r="S517" s="511"/>
      <c r="T517" s="511"/>
      <c r="U517" s="511"/>
      <c r="V517" s="511"/>
      <c r="W517" s="511"/>
      <c r="X517" s="511"/>
      <c r="Y517" s="511"/>
      <c r="Z517" s="511"/>
      <c r="AA517" s="511"/>
      <c r="AB517" s="511"/>
      <c r="AC517" s="511"/>
      <c r="AD517" s="511"/>
      <c r="AE517" s="511"/>
      <c r="AF517" s="511"/>
      <c r="AG517" s="511"/>
      <c r="AH517" s="511"/>
      <c r="AI517" s="511"/>
      <c r="AJ517" s="511"/>
      <c r="AK517" s="511"/>
      <c r="AL517" s="511"/>
      <c r="AM517" s="511"/>
      <c r="AN517" s="511"/>
      <c r="AO517" s="511"/>
      <c r="AP517" s="511"/>
      <c r="AQ517" s="511"/>
      <c r="AR517" s="511"/>
      <c r="AS517" s="511"/>
      <c r="AT517" s="511"/>
      <c r="AU517" s="511"/>
      <c r="AV517" s="511"/>
      <c r="AW517" s="511"/>
      <c r="AX517" s="511"/>
      <c r="AY517" s="511"/>
      <c r="AZ517" s="511"/>
      <c r="BA517" s="511"/>
      <c r="BB517" s="511"/>
      <c r="BC517" s="511"/>
    </row>
    <row r="518" spans="1:55" ht="16.5" customHeight="1" x14ac:dyDescent="0.3">
      <c r="A518" s="511"/>
      <c r="B518" s="511"/>
      <c r="C518" s="511"/>
      <c r="D518" s="511"/>
      <c r="E518" s="511"/>
      <c r="F518" s="511"/>
      <c r="G518" s="511"/>
      <c r="H518" s="511"/>
      <c r="I518" s="511"/>
      <c r="J518" s="511"/>
      <c r="K518" s="511"/>
      <c r="L518" s="511"/>
      <c r="M518" s="511"/>
      <c r="N518" s="511"/>
      <c r="O518" s="511"/>
      <c r="P518" s="511"/>
      <c r="Q518" s="511"/>
      <c r="R518" s="511"/>
      <c r="S518" s="511"/>
      <c r="T518" s="511"/>
      <c r="U518" s="511"/>
      <c r="V518" s="511"/>
      <c r="W518" s="511"/>
      <c r="X518" s="511"/>
      <c r="Y518" s="511"/>
      <c r="Z518" s="511"/>
      <c r="AA518" s="511"/>
      <c r="AB518" s="511"/>
      <c r="AC518" s="511"/>
      <c r="AD518" s="511"/>
      <c r="AE518" s="511"/>
      <c r="AF518" s="511"/>
      <c r="AG518" s="511"/>
      <c r="AH518" s="511"/>
      <c r="AI518" s="511"/>
      <c r="AJ518" s="511"/>
      <c r="AK518" s="511"/>
      <c r="AL518" s="511"/>
      <c r="AM518" s="511"/>
      <c r="AN518" s="511"/>
      <c r="AO518" s="511"/>
      <c r="AP518" s="511"/>
      <c r="AQ518" s="511"/>
      <c r="AR518" s="511"/>
      <c r="AS518" s="511"/>
      <c r="AT518" s="511"/>
      <c r="AU518" s="511"/>
      <c r="AV518" s="511"/>
      <c r="AW518" s="511"/>
      <c r="AX518" s="511"/>
      <c r="AY518" s="511"/>
      <c r="AZ518" s="511"/>
      <c r="BA518" s="511"/>
      <c r="BB518" s="511"/>
      <c r="BC518" s="511"/>
    </row>
    <row r="519" spans="1:55" ht="16.5" customHeight="1" x14ac:dyDescent="0.3">
      <c r="A519" s="511"/>
      <c r="B519" s="511"/>
      <c r="C519" s="511"/>
      <c r="D519" s="511"/>
      <c r="E519" s="511"/>
      <c r="F519" s="511"/>
      <c r="G519" s="511"/>
      <c r="H519" s="511"/>
      <c r="I519" s="511"/>
      <c r="J519" s="511"/>
      <c r="K519" s="511"/>
      <c r="L519" s="511"/>
      <c r="M519" s="511"/>
      <c r="N519" s="511"/>
      <c r="O519" s="511"/>
      <c r="P519" s="511"/>
      <c r="Q519" s="511"/>
      <c r="R519" s="511"/>
      <c r="S519" s="511"/>
      <c r="T519" s="511"/>
      <c r="U519" s="511"/>
      <c r="V519" s="511"/>
      <c r="W519" s="511"/>
      <c r="X519" s="511"/>
      <c r="Y519" s="511"/>
      <c r="Z519" s="511"/>
      <c r="AA519" s="511"/>
      <c r="AB519" s="511"/>
      <c r="AC519" s="511"/>
      <c r="AD519" s="511"/>
      <c r="AE519" s="511"/>
      <c r="AF519" s="511"/>
      <c r="AG519" s="511"/>
      <c r="AH519" s="511"/>
      <c r="AI519" s="511"/>
      <c r="AJ519" s="511"/>
      <c r="AK519" s="511"/>
      <c r="AL519" s="511"/>
      <c r="AM519" s="511"/>
      <c r="AN519" s="511"/>
      <c r="AO519" s="511"/>
      <c r="AP519" s="511"/>
      <c r="AQ519" s="511"/>
      <c r="AR519" s="511"/>
      <c r="AS519" s="511"/>
      <c r="AT519" s="511"/>
      <c r="AU519" s="511"/>
      <c r="AV519" s="511"/>
      <c r="AW519" s="511"/>
      <c r="AX519" s="511"/>
      <c r="AY519" s="511"/>
      <c r="AZ519" s="511"/>
      <c r="BA519" s="511"/>
      <c r="BB519" s="511"/>
      <c r="BC519" s="511"/>
    </row>
    <row r="520" spans="1:55" ht="16.5" customHeight="1" x14ac:dyDescent="0.3">
      <c r="A520" s="511"/>
      <c r="B520" s="511"/>
      <c r="C520" s="511"/>
      <c r="D520" s="511"/>
      <c r="E520" s="511"/>
      <c r="F520" s="511"/>
      <c r="G520" s="511"/>
      <c r="H520" s="511"/>
      <c r="I520" s="511"/>
      <c r="J520" s="511"/>
      <c r="K520" s="511"/>
      <c r="L520" s="511"/>
      <c r="M520" s="511"/>
      <c r="N520" s="511"/>
      <c r="O520" s="511"/>
      <c r="P520" s="511"/>
      <c r="Q520" s="511"/>
      <c r="R520" s="511"/>
      <c r="S520" s="511"/>
      <c r="T520" s="511"/>
      <c r="U520" s="511"/>
      <c r="V520" s="511"/>
      <c r="W520" s="511"/>
      <c r="X520" s="511"/>
      <c r="Y520" s="511"/>
      <c r="Z520" s="511"/>
      <c r="AA520" s="511"/>
      <c r="AB520" s="511"/>
      <c r="AC520" s="511"/>
      <c r="AD520" s="511"/>
      <c r="AE520" s="511"/>
      <c r="AF520" s="511"/>
      <c r="AG520" s="511"/>
      <c r="AH520" s="511"/>
      <c r="AI520" s="511"/>
      <c r="AJ520" s="511"/>
      <c r="AK520" s="511"/>
      <c r="AL520" s="511"/>
      <c r="AM520" s="511"/>
      <c r="AN520" s="511"/>
      <c r="AO520" s="511"/>
      <c r="AP520" s="511"/>
      <c r="AQ520" s="511"/>
      <c r="AR520" s="511"/>
      <c r="AS520" s="511"/>
      <c r="AT520" s="511"/>
      <c r="AU520" s="511"/>
      <c r="AV520" s="511"/>
      <c r="AW520" s="511"/>
      <c r="AX520" s="511"/>
      <c r="AY520" s="511"/>
      <c r="AZ520" s="511"/>
      <c r="BA520" s="511"/>
      <c r="BB520" s="511"/>
      <c r="BC520" s="511"/>
    </row>
    <row r="521" spans="1:55" ht="16.5" customHeight="1" x14ac:dyDescent="0.3">
      <c r="A521" s="511"/>
      <c r="B521" s="511"/>
      <c r="C521" s="511"/>
      <c r="D521" s="511"/>
      <c r="E521" s="511"/>
      <c r="F521" s="511"/>
      <c r="G521" s="511"/>
      <c r="H521" s="511"/>
      <c r="I521" s="511"/>
      <c r="J521" s="511"/>
      <c r="K521" s="511"/>
      <c r="L521" s="511"/>
      <c r="M521" s="511"/>
      <c r="N521" s="511"/>
      <c r="O521" s="511"/>
      <c r="P521" s="511"/>
      <c r="Q521" s="511"/>
      <c r="R521" s="511"/>
      <c r="S521" s="511"/>
      <c r="T521" s="511"/>
      <c r="U521" s="511"/>
      <c r="V521" s="511"/>
      <c r="W521" s="511"/>
      <c r="X521" s="511"/>
      <c r="Y521" s="511"/>
      <c r="Z521" s="511"/>
      <c r="AA521" s="511"/>
      <c r="AB521" s="511"/>
      <c r="AC521" s="511"/>
      <c r="AD521" s="511"/>
      <c r="AE521" s="511"/>
      <c r="AF521" s="511"/>
      <c r="AG521" s="511"/>
      <c r="AH521" s="511"/>
      <c r="AI521" s="511"/>
      <c r="AJ521" s="511"/>
      <c r="AK521" s="511"/>
      <c r="AL521" s="511"/>
      <c r="AM521" s="511"/>
      <c r="AN521" s="511"/>
      <c r="AO521" s="511"/>
      <c r="AP521" s="511"/>
      <c r="AQ521" s="511"/>
      <c r="AR521" s="511"/>
      <c r="AS521" s="511"/>
      <c r="AT521" s="511"/>
      <c r="AU521" s="511"/>
      <c r="AV521" s="511"/>
      <c r="AW521" s="511"/>
      <c r="AX521" s="511"/>
      <c r="AY521" s="511"/>
      <c r="AZ521" s="511"/>
      <c r="BA521" s="511"/>
      <c r="BB521" s="511"/>
      <c r="BC521" s="511"/>
    </row>
    <row r="522" spans="1:55" ht="16.5" customHeight="1" x14ac:dyDescent="0.3">
      <c r="A522" s="511"/>
      <c r="B522" s="511"/>
      <c r="C522" s="511"/>
      <c r="D522" s="511"/>
      <c r="E522" s="511"/>
      <c r="F522" s="511"/>
      <c r="G522" s="511"/>
      <c r="H522" s="511"/>
      <c r="I522" s="511"/>
      <c r="J522" s="511"/>
      <c r="K522" s="511"/>
      <c r="L522" s="511"/>
      <c r="M522" s="511"/>
      <c r="N522" s="511"/>
      <c r="O522" s="511"/>
      <c r="P522" s="511"/>
      <c r="Q522" s="511"/>
      <c r="R522" s="511"/>
      <c r="S522" s="511"/>
      <c r="T522" s="511"/>
      <c r="U522" s="511"/>
      <c r="V522" s="511"/>
      <c r="W522" s="511"/>
      <c r="X522" s="511"/>
      <c r="Y522" s="511"/>
      <c r="Z522" s="511"/>
      <c r="AA522" s="511"/>
      <c r="AB522" s="511"/>
      <c r="AC522" s="511"/>
      <c r="AD522" s="511"/>
      <c r="AE522" s="511"/>
      <c r="AF522" s="511"/>
      <c r="AG522" s="511"/>
      <c r="AH522" s="511"/>
      <c r="AI522" s="511"/>
      <c r="AJ522" s="511"/>
      <c r="AK522" s="511"/>
      <c r="AL522" s="511"/>
      <c r="AM522" s="511"/>
      <c r="AN522" s="511"/>
      <c r="AO522" s="511"/>
      <c r="AP522" s="511"/>
      <c r="AQ522" s="511"/>
      <c r="AR522" s="511"/>
      <c r="AS522" s="511"/>
      <c r="AT522" s="511"/>
      <c r="AU522" s="511"/>
      <c r="AV522" s="511"/>
      <c r="AW522" s="511"/>
      <c r="AX522" s="511"/>
      <c r="AY522" s="511"/>
      <c r="AZ522" s="511"/>
      <c r="BA522" s="511"/>
      <c r="BB522" s="511"/>
      <c r="BC522" s="511"/>
    </row>
    <row r="523" spans="1:55" ht="16.5" customHeight="1" x14ac:dyDescent="0.3">
      <c r="A523" s="511"/>
      <c r="B523" s="511"/>
      <c r="C523" s="511"/>
      <c r="D523" s="511"/>
      <c r="E523" s="511"/>
      <c r="F523" s="511"/>
      <c r="G523" s="511"/>
      <c r="H523" s="511"/>
      <c r="I523" s="511"/>
      <c r="J523" s="511"/>
      <c r="K523" s="511"/>
      <c r="L523" s="511"/>
      <c r="M523" s="511"/>
      <c r="N523" s="511"/>
      <c r="O523" s="511"/>
      <c r="P523" s="511"/>
      <c r="Q523" s="511"/>
      <c r="R523" s="511"/>
      <c r="S523" s="511"/>
      <c r="T523" s="511"/>
      <c r="U523" s="511"/>
      <c r="V523" s="511"/>
      <c r="W523" s="511"/>
      <c r="X523" s="511"/>
      <c r="Y523" s="511"/>
      <c r="Z523" s="511"/>
      <c r="AA523" s="511"/>
      <c r="AB523" s="511"/>
      <c r="AC523" s="511"/>
      <c r="AD523" s="511"/>
      <c r="AE523" s="511"/>
      <c r="AF523" s="511"/>
      <c r="AG523" s="511"/>
      <c r="AH523" s="511"/>
      <c r="AI523" s="511"/>
      <c r="AJ523" s="511"/>
      <c r="AK523" s="511"/>
      <c r="AL523" s="511"/>
      <c r="AM523" s="511"/>
      <c r="AN523" s="511"/>
      <c r="AO523" s="511"/>
      <c r="AP523" s="511"/>
      <c r="AQ523" s="511"/>
      <c r="AR523" s="511"/>
      <c r="AS523" s="511"/>
      <c r="AT523" s="511"/>
      <c r="AU523" s="511"/>
      <c r="AV523" s="511"/>
      <c r="AW523" s="511"/>
      <c r="AX523" s="511"/>
      <c r="AY523" s="511"/>
      <c r="AZ523" s="511"/>
      <c r="BA523" s="511"/>
      <c r="BB523" s="511"/>
      <c r="BC523" s="511"/>
    </row>
    <row r="524" spans="1:55" ht="16.5" customHeight="1" x14ac:dyDescent="0.3">
      <c r="A524" s="511"/>
      <c r="B524" s="511"/>
      <c r="C524" s="511"/>
      <c r="D524" s="511"/>
      <c r="E524" s="511"/>
      <c r="F524" s="511"/>
      <c r="G524" s="511"/>
      <c r="H524" s="511"/>
      <c r="I524" s="511"/>
      <c r="J524" s="511"/>
      <c r="K524" s="511"/>
      <c r="L524" s="511"/>
      <c r="M524" s="511"/>
      <c r="N524" s="511"/>
      <c r="O524" s="511"/>
      <c r="P524" s="511"/>
      <c r="Q524" s="511"/>
      <c r="R524" s="511"/>
      <c r="S524" s="511"/>
      <c r="T524" s="511"/>
      <c r="U524" s="511"/>
      <c r="V524" s="511"/>
      <c r="W524" s="511"/>
      <c r="X524" s="511"/>
      <c r="Y524" s="511"/>
      <c r="Z524" s="511"/>
      <c r="AA524" s="511"/>
      <c r="AB524" s="511"/>
      <c r="AC524" s="511"/>
      <c r="AD524" s="511"/>
      <c r="AE524" s="511"/>
      <c r="AF524" s="511"/>
      <c r="AG524" s="511"/>
      <c r="AH524" s="511"/>
      <c r="AI524" s="511"/>
      <c r="AJ524" s="511"/>
      <c r="AK524" s="511"/>
      <c r="AL524" s="511"/>
      <c r="AM524" s="511"/>
      <c r="AN524" s="511"/>
      <c r="AO524" s="511"/>
      <c r="AP524" s="511"/>
      <c r="AQ524" s="511"/>
      <c r="AR524" s="511"/>
      <c r="AS524" s="511"/>
      <c r="AT524" s="511"/>
      <c r="AU524" s="511"/>
      <c r="AV524" s="511"/>
      <c r="AW524" s="511"/>
      <c r="AX524" s="511"/>
      <c r="AY524" s="511"/>
      <c r="AZ524" s="511"/>
      <c r="BA524" s="511"/>
      <c r="BB524" s="511"/>
      <c r="BC524" s="511"/>
    </row>
    <row r="525" spans="1:55" ht="16.5" customHeight="1" x14ac:dyDescent="0.3">
      <c r="A525" s="511"/>
      <c r="B525" s="511"/>
      <c r="C525" s="511"/>
      <c r="D525" s="511"/>
      <c r="E525" s="511"/>
      <c r="F525" s="511"/>
      <c r="G525" s="511"/>
      <c r="H525" s="511"/>
      <c r="I525" s="511"/>
      <c r="J525" s="511"/>
      <c r="K525" s="511"/>
      <c r="L525" s="511"/>
      <c r="M525" s="511"/>
      <c r="N525" s="511"/>
      <c r="O525" s="511"/>
      <c r="P525" s="511"/>
      <c r="Q525" s="511"/>
      <c r="R525" s="511"/>
      <c r="S525" s="511"/>
      <c r="T525" s="511"/>
      <c r="U525" s="511"/>
      <c r="V525" s="511"/>
      <c r="W525" s="511"/>
      <c r="X525" s="511"/>
      <c r="Y525" s="511"/>
      <c r="Z525" s="511"/>
      <c r="AA525" s="511"/>
      <c r="AB525" s="511"/>
      <c r="AC525" s="511"/>
      <c r="AD525" s="511"/>
      <c r="AE525" s="511"/>
      <c r="AF525" s="511"/>
      <c r="AG525" s="511"/>
      <c r="AH525" s="511"/>
      <c r="AI525" s="511"/>
      <c r="AJ525" s="511"/>
      <c r="AK525" s="511"/>
      <c r="AL525" s="511"/>
      <c r="AM525" s="511"/>
      <c r="AN525" s="511"/>
      <c r="AO525" s="511"/>
      <c r="AP525" s="511"/>
      <c r="AQ525" s="511"/>
      <c r="AR525" s="511"/>
      <c r="AS525" s="511"/>
      <c r="AT525" s="511"/>
      <c r="AU525" s="511"/>
      <c r="AV525" s="511"/>
      <c r="AW525" s="511"/>
      <c r="AX525" s="511"/>
      <c r="AY525" s="511"/>
      <c r="AZ525" s="511"/>
      <c r="BA525" s="511"/>
      <c r="BB525" s="511"/>
      <c r="BC525" s="511"/>
    </row>
    <row r="526" spans="1:55" ht="16.5" customHeight="1" x14ac:dyDescent="0.3">
      <c r="A526" s="511"/>
      <c r="B526" s="511"/>
      <c r="C526" s="511"/>
      <c r="D526" s="511"/>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c r="AA526" s="511"/>
      <c r="AB526" s="511"/>
      <c r="AC526" s="511"/>
      <c r="AD526" s="511"/>
      <c r="AE526" s="511"/>
      <c r="AF526" s="511"/>
      <c r="AG526" s="511"/>
      <c r="AH526" s="511"/>
      <c r="AI526" s="511"/>
      <c r="AJ526" s="511"/>
      <c r="AK526" s="511"/>
      <c r="AL526" s="511"/>
      <c r="AM526" s="511"/>
      <c r="AN526" s="511"/>
      <c r="AO526" s="511"/>
      <c r="AP526" s="511"/>
      <c r="AQ526" s="511"/>
      <c r="AR526" s="511"/>
      <c r="AS526" s="511"/>
      <c r="AT526" s="511"/>
      <c r="AU526" s="511"/>
      <c r="AV526" s="511"/>
      <c r="AW526" s="511"/>
      <c r="AX526" s="511"/>
      <c r="AY526" s="511"/>
      <c r="AZ526" s="511"/>
      <c r="BA526" s="511"/>
      <c r="BB526" s="511"/>
      <c r="BC526" s="511"/>
    </row>
    <row r="527" spans="1:55" ht="16.5" customHeight="1" x14ac:dyDescent="0.3">
      <c r="A527" s="511"/>
      <c r="B527" s="511"/>
      <c r="C527" s="511"/>
      <c r="D527" s="511"/>
      <c r="E527" s="511"/>
      <c r="F527" s="511"/>
      <c r="G527" s="511"/>
      <c r="H527" s="511"/>
      <c r="I527" s="511"/>
      <c r="J527" s="511"/>
      <c r="K527" s="511"/>
      <c r="L527" s="511"/>
      <c r="M527" s="511"/>
      <c r="N527" s="511"/>
      <c r="O527" s="511"/>
      <c r="P527" s="511"/>
      <c r="Q527" s="511"/>
      <c r="R527" s="511"/>
      <c r="S527" s="511"/>
      <c r="T527" s="511"/>
      <c r="U527" s="511"/>
      <c r="V527" s="511"/>
      <c r="W527" s="511"/>
      <c r="X527" s="511"/>
      <c r="Y527" s="511"/>
      <c r="Z527" s="511"/>
      <c r="AA527" s="511"/>
      <c r="AB527" s="511"/>
      <c r="AC527" s="511"/>
      <c r="AD527" s="511"/>
      <c r="AE527" s="511"/>
      <c r="AF527" s="511"/>
      <c r="AG527" s="511"/>
      <c r="AH527" s="511"/>
      <c r="AI527" s="511"/>
      <c r="AJ527" s="511"/>
      <c r="AK527" s="511"/>
      <c r="AL527" s="511"/>
      <c r="AM527" s="511"/>
      <c r="AN527" s="511"/>
      <c r="AO527" s="511"/>
      <c r="AP527" s="511"/>
      <c r="AQ527" s="511"/>
      <c r="AR527" s="511"/>
      <c r="AS527" s="511"/>
      <c r="AT527" s="511"/>
      <c r="AU527" s="511"/>
      <c r="AV527" s="511"/>
      <c r="AW527" s="511"/>
      <c r="AX527" s="511"/>
      <c r="AY527" s="511"/>
      <c r="AZ527" s="511"/>
      <c r="BA527" s="511"/>
      <c r="BB527" s="511"/>
      <c r="BC527" s="511"/>
    </row>
    <row r="528" spans="1:55" ht="16.5" customHeight="1" x14ac:dyDescent="0.3">
      <c r="A528" s="511"/>
      <c r="B528" s="511"/>
      <c r="C528" s="511"/>
      <c r="D528" s="511"/>
      <c r="E528" s="511"/>
      <c r="F528" s="511"/>
      <c r="G528" s="511"/>
      <c r="H528" s="511"/>
      <c r="I528" s="511"/>
      <c r="J528" s="511"/>
      <c r="K528" s="511"/>
      <c r="L528" s="511"/>
      <c r="M528" s="511"/>
      <c r="N528" s="511"/>
      <c r="O528" s="511"/>
      <c r="P528" s="511"/>
      <c r="Q528" s="511"/>
      <c r="R528" s="511"/>
      <c r="S528" s="511"/>
      <c r="T528" s="511"/>
      <c r="U528" s="511"/>
      <c r="V528" s="511"/>
      <c r="W528" s="511"/>
      <c r="X528" s="511"/>
      <c r="Y528" s="511"/>
      <c r="Z528" s="511"/>
      <c r="AA528" s="511"/>
      <c r="AB528" s="511"/>
      <c r="AC528" s="511"/>
      <c r="AD528" s="511"/>
      <c r="AE528" s="511"/>
      <c r="AF528" s="511"/>
      <c r="AG528" s="511"/>
      <c r="AH528" s="511"/>
      <c r="AI528" s="511"/>
      <c r="AJ528" s="511"/>
      <c r="AK528" s="511"/>
      <c r="AL528" s="511"/>
      <c r="AM528" s="511"/>
      <c r="AN528" s="511"/>
      <c r="AO528" s="511"/>
      <c r="AP528" s="511"/>
      <c r="AQ528" s="511"/>
      <c r="AR528" s="511"/>
      <c r="AS528" s="511"/>
      <c r="AT528" s="511"/>
      <c r="AU528" s="511"/>
      <c r="AV528" s="511"/>
      <c r="AW528" s="511"/>
      <c r="AX528" s="511"/>
      <c r="AY528" s="511"/>
      <c r="AZ528" s="511"/>
      <c r="BA528" s="511"/>
      <c r="BB528" s="511"/>
      <c r="BC528" s="511"/>
    </row>
    <row r="529" spans="1:55" ht="16.5" customHeight="1" x14ac:dyDescent="0.3">
      <c r="A529" s="511"/>
      <c r="B529" s="511"/>
      <c r="C529" s="511"/>
      <c r="D529" s="511"/>
      <c r="E529" s="511"/>
      <c r="F529" s="511"/>
      <c r="G529" s="511"/>
      <c r="H529" s="511"/>
      <c r="I529" s="511"/>
      <c r="J529" s="511"/>
      <c r="K529" s="511"/>
      <c r="L529" s="511"/>
      <c r="M529" s="511"/>
      <c r="N529" s="511"/>
      <c r="O529" s="511"/>
      <c r="P529" s="511"/>
      <c r="Q529" s="511"/>
      <c r="R529" s="511"/>
      <c r="S529" s="511"/>
      <c r="T529" s="511"/>
      <c r="U529" s="511"/>
      <c r="V529" s="511"/>
      <c r="W529" s="511"/>
      <c r="X529" s="511"/>
      <c r="Y529" s="511"/>
      <c r="Z529" s="511"/>
      <c r="AA529" s="511"/>
      <c r="AB529" s="511"/>
      <c r="AC529" s="511"/>
      <c r="AD529" s="511"/>
      <c r="AE529" s="511"/>
      <c r="AF529" s="511"/>
      <c r="AG529" s="511"/>
      <c r="AH529" s="511"/>
      <c r="AI529" s="511"/>
      <c r="AJ529" s="511"/>
      <c r="AK529" s="511"/>
      <c r="AL529" s="511"/>
      <c r="AM529" s="511"/>
      <c r="AN529" s="511"/>
      <c r="AO529" s="511"/>
      <c r="AP529" s="511"/>
      <c r="AQ529" s="511"/>
      <c r="AR529" s="511"/>
      <c r="AS529" s="511"/>
      <c r="AT529" s="511"/>
      <c r="AU529" s="511"/>
      <c r="AV529" s="511"/>
      <c r="AW529" s="511"/>
      <c r="AX529" s="511"/>
      <c r="AY529" s="511"/>
      <c r="AZ529" s="511"/>
      <c r="BA529" s="511"/>
      <c r="BB529" s="511"/>
      <c r="BC529" s="511"/>
    </row>
    <row r="530" spans="1:55" ht="16.5" customHeight="1" x14ac:dyDescent="0.3">
      <c r="A530" s="511"/>
      <c r="B530" s="511"/>
      <c r="C530" s="511"/>
      <c r="D530" s="511"/>
      <c r="E530" s="511"/>
      <c r="F530" s="511"/>
      <c r="G530" s="511"/>
      <c r="H530" s="511"/>
      <c r="I530" s="511"/>
      <c r="J530" s="511"/>
      <c r="K530" s="511"/>
      <c r="L530" s="511"/>
      <c r="M530" s="511"/>
      <c r="N530" s="511"/>
      <c r="O530" s="511"/>
      <c r="P530" s="511"/>
      <c r="Q530" s="511"/>
      <c r="R530" s="511"/>
      <c r="S530" s="511"/>
      <c r="T530" s="511"/>
      <c r="U530" s="511"/>
      <c r="V530" s="511"/>
      <c r="W530" s="511"/>
      <c r="X530" s="511"/>
      <c r="Y530" s="511"/>
      <c r="Z530" s="511"/>
      <c r="AA530" s="511"/>
      <c r="AB530" s="511"/>
      <c r="AC530" s="511"/>
      <c r="AD530" s="511"/>
      <c r="AE530" s="511"/>
      <c r="AF530" s="511"/>
      <c r="AG530" s="511"/>
      <c r="AH530" s="511"/>
      <c r="AI530" s="511"/>
      <c r="AJ530" s="511"/>
      <c r="AK530" s="511"/>
      <c r="AL530" s="511"/>
      <c r="AM530" s="511"/>
      <c r="AN530" s="511"/>
      <c r="AO530" s="511"/>
      <c r="AP530" s="511"/>
      <c r="AQ530" s="511"/>
      <c r="AR530" s="511"/>
      <c r="AS530" s="511"/>
      <c r="AT530" s="511"/>
      <c r="AU530" s="511"/>
      <c r="AV530" s="511"/>
      <c r="AW530" s="511"/>
      <c r="AX530" s="511"/>
      <c r="AY530" s="511"/>
      <c r="AZ530" s="511"/>
      <c r="BA530" s="511"/>
      <c r="BB530" s="511"/>
      <c r="BC530" s="511"/>
    </row>
    <row r="531" spans="1:55" ht="16.5" customHeight="1" x14ac:dyDescent="0.3">
      <c r="A531" s="511"/>
      <c r="B531" s="511"/>
      <c r="C531" s="511"/>
      <c r="D531" s="511"/>
      <c r="E531" s="511"/>
      <c r="F531" s="511"/>
      <c r="G531" s="511"/>
      <c r="H531" s="511"/>
      <c r="I531" s="511"/>
      <c r="J531" s="511"/>
      <c r="K531" s="511"/>
      <c r="L531" s="511"/>
      <c r="M531" s="511"/>
      <c r="N531" s="511"/>
      <c r="O531" s="511"/>
      <c r="P531" s="511"/>
      <c r="Q531" s="511"/>
      <c r="R531" s="511"/>
      <c r="S531" s="511"/>
      <c r="T531" s="511"/>
      <c r="U531" s="511"/>
      <c r="V531" s="511"/>
      <c r="W531" s="511"/>
      <c r="X531" s="511"/>
      <c r="Y531" s="511"/>
      <c r="Z531" s="511"/>
      <c r="AA531" s="511"/>
      <c r="AB531" s="511"/>
      <c r="AC531" s="511"/>
      <c r="AD531" s="511"/>
      <c r="AE531" s="511"/>
      <c r="AF531" s="511"/>
      <c r="AG531" s="511"/>
      <c r="AH531" s="511"/>
      <c r="AI531" s="511"/>
      <c r="AJ531" s="511"/>
      <c r="AK531" s="511"/>
      <c r="AL531" s="511"/>
      <c r="AM531" s="511"/>
      <c r="AN531" s="511"/>
      <c r="AO531" s="511"/>
      <c r="AP531" s="511"/>
      <c r="AQ531" s="511"/>
      <c r="AR531" s="511"/>
      <c r="AS531" s="511"/>
      <c r="AT531" s="511"/>
      <c r="AU531" s="511"/>
      <c r="AV531" s="511"/>
      <c r="AW531" s="511"/>
      <c r="AX531" s="511"/>
      <c r="AY531" s="511"/>
      <c r="AZ531" s="511"/>
      <c r="BA531" s="511"/>
      <c r="BB531" s="511"/>
      <c r="BC531" s="511"/>
    </row>
    <row r="532" spans="1:55" ht="16.5" customHeight="1" x14ac:dyDescent="0.3">
      <c r="A532" s="511"/>
      <c r="B532" s="511"/>
      <c r="C532" s="511"/>
      <c r="D532" s="511"/>
      <c r="E532" s="511"/>
      <c r="F532" s="511"/>
      <c r="G532" s="511"/>
      <c r="H532" s="511"/>
      <c r="I532" s="511"/>
      <c r="J532" s="511"/>
      <c r="K532" s="511"/>
      <c r="L532" s="511"/>
      <c r="M532" s="511"/>
      <c r="N532" s="511"/>
      <c r="O532" s="511"/>
      <c r="P532" s="511"/>
      <c r="Q532" s="511"/>
      <c r="R532" s="511"/>
      <c r="S532" s="511"/>
      <c r="T532" s="511"/>
      <c r="U532" s="511"/>
      <c r="V532" s="511"/>
      <c r="W532" s="511"/>
      <c r="X532" s="511"/>
      <c r="Y532" s="511"/>
      <c r="Z532" s="511"/>
      <c r="AA532" s="511"/>
      <c r="AB532" s="511"/>
      <c r="AC532" s="511"/>
      <c r="AD532" s="511"/>
      <c r="AE532" s="511"/>
      <c r="AF532" s="511"/>
      <c r="AG532" s="511"/>
      <c r="AH532" s="511"/>
      <c r="AI532" s="511"/>
      <c r="AJ532" s="511"/>
      <c r="AK532" s="511"/>
      <c r="AL532" s="511"/>
      <c r="AM532" s="511"/>
      <c r="AN532" s="511"/>
      <c r="AO532" s="511"/>
      <c r="AP532" s="511"/>
      <c r="AQ532" s="511"/>
      <c r="AR532" s="511"/>
      <c r="AS532" s="511"/>
      <c r="AT532" s="511"/>
      <c r="AU532" s="511"/>
      <c r="AV532" s="511"/>
      <c r="AW532" s="511"/>
      <c r="AX532" s="511"/>
      <c r="AY532" s="511"/>
      <c r="AZ532" s="511"/>
      <c r="BA532" s="511"/>
      <c r="BB532" s="511"/>
      <c r="BC532" s="511"/>
    </row>
    <row r="533" spans="1:55" ht="16.5" customHeight="1" x14ac:dyDescent="0.3">
      <c r="A533" s="511"/>
      <c r="B533" s="511"/>
      <c r="C533" s="511"/>
      <c r="D533" s="511"/>
      <c r="E533" s="511"/>
      <c r="F533" s="511"/>
      <c r="G533" s="511"/>
      <c r="H533" s="511"/>
      <c r="I533" s="511"/>
      <c r="J533" s="511"/>
      <c r="K533" s="511"/>
      <c r="L533" s="511"/>
      <c r="M533" s="511"/>
      <c r="N533" s="511"/>
      <c r="O533" s="511"/>
      <c r="P533" s="511"/>
      <c r="Q533" s="511"/>
      <c r="R533" s="511"/>
      <c r="S533" s="511"/>
      <c r="T533" s="511"/>
      <c r="U533" s="511"/>
      <c r="V533" s="511"/>
      <c r="W533" s="511"/>
      <c r="X533" s="511"/>
      <c r="Y533" s="511"/>
      <c r="Z533" s="511"/>
      <c r="AA533" s="511"/>
      <c r="AB533" s="511"/>
      <c r="AC533" s="511"/>
      <c r="AD533" s="511"/>
      <c r="AE533" s="511"/>
      <c r="AF533" s="511"/>
      <c r="AG533" s="511"/>
      <c r="AH533" s="511"/>
      <c r="AI533" s="511"/>
      <c r="AJ533" s="511"/>
      <c r="AK533" s="511"/>
      <c r="AL533" s="511"/>
      <c r="AM533" s="511"/>
      <c r="AN533" s="511"/>
      <c r="AO533" s="511"/>
      <c r="AP533" s="511"/>
      <c r="AQ533" s="511"/>
      <c r="AR533" s="511"/>
      <c r="AS533" s="511"/>
      <c r="AT533" s="511"/>
      <c r="AU533" s="511"/>
      <c r="AV533" s="511"/>
      <c r="AW533" s="511"/>
      <c r="AX533" s="511"/>
      <c r="AY533" s="511"/>
      <c r="AZ533" s="511"/>
      <c r="BA533" s="511"/>
      <c r="BB533" s="511"/>
      <c r="BC533" s="511"/>
    </row>
    <row r="534" spans="1:55" ht="16.5" customHeight="1" x14ac:dyDescent="0.3">
      <c r="A534" s="511"/>
      <c r="B534" s="511"/>
      <c r="C534" s="511"/>
      <c r="D534" s="511"/>
      <c r="E534" s="511"/>
      <c r="F534" s="511"/>
      <c r="G534" s="511"/>
      <c r="H534" s="511"/>
      <c r="I534" s="511"/>
      <c r="J534" s="511"/>
      <c r="K534" s="511"/>
      <c r="L534" s="511"/>
      <c r="M534" s="511"/>
      <c r="N534" s="511"/>
      <c r="O534" s="511"/>
      <c r="P534" s="511"/>
      <c r="Q534" s="511"/>
      <c r="R534" s="511"/>
      <c r="S534" s="511"/>
      <c r="T534" s="511"/>
      <c r="U534" s="511"/>
      <c r="V534" s="511"/>
      <c r="W534" s="511"/>
      <c r="X534" s="511"/>
      <c r="Y534" s="511"/>
      <c r="Z534" s="511"/>
      <c r="AA534" s="511"/>
      <c r="AB534" s="511"/>
      <c r="AC534" s="511"/>
      <c r="AD534" s="511"/>
      <c r="AE534" s="511"/>
      <c r="AF534" s="511"/>
      <c r="AG534" s="511"/>
      <c r="AH534" s="511"/>
      <c r="AI534" s="511"/>
      <c r="AJ534" s="511"/>
      <c r="AK534" s="511"/>
      <c r="AL534" s="511"/>
      <c r="AM534" s="511"/>
      <c r="AN534" s="511"/>
      <c r="AO534" s="511"/>
      <c r="AP534" s="511"/>
      <c r="AQ534" s="511"/>
      <c r="AR534" s="511"/>
      <c r="AS534" s="511"/>
      <c r="AT534" s="511"/>
      <c r="AU534" s="511"/>
      <c r="AV534" s="511"/>
      <c r="AW534" s="511"/>
      <c r="AX534" s="511"/>
      <c r="AY534" s="511"/>
      <c r="AZ534" s="511"/>
      <c r="BA534" s="511"/>
      <c r="BB534" s="511"/>
      <c r="BC534" s="511"/>
    </row>
    <row r="535" spans="1:55" ht="16.5" customHeight="1" x14ac:dyDescent="0.3">
      <c r="A535" s="511"/>
      <c r="B535" s="511"/>
      <c r="C535" s="511"/>
      <c r="D535" s="511"/>
      <c r="E535" s="511"/>
      <c r="F535" s="511"/>
      <c r="G535" s="511"/>
      <c r="H535" s="511"/>
      <c r="I535" s="511"/>
      <c r="J535" s="511"/>
      <c r="K535" s="511"/>
      <c r="L535" s="511"/>
      <c r="M535" s="511"/>
      <c r="N535" s="511"/>
      <c r="O535" s="511"/>
      <c r="P535" s="511"/>
      <c r="Q535" s="511"/>
      <c r="R535" s="511"/>
      <c r="S535" s="511"/>
      <c r="T535" s="511"/>
      <c r="U535" s="511"/>
      <c r="V535" s="511"/>
      <c r="W535" s="511"/>
      <c r="X535" s="511"/>
      <c r="Y535" s="511"/>
      <c r="Z535" s="511"/>
      <c r="AA535" s="511"/>
      <c r="AB535" s="511"/>
      <c r="AC535" s="511"/>
      <c r="AD535" s="511"/>
      <c r="AE535" s="511"/>
      <c r="AF535" s="511"/>
      <c r="AG535" s="511"/>
      <c r="AH535" s="511"/>
      <c r="AI535" s="511"/>
      <c r="AJ535" s="511"/>
      <c r="AK535" s="511"/>
      <c r="AL535" s="511"/>
      <c r="AM535" s="511"/>
      <c r="AN535" s="511"/>
      <c r="AO535" s="511"/>
      <c r="AP535" s="511"/>
      <c r="AQ535" s="511"/>
      <c r="AR535" s="511"/>
      <c r="AS535" s="511"/>
      <c r="AT535" s="511"/>
      <c r="AU535" s="511"/>
      <c r="AV535" s="511"/>
      <c r="AW535" s="511"/>
      <c r="AX535" s="511"/>
      <c r="AY535" s="511"/>
      <c r="AZ535" s="511"/>
      <c r="BA535" s="511"/>
      <c r="BB535" s="511"/>
      <c r="BC535" s="511"/>
    </row>
    <row r="536" spans="1:55" ht="16.5" customHeight="1" x14ac:dyDescent="0.3">
      <c r="A536" s="511"/>
      <c r="B536" s="511"/>
      <c r="C536" s="511"/>
      <c r="D536" s="511"/>
      <c r="E536" s="511"/>
      <c r="F536" s="511"/>
      <c r="G536" s="511"/>
      <c r="H536" s="511"/>
      <c r="I536" s="511"/>
      <c r="J536" s="511"/>
      <c r="K536" s="511"/>
      <c r="L536" s="511"/>
      <c r="M536" s="511"/>
      <c r="N536" s="511"/>
      <c r="O536" s="511"/>
      <c r="P536" s="511"/>
      <c r="Q536" s="511"/>
      <c r="R536" s="511"/>
      <c r="S536" s="511"/>
      <c r="T536" s="511"/>
      <c r="U536" s="511"/>
      <c r="V536" s="511"/>
      <c r="W536" s="511"/>
      <c r="X536" s="511"/>
      <c r="Y536" s="511"/>
      <c r="Z536" s="511"/>
      <c r="AA536" s="511"/>
      <c r="AB536" s="511"/>
      <c r="AC536" s="511"/>
      <c r="AD536" s="511"/>
      <c r="AE536" s="511"/>
      <c r="AF536" s="511"/>
      <c r="AG536" s="511"/>
      <c r="AH536" s="511"/>
      <c r="AI536" s="511"/>
      <c r="AJ536" s="511"/>
      <c r="AK536" s="511"/>
      <c r="AL536" s="511"/>
      <c r="AM536" s="511"/>
      <c r="AN536" s="511"/>
      <c r="AO536" s="511"/>
      <c r="AP536" s="511"/>
      <c r="AQ536" s="511"/>
      <c r="AR536" s="511"/>
      <c r="AS536" s="511"/>
      <c r="AT536" s="511"/>
      <c r="AU536" s="511"/>
      <c r="AV536" s="511"/>
      <c r="AW536" s="511"/>
      <c r="AX536" s="511"/>
      <c r="AY536" s="511"/>
      <c r="AZ536" s="511"/>
      <c r="BA536" s="511"/>
      <c r="BB536" s="511"/>
      <c r="BC536" s="511"/>
    </row>
    <row r="537" spans="1:55" ht="16.5" customHeight="1" x14ac:dyDescent="0.3">
      <c r="A537" s="511"/>
      <c r="B537" s="511"/>
      <c r="C537" s="511"/>
      <c r="D537" s="511"/>
      <c r="E537" s="511"/>
      <c r="F537" s="511"/>
      <c r="G537" s="511"/>
      <c r="H537" s="511"/>
      <c r="I537" s="511"/>
      <c r="J537" s="511"/>
      <c r="K537" s="511"/>
      <c r="L537" s="511"/>
      <c r="M537" s="511"/>
      <c r="N537" s="511"/>
      <c r="O537" s="511"/>
      <c r="P537" s="511"/>
      <c r="Q537" s="511"/>
      <c r="R537" s="511"/>
      <c r="S537" s="511"/>
      <c r="T537" s="511"/>
      <c r="U537" s="511"/>
      <c r="V537" s="511"/>
      <c r="W537" s="511"/>
      <c r="X537" s="511"/>
      <c r="Y537" s="511"/>
      <c r="Z537" s="511"/>
      <c r="AA537" s="511"/>
      <c r="AB537" s="511"/>
      <c r="AC537" s="511"/>
      <c r="AD537" s="511"/>
      <c r="AE537" s="511"/>
      <c r="AF537" s="511"/>
      <c r="AG537" s="511"/>
      <c r="AH537" s="511"/>
      <c r="AI537" s="511"/>
      <c r="AJ537" s="511"/>
      <c r="AK537" s="511"/>
      <c r="AL537" s="511"/>
      <c r="AM537" s="511"/>
      <c r="AN537" s="511"/>
      <c r="AO537" s="511"/>
      <c r="AP537" s="511"/>
      <c r="AQ537" s="511"/>
      <c r="AR537" s="511"/>
      <c r="AS537" s="511"/>
      <c r="AT537" s="511"/>
      <c r="AU537" s="511"/>
      <c r="AV537" s="511"/>
      <c r="AW537" s="511"/>
      <c r="AX537" s="511"/>
      <c r="AY537" s="511"/>
      <c r="AZ537" s="511"/>
      <c r="BA537" s="511"/>
      <c r="BB537" s="511"/>
      <c r="BC537" s="511"/>
    </row>
    <row r="538" spans="1:55" ht="16.5" customHeight="1" x14ac:dyDescent="0.3">
      <c r="A538" s="511"/>
      <c r="B538" s="511"/>
      <c r="C538" s="511"/>
      <c r="D538" s="511"/>
      <c r="E538" s="511"/>
      <c r="F538" s="511"/>
      <c r="G538" s="511"/>
      <c r="H538" s="511"/>
      <c r="I538" s="511"/>
      <c r="J538" s="511"/>
      <c r="K538" s="511"/>
      <c r="L538" s="511"/>
      <c r="M538" s="511"/>
      <c r="N538" s="511"/>
      <c r="O538" s="511"/>
      <c r="P538" s="511"/>
      <c r="Q538" s="511"/>
      <c r="R538" s="511"/>
      <c r="S538" s="511"/>
      <c r="T538" s="511"/>
      <c r="U538" s="511"/>
      <c r="V538" s="511"/>
      <c r="W538" s="511"/>
      <c r="X538" s="511"/>
      <c r="Y538" s="511"/>
      <c r="Z538" s="511"/>
      <c r="AA538" s="511"/>
      <c r="AB538" s="511"/>
      <c r="AC538" s="511"/>
      <c r="AD538" s="511"/>
      <c r="AE538" s="511"/>
      <c r="AF538" s="511"/>
      <c r="AG538" s="511"/>
      <c r="AH538" s="511"/>
      <c r="AI538" s="511"/>
      <c r="AJ538" s="511"/>
      <c r="AK538" s="511"/>
      <c r="AL538" s="511"/>
      <c r="AM538" s="511"/>
      <c r="AN538" s="511"/>
      <c r="AO538" s="511"/>
      <c r="AP538" s="511"/>
      <c r="AQ538" s="511"/>
      <c r="AR538" s="511"/>
      <c r="AS538" s="511"/>
      <c r="AT538" s="511"/>
      <c r="AU538" s="511"/>
      <c r="AV538" s="511"/>
      <c r="AW538" s="511"/>
      <c r="AX538" s="511"/>
      <c r="AY538" s="511"/>
      <c r="AZ538" s="511"/>
      <c r="BA538" s="511"/>
      <c r="BB538" s="511"/>
      <c r="BC538" s="511"/>
    </row>
    <row r="539" spans="1:55" ht="16.5" customHeight="1" x14ac:dyDescent="0.3">
      <c r="A539" s="511"/>
      <c r="B539" s="511"/>
      <c r="C539" s="511"/>
      <c r="D539" s="511"/>
      <c r="E539" s="511"/>
      <c r="F539" s="511"/>
      <c r="G539" s="511"/>
      <c r="H539" s="511"/>
      <c r="I539" s="511"/>
      <c r="J539" s="511"/>
      <c r="K539" s="511"/>
      <c r="L539" s="511"/>
      <c r="M539" s="511"/>
      <c r="N539" s="511"/>
      <c r="O539" s="511"/>
      <c r="P539" s="511"/>
      <c r="Q539" s="511"/>
      <c r="R539" s="511"/>
      <c r="S539" s="511"/>
      <c r="T539" s="511"/>
      <c r="U539" s="511"/>
      <c r="V539" s="511"/>
      <c r="W539" s="511"/>
      <c r="X539" s="511"/>
      <c r="Y539" s="511"/>
      <c r="Z539" s="511"/>
      <c r="AA539" s="511"/>
      <c r="AB539" s="511"/>
      <c r="AC539" s="511"/>
      <c r="AD539" s="511"/>
      <c r="AE539" s="511"/>
      <c r="AF539" s="511"/>
      <c r="AG539" s="511"/>
      <c r="AH539" s="511"/>
      <c r="AI539" s="511"/>
      <c r="AJ539" s="511"/>
      <c r="AK539" s="511"/>
      <c r="AL539" s="511"/>
      <c r="AM539" s="511"/>
      <c r="AN539" s="511"/>
      <c r="AO539" s="511"/>
      <c r="AP539" s="511"/>
      <c r="AQ539" s="511"/>
      <c r="AR539" s="511"/>
      <c r="AS539" s="511"/>
      <c r="AT539" s="511"/>
      <c r="AU539" s="511"/>
      <c r="AV539" s="511"/>
      <c r="AW539" s="511"/>
      <c r="AX539" s="511"/>
      <c r="AY539" s="511"/>
      <c r="AZ539" s="511"/>
      <c r="BA539" s="511"/>
      <c r="BB539" s="511"/>
      <c r="BC539" s="511"/>
    </row>
    <row r="540" spans="1:55" ht="16.5" customHeight="1" x14ac:dyDescent="0.3">
      <c r="A540" s="511"/>
      <c r="B540" s="511"/>
      <c r="C540" s="511"/>
      <c r="D540" s="511"/>
      <c r="E540" s="511"/>
      <c r="F540" s="511"/>
      <c r="G540" s="511"/>
      <c r="H540" s="511"/>
      <c r="I540" s="511"/>
      <c r="J540" s="511"/>
      <c r="K540" s="511"/>
      <c r="L540" s="511"/>
      <c r="M540" s="511"/>
      <c r="N540" s="511"/>
      <c r="O540" s="511"/>
      <c r="P540" s="511"/>
      <c r="Q540" s="511"/>
      <c r="R540" s="511"/>
      <c r="S540" s="511"/>
      <c r="T540" s="511"/>
      <c r="U540" s="511"/>
      <c r="V540" s="511"/>
      <c r="W540" s="511"/>
      <c r="X540" s="511"/>
      <c r="Y540" s="511"/>
      <c r="Z540" s="511"/>
      <c r="AA540" s="511"/>
      <c r="AB540" s="511"/>
      <c r="AC540" s="511"/>
      <c r="AD540" s="511"/>
      <c r="AE540" s="511"/>
      <c r="AF540" s="511"/>
      <c r="AG540" s="511"/>
      <c r="AH540" s="511"/>
      <c r="AI540" s="511"/>
      <c r="AJ540" s="511"/>
      <c r="AK540" s="511"/>
      <c r="AL540" s="511"/>
      <c r="AM540" s="511"/>
      <c r="AN540" s="511"/>
      <c r="AO540" s="511"/>
      <c r="AP540" s="511"/>
      <c r="AQ540" s="511"/>
      <c r="AR540" s="511"/>
      <c r="AS540" s="511"/>
      <c r="AT540" s="511"/>
      <c r="AU540" s="511"/>
      <c r="AV540" s="511"/>
      <c r="AW540" s="511"/>
      <c r="AX540" s="511"/>
      <c r="AY540" s="511"/>
      <c r="AZ540" s="511"/>
      <c r="BA540" s="511"/>
      <c r="BB540" s="511"/>
      <c r="BC540" s="511"/>
    </row>
    <row r="541" spans="1:55" ht="16.5" customHeight="1" x14ac:dyDescent="0.3">
      <c r="A541" s="511"/>
      <c r="B541" s="511"/>
      <c r="C541" s="511"/>
      <c r="D541" s="511"/>
      <c r="E541" s="511"/>
      <c r="F541" s="511"/>
      <c r="G541" s="511"/>
      <c r="H541" s="511"/>
      <c r="I541" s="511"/>
      <c r="J541" s="511"/>
      <c r="K541" s="511"/>
      <c r="L541" s="511"/>
      <c r="M541" s="511"/>
      <c r="N541" s="511"/>
      <c r="O541" s="511"/>
      <c r="P541" s="511"/>
      <c r="Q541" s="511"/>
      <c r="R541" s="511"/>
      <c r="S541" s="511"/>
      <c r="T541" s="511"/>
      <c r="U541" s="511"/>
      <c r="V541" s="511"/>
      <c r="W541" s="511"/>
      <c r="X541" s="511"/>
      <c r="Y541" s="511"/>
      <c r="Z541" s="511"/>
      <c r="AA541" s="511"/>
      <c r="AB541" s="511"/>
      <c r="AC541" s="511"/>
      <c r="AD541" s="511"/>
      <c r="AE541" s="511"/>
      <c r="AF541" s="511"/>
      <c r="AG541" s="511"/>
      <c r="AH541" s="511"/>
      <c r="AI541" s="511"/>
      <c r="AJ541" s="511"/>
      <c r="AK541" s="511"/>
      <c r="AL541" s="511"/>
      <c r="AM541" s="511"/>
      <c r="AN541" s="511"/>
      <c r="AO541" s="511"/>
      <c r="AP541" s="511"/>
      <c r="AQ541" s="511"/>
      <c r="AR541" s="511"/>
      <c r="AS541" s="511"/>
      <c r="AT541" s="511"/>
      <c r="AU541" s="511"/>
      <c r="AV541" s="511"/>
      <c r="AW541" s="511"/>
      <c r="AX541" s="511"/>
      <c r="AY541" s="511"/>
      <c r="AZ541" s="511"/>
      <c r="BA541" s="511"/>
      <c r="BB541" s="511"/>
      <c r="BC541" s="511"/>
    </row>
    <row r="542" spans="1:55" ht="16.5" customHeight="1" x14ac:dyDescent="0.3">
      <c r="A542" s="511"/>
      <c r="B542" s="511"/>
      <c r="C542" s="511"/>
      <c r="D542" s="511"/>
      <c r="E542" s="511"/>
      <c r="F542" s="511"/>
      <c r="G542" s="511"/>
      <c r="H542" s="511"/>
      <c r="I542" s="511"/>
      <c r="J542" s="511"/>
      <c r="K542" s="511"/>
      <c r="L542" s="511"/>
      <c r="M542" s="511"/>
      <c r="N542" s="511"/>
      <c r="O542" s="511"/>
      <c r="P542" s="511"/>
      <c r="Q542" s="511"/>
      <c r="R542" s="511"/>
      <c r="S542" s="511"/>
      <c r="T542" s="511"/>
      <c r="U542" s="511"/>
      <c r="V542" s="511"/>
      <c r="W542" s="511"/>
      <c r="X542" s="511"/>
      <c r="Y542" s="511"/>
      <c r="Z542" s="511"/>
      <c r="AA542" s="511"/>
      <c r="AB542" s="511"/>
      <c r="AC542" s="511"/>
      <c r="AD542" s="511"/>
      <c r="AE542" s="511"/>
      <c r="AF542" s="511"/>
      <c r="AG542" s="511"/>
      <c r="AH542" s="511"/>
      <c r="AI542" s="511"/>
      <c r="AJ542" s="511"/>
      <c r="AK542" s="511"/>
      <c r="AL542" s="511"/>
      <c r="AM542" s="511"/>
      <c r="AN542" s="511"/>
      <c r="AO542" s="511"/>
      <c r="AP542" s="511"/>
      <c r="AQ542" s="511"/>
      <c r="AR542" s="511"/>
      <c r="AS542" s="511"/>
      <c r="AT542" s="511"/>
      <c r="AU542" s="511"/>
      <c r="AV542" s="511"/>
      <c r="AW542" s="511"/>
      <c r="AX542" s="511"/>
      <c r="AY542" s="511"/>
      <c r="AZ542" s="511"/>
      <c r="BA542" s="511"/>
      <c r="BB542" s="511"/>
      <c r="BC542" s="511"/>
    </row>
    <row r="543" spans="1:55" ht="16.5" customHeight="1" x14ac:dyDescent="0.3">
      <c r="A543" s="511"/>
      <c r="B543" s="511"/>
      <c r="C543" s="511"/>
      <c r="D543" s="511"/>
      <c r="E543" s="511"/>
      <c r="F543" s="511"/>
      <c r="G543" s="511"/>
      <c r="H543" s="511"/>
      <c r="I543" s="511"/>
      <c r="J543" s="511"/>
      <c r="K543" s="511"/>
      <c r="L543" s="511"/>
      <c r="M543" s="511"/>
      <c r="N543" s="511"/>
      <c r="O543" s="511"/>
      <c r="P543" s="511"/>
      <c r="Q543" s="511"/>
      <c r="R543" s="511"/>
      <c r="S543" s="511"/>
      <c r="T543" s="511"/>
      <c r="U543" s="511"/>
      <c r="V543" s="511"/>
      <c r="W543" s="511"/>
      <c r="X543" s="511"/>
      <c r="Y543" s="511"/>
      <c r="Z543" s="511"/>
      <c r="AA543" s="511"/>
      <c r="AB543" s="511"/>
      <c r="AC543" s="511"/>
      <c r="AD543" s="511"/>
      <c r="AE543" s="511"/>
      <c r="AF543" s="511"/>
      <c r="AG543" s="511"/>
      <c r="AH543" s="511"/>
      <c r="AI543" s="511"/>
      <c r="AJ543" s="511"/>
      <c r="AK543" s="511"/>
      <c r="AL543" s="511"/>
      <c r="AM543" s="511"/>
      <c r="AN543" s="511"/>
      <c r="AO543" s="511"/>
      <c r="AP543" s="511"/>
      <c r="AQ543" s="511"/>
      <c r="AR543" s="511"/>
      <c r="AS543" s="511"/>
      <c r="AT543" s="511"/>
      <c r="AU543" s="511"/>
      <c r="AV543" s="511"/>
      <c r="AW543" s="511"/>
      <c r="AX543" s="511"/>
      <c r="AY543" s="511"/>
      <c r="AZ543" s="511"/>
      <c r="BA543" s="511"/>
      <c r="BB543" s="511"/>
      <c r="BC543" s="511"/>
    </row>
    <row r="544" spans="1:55" ht="16.5" customHeight="1" x14ac:dyDescent="0.3">
      <c r="A544" s="511"/>
      <c r="B544" s="511"/>
      <c r="C544" s="511"/>
      <c r="D544" s="511"/>
      <c r="E544" s="511"/>
      <c r="F544" s="511"/>
      <c r="G544" s="511"/>
      <c r="H544" s="511"/>
      <c r="I544" s="511"/>
      <c r="J544" s="511"/>
      <c r="K544" s="511"/>
      <c r="L544" s="511"/>
      <c r="M544" s="511"/>
      <c r="N544" s="511"/>
      <c r="O544" s="511"/>
      <c r="P544" s="511"/>
      <c r="Q544" s="511"/>
      <c r="R544" s="511"/>
      <c r="S544" s="511"/>
      <c r="T544" s="511"/>
      <c r="U544" s="511"/>
      <c r="V544" s="511"/>
      <c r="W544" s="511"/>
      <c r="X544" s="511"/>
      <c r="Y544" s="511"/>
      <c r="Z544" s="511"/>
      <c r="AA544" s="511"/>
      <c r="AB544" s="511"/>
      <c r="AC544" s="511"/>
      <c r="AD544" s="511"/>
      <c r="AE544" s="511"/>
      <c r="AF544" s="511"/>
      <c r="AG544" s="511"/>
      <c r="AH544" s="511"/>
      <c r="AI544" s="511"/>
      <c r="AJ544" s="511"/>
      <c r="AK544" s="511"/>
      <c r="AL544" s="511"/>
      <c r="AM544" s="511"/>
      <c r="AN544" s="511"/>
      <c r="AO544" s="511"/>
      <c r="AP544" s="511"/>
      <c r="AQ544" s="511"/>
      <c r="AR544" s="511"/>
      <c r="AS544" s="511"/>
      <c r="AT544" s="511"/>
      <c r="AU544" s="511"/>
      <c r="AV544" s="511"/>
      <c r="AW544" s="511"/>
      <c r="AX544" s="511"/>
      <c r="AY544" s="511"/>
      <c r="AZ544" s="511"/>
      <c r="BA544" s="511"/>
      <c r="BB544" s="511"/>
      <c r="BC544" s="511"/>
    </row>
    <row r="545" spans="1:55" ht="16.5" customHeight="1" x14ac:dyDescent="0.3">
      <c r="A545" s="511"/>
      <c r="B545" s="511"/>
      <c r="C545" s="511"/>
      <c r="D545" s="511"/>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c r="AA545" s="511"/>
      <c r="AB545" s="511"/>
      <c r="AC545" s="511"/>
      <c r="AD545" s="511"/>
      <c r="AE545" s="511"/>
      <c r="AF545" s="511"/>
      <c r="AG545" s="511"/>
      <c r="AH545" s="511"/>
      <c r="AI545" s="511"/>
      <c r="AJ545" s="511"/>
      <c r="AK545" s="511"/>
      <c r="AL545" s="511"/>
      <c r="AM545" s="511"/>
      <c r="AN545" s="511"/>
      <c r="AO545" s="511"/>
      <c r="AP545" s="511"/>
      <c r="AQ545" s="511"/>
      <c r="AR545" s="511"/>
      <c r="AS545" s="511"/>
      <c r="AT545" s="511"/>
      <c r="AU545" s="511"/>
      <c r="AV545" s="511"/>
      <c r="AW545" s="511"/>
      <c r="AX545" s="511"/>
      <c r="AY545" s="511"/>
      <c r="AZ545" s="511"/>
      <c r="BA545" s="511"/>
      <c r="BB545" s="511"/>
      <c r="BC545" s="511"/>
    </row>
    <row r="546" spans="1:55" ht="16.5" customHeight="1" x14ac:dyDescent="0.3">
      <c r="A546" s="511"/>
      <c r="B546" s="511"/>
      <c r="C546" s="511"/>
      <c r="D546" s="511"/>
      <c r="E546" s="511"/>
      <c r="F546" s="511"/>
      <c r="G546" s="511"/>
      <c r="H546" s="511"/>
      <c r="I546" s="511"/>
      <c r="J546" s="511"/>
      <c r="K546" s="511"/>
      <c r="L546" s="511"/>
      <c r="M546" s="511"/>
      <c r="N546" s="511"/>
      <c r="O546" s="511"/>
      <c r="P546" s="511"/>
      <c r="Q546" s="511"/>
      <c r="R546" s="511"/>
      <c r="S546" s="511"/>
      <c r="T546" s="511"/>
      <c r="U546" s="511"/>
      <c r="V546" s="511"/>
      <c r="W546" s="511"/>
      <c r="X546" s="511"/>
      <c r="Y546" s="511"/>
      <c r="Z546" s="511"/>
      <c r="AA546" s="511"/>
      <c r="AB546" s="511"/>
      <c r="AC546" s="511"/>
      <c r="AD546" s="511"/>
      <c r="AE546" s="511"/>
      <c r="AF546" s="511"/>
      <c r="AG546" s="511"/>
      <c r="AH546" s="511"/>
      <c r="AI546" s="511"/>
      <c r="AJ546" s="511"/>
      <c r="AK546" s="511"/>
      <c r="AL546" s="511"/>
      <c r="AM546" s="511"/>
      <c r="AN546" s="511"/>
      <c r="AO546" s="511"/>
      <c r="AP546" s="511"/>
      <c r="AQ546" s="511"/>
      <c r="AR546" s="511"/>
      <c r="AS546" s="511"/>
      <c r="AT546" s="511"/>
      <c r="AU546" s="511"/>
      <c r="AV546" s="511"/>
      <c r="AW546" s="511"/>
      <c r="AX546" s="511"/>
      <c r="AY546" s="511"/>
      <c r="AZ546" s="511"/>
      <c r="BA546" s="511"/>
      <c r="BB546" s="511"/>
      <c r="BC546" s="511"/>
    </row>
    <row r="547" spans="1:55" ht="16.5" customHeight="1" x14ac:dyDescent="0.3">
      <c r="A547" s="511"/>
      <c r="B547" s="511"/>
      <c r="C547" s="511"/>
      <c r="D547" s="511"/>
      <c r="E547" s="511"/>
      <c r="F547" s="511"/>
      <c r="G547" s="511"/>
      <c r="H547" s="511"/>
      <c r="I547" s="511"/>
      <c r="J547" s="511"/>
      <c r="K547" s="511"/>
      <c r="L547" s="511"/>
      <c r="M547" s="511"/>
      <c r="N547" s="511"/>
      <c r="O547" s="511"/>
      <c r="P547" s="511"/>
      <c r="Q547" s="511"/>
      <c r="R547" s="511"/>
      <c r="S547" s="511"/>
      <c r="T547" s="511"/>
      <c r="U547" s="511"/>
      <c r="V547" s="511"/>
      <c r="W547" s="511"/>
      <c r="X547" s="511"/>
      <c r="Y547" s="511"/>
      <c r="Z547" s="511"/>
      <c r="AA547" s="511"/>
      <c r="AB547" s="511"/>
      <c r="AC547" s="511"/>
      <c r="AD547" s="511"/>
      <c r="AE547" s="511"/>
      <c r="AF547" s="511"/>
      <c r="AG547" s="511"/>
      <c r="AH547" s="511"/>
      <c r="AI547" s="511"/>
      <c r="AJ547" s="511"/>
      <c r="AK547" s="511"/>
      <c r="AL547" s="511"/>
      <c r="AM547" s="511"/>
      <c r="AN547" s="511"/>
      <c r="AO547" s="511"/>
      <c r="AP547" s="511"/>
      <c r="AQ547" s="511"/>
      <c r="AR547" s="511"/>
      <c r="AS547" s="511"/>
      <c r="AT547" s="511"/>
      <c r="AU547" s="511"/>
      <c r="AV547" s="511"/>
      <c r="AW547" s="511"/>
      <c r="AX547" s="511"/>
      <c r="AY547" s="511"/>
      <c r="AZ547" s="511"/>
      <c r="BA547" s="511"/>
      <c r="BB547" s="511"/>
      <c r="BC547" s="511"/>
    </row>
    <row r="548" spans="1:55" ht="16.5" customHeight="1" x14ac:dyDescent="0.3">
      <c r="A548" s="511"/>
      <c r="B548" s="511"/>
      <c r="C548" s="511"/>
      <c r="D548" s="511"/>
      <c r="E548" s="511"/>
      <c r="F548" s="511"/>
      <c r="G548" s="511"/>
      <c r="H548" s="511"/>
      <c r="I548" s="511"/>
      <c r="J548" s="511"/>
      <c r="K548" s="511"/>
      <c r="L548" s="511"/>
      <c r="M548" s="511"/>
      <c r="N548" s="511"/>
      <c r="O548" s="511"/>
      <c r="P548" s="511"/>
      <c r="Q548" s="511"/>
      <c r="R548" s="511"/>
      <c r="S548" s="511"/>
      <c r="T548" s="511"/>
      <c r="U548" s="511"/>
      <c r="V548" s="511"/>
      <c r="W548" s="511"/>
      <c r="X548" s="511"/>
      <c r="Y548" s="511"/>
      <c r="Z548" s="511"/>
      <c r="AA548" s="511"/>
      <c r="AB548" s="511"/>
      <c r="AC548" s="511"/>
      <c r="AD548" s="511"/>
      <c r="AE548" s="511"/>
      <c r="AF548" s="511"/>
      <c r="AG548" s="511"/>
      <c r="AH548" s="511"/>
      <c r="AI548" s="511"/>
      <c r="AJ548" s="511"/>
      <c r="AK548" s="511"/>
      <c r="AL548" s="511"/>
      <c r="AM548" s="511"/>
      <c r="AN548" s="511"/>
      <c r="AO548" s="511"/>
      <c r="AP548" s="511"/>
      <c r="AQ548" s="511"/>
      <c r="AR548" s="511"/>
      <c r="AS548" s="511"/>
      <c r="AT548" s="511"/>
      <c r="AU548" s="511"/>
      <c r="AV548" s="511"/>
      <c r="AW548" s="511"/>
      <c r="AX548" s="511"/>
      <c r="AY548" s="511"/>
      <c r="AZ548" s="511"/>
      <c r="BA548" s="511"/>
      <c r="BB548" s="511"/>
      <c r="BC548" s="511"/>
    </row>
    <row r="549" spans="1:55" ht="16.5" customHeight="1" x14ac:dyDescent="0.3">
      <c r="A549" s="511"/>
      <c r="B549" s="511"/>
      <c r="C549" s="511"/>
      <c r="D549" s="511"/>
      <c r="E549" s="511"/>
      <c r="F549" s="511"/>
      <c r="G549" s="511"/>
      <c r="H549" s="511"/>
      <c r="I549" s="511"/>
      <c r="J549" s="511"/>
      <c r="K549" s="511"/>
      <c r="L549" s="511"/>
      <c r="M549" s="511"/>
      <c r="N549" s="511"/>
      <c r="O549" s="511"/>
      <c r="P549" s="511"/>
      <c r="Q549" s="511"/>
      <c r="R549" s="511"/>
      <c r="S549" s="511"/>
      <c r="T549" s="511"/>
      <c r="U549" s="511"/>
      <c r="V549" s="511"/>
      <c r="W549" s="511"/>
      <c r="X549" s="511"/>
      <c r="Y549" s="511"/>
      <c r="Z549" s="511"/>
      <c r="AA549" s="511"/>
      <c r="AB549" s="511"/>
      <c r="AC549" s="511"/>
      <c r="AD549" s="511"/>
      <c r="AE549" s="511"/>
      <c r="AF549" s="511"/>
      <c r="AG549" s="511"/>
      <c r="AH549" s="511"/>
      <c r="AI549" s="511"/>
      <c r="AJ549" s="511"/>
      <c r="AK549" s="511"/>
      <c r="AL549" s="511"/>
      <c r="AM549" s="511"/>
      <c r="AN549" s="511"/>
      <c r="AO549" s="511"/>
      <c r="AP549" s="511"/>
      <c r="AQ549" s="511"/>
      <c r="AR549" s="511"/>
      <c r="AS549" s="511"/>
      <c r="AT549" s="511"/>
      <c r="AU549" s="511"/>
      <c r="AV549" s="511"/>
      <c r="AW549" s="511"/>
      <c r="AX549" s="511"/>
      <c r="AY549" s="511"/>
      <c r="AZ549" s="511"/>
      <c r="BA549" s="511"/>
      <c r="BB549" s="511"/>
      <c r="BC549" s="511"/>
    </row>
    <row r="550" spans="1:55" ht="16.5" customHeight="1" x14ac:dyDescent="0.3">
      <c r="A550" s="511"/>
      <c r="B550" s="511"/>
      <c r="C550" s="511"/>
      <c r="D550" s="511"/>
      <c r="E550" s="511"/>
      <c r="F550" s="511"/>
      <c r="G550" s="511"/>
      <c r="H550" s="511"/>
      <c r="I550" s="511"/>
      <c r="J550" s="511"/>
      <c r="K550" s="511"/>
      <c r="L550" s="511"/>
      <c r="M550" s="511"/>
      <c r="N550" s="511"/>
      <c r="O550" s="511"/>
      <c r="P550" s="511"/>
      <c r="Q550" s="511"/>
      <c r="R550" s="511"/>
      <c r="S550" s="511"/>
      <c r="T550" s="511"/>
      <c r="U550" s="511"/>
      <c r="V550" s="511"/>
      <c r="W550" s="511"/>
      <c r="X550" s="511"/>
      <c r="Y550" s="511"/>
      <c r="Z550" s="511"/>
      <c r="AA550" s="511"/>
      <c r="AB550" s="511"/>
      <c r="AC550" s="511"/>
      <c r="AD550" s="511"/>
      <c r="AE550" s="511"/>
      <c r="AF550" s="511"/>
      <c r="AG550" s="511"/>
      <c r="AH550" s="511"/>
      <c r="AI550" s="511"/>
      <c r="AJ550" s="511"/>
      <c r="AK550" s="511"/>
      <c r="AL550" s="511"/>
      <c r="AM550" s="511"/>
      <c r="AN550" s="511"/>
      <c r="AO550" s="511"/>
      <c r="AP550" s="511"/>
      <c r="AQ550" s="511"/>
      <c r="AR550" s="511"/>
      <c r="AS550" s="511"/>
      <c r="AT550" s="511"/>
      <c r="AU550" s="511"/>
      <c r="AV550" s="511"/>
      <c r="AW550" s="511"/>
      <c r="AX550" s="511"/>
      <c r="AY550" s="511"/>
      <c r="AZ550" s="511"/>
      <c r="BA550" s="511"/>
      <c r="BB550" s="511"/>
      <c r="BC550" s="511"/>
    </row>
    <row r="551" spans="1:55" ht="16.5" customHeight="1" x14ac:dyDescent="0.3">
      <c r="A551" s="511"/>
      <c r="B551" s="511"/>
      <c r="C551" s="511"/>
      <c r="D551" s="511"/>
      <c r="E551" s="511"/>
      <c r="F551" s="511"/>
      <c r="G551" s="511"/>
      <c r="H551" s="511"/>
      <c r="I551" s="511"/>
      <c r="J551" s="511"/>
      <c r="K551" s="511"/>
      <c r="L551" s="511"/>
      <c r="M551" s="511"/>
      <c r="N551" s="511"/>
      <c r="O551" s="511"/>
      <c r="P551" s="511"/>
      <c r="Q551" s="511"/>
      <c r="R551" s="511"/>
      <c r="S551" s="511"/>
      <c r="T551" s="511"/>
      <c r="U551" s="511"/>
      <c r="V551" s="511"/>
      <c r="W551" s="511"/>
      <c r="X551" s="511"/>
      <c r="Y551" s="511"/>
      <c r="Z551" s="511"/>
      <c r="AA551" s="511"/>
      <c r="AB551" s="511"/>
      <c r="AC551" s="511"/>
      <c r="AD551" s="511"/>
      <c r="AE551" s="511"/>
      <c r="AF551" s="511"/>
      <c r="AG551" s="511"/>
      <c r="AH551" s="511"/>
      <c r="AI551" s="511"/>
      <c r="AJ551" s="511"/>
      <c r="AK551" s="511"/>
      <c r="AL551" s="511"/>
      <c r="AM551" s="511"/>
      <c r="AN551" s="511"/>
      <c r="AO551" s="511"/>
      <c r="AP551" s="511"/>
      <c r="AQ551" s="511"/>
      <c r="AR551" s="511"/>
      <c r="AS551" s="511"/>
      <c r="AT551" s="511"/>
      <c r="AU551" s="511"/>
      <c r="AV551" s="511"/>
      <c r="AW551" s="511"/>
      <c r="AX551" s="511"/>
      <c r="AY551" s="511"/>
      <c r="AZ551" s="511"/>
      <c r="BA551" s="511"/>
      <c r="BB551" s="511"/>
      <c r="BC551" s="511"/>
    </row>
    <row r="552" spans="1:55" ht="16.5" customHeight="1" x14ac:dyDescent="0.3">
      <c r="A552" s="511"/>
      <c r="B552" s="511"/>
      <c r="C552" s="511"/>
      <c r="D552" s="511"/>
      <c r="E552" s="511"/>
      <c r="F552" s="511"/>
      <c r="G552" s="511"/>
      <c r="H552" s="511"/>
      <c r="I552" s="511"/>
      <c r="J552" s="511"/>
      <c r="K552" s="511"/>
      <c r="L552" s="511"/>
      <c r="M552" s="511"/>
      <c r="N552" s="511"/>
      <c r="O552" s="511"/>
      <c r="P552" s="511"/>
      <c r="Q552" s="511"/>
      <c r="R552" s="511"/>
      <c r="S552" s="511"/>
      <c r="T552" s="511"/>
      <c r="U552" s="511"/>
      <c r="V552" s="511"/>
      <c r="W552" s="511"/>
      <c r="X552" s="511"/>
      <c r="Y552" s="511"/>
      <c r="Z552" s="511"/>
      <c r="AA552" s="511"/>
      <c r="AB552" s="511"/>
      <c r="AC552" s="511"/>
      <c r="AD552" s="511"/>
      <c r="AE552" s="511"/>
      <c r="AF552" s="511"/>
      <c r="AG552" s="511"/>
      <c r="AH552" s="511"/>
      <c r="AI552" s="511"/>
      <c r="AJ552" s="511"/>
      <c r="AK552" s="511"/>
      <c r="AL552" s="511"/>
      <c r="AM552" s="511"/>
      <c r="AN552" s="511"/>
      <c r="AO552" s="511"/>
      <c r="AP552" s="511"/>
      <c r="AQ552" s="511"/>
      <c r="AR552" s="511"/>
      <c r="AS552" s="511"/>
      <c r="AT552" s="511"/>
      <c r="AU552" s="511"/>
      <c r="AV552" s="511"/>
      <c r="AW552" s="511"/>
      <c r="AX552" s="511"/>
      <c r="AY552" s="511"/>
      <c r="AZ552" s="511"/>
      <c r="BA552" s="511"/>
      <c r="BB552" s="511"/>
      <c r="BC552" s="511"/>
    </row>
    <row r="553" spans="1:55" ht="16.5" customHeight="1" x14ac:dyDescent="0.3">
      <c r="A553" s="511"/>
      <c r="B553" s="511"/>
      <c r="C553" s="511"/>
      <c r="D553" s="511"/>
      <c r="E553" s="511"/>
      <c r="F553" s="511"/>
      <c r="G553" s="511"/>
      <c r="H553" s="511"/>
      <c r="I553" s="511"/>
      <c r="J553" s="511"/>
      <c r="K553" s="511"/>
      <c r="L553" s="511"/>
      <c r="M553" s="511"/>
      <c r="N553" s="511"/>
      <c r="O553" s="511"/>
      <c r="P553" s="511"/>
      <c r="Q553" s="511"/>
      <c r="R553" s="511"/>
      <c r="S553" s="511"/>
      <c r="T553" s="511"/>
      <c r="U553" s="511"/>
      <c r="V553" s="511"/>
      <c r="W553" s="511"/>
      <c r="X553" s="511"/>
      <c r="Y553" s="511"/>
      <c r="Z553" s="511"/>
      <c r="AA553" s="511"/>
      <c r="AB553" s="511"/>
      <c r="AC553" s="511"/>
      <c r="AD553" s="511"/>
      <c r="AE553" s="511"/>
      <c r="AF553" s="511"/>
      <c r="AG553" s="511"/>
      <c r="AH553" s="511"/>
      <c r="AI553" s="511"/>
      <c r="AJ553" s="511"/>
      <c r="AK553" s="511"/>
      <c r="AL553" s="511"/>
      <c r="AM553" s="511"/>
      <c r="AN553" s="511"/>
      <c r="AO553" s="511"/>
      <c r="AP553" s="511"/>
      <c r="AQ553" s="511"/>
      <c r="AR553" s="511"/>
      <c r="AS553" s="511"/>
      <c r="AT553" s="511"/>
      <c r="AU553" s="511"/>
      <c r="AV553" s="511"/>
      <c r="AW553" s="511"/>
      <c r="AX553" s="511"/>
      <c r="AY553" s="511"/>
      <c r="AZ553" s="511"/>
      <c r="BA553" s="511"/>
      <c r="BB553" s="511"/>
      <c r="BC553" s="511"/>
    </row>
    <row r="554" spans="1:55" ht="16.5" customHeight="1" x14ac:dyDescent="0.3">
      <c r="A554" s="511"/>
      <c r="B554" s="511"/>
      <c r="C554" s="511"/>
      <c r="D554" s="511"/>
      <c r="E554" s="511"/>
      <c r="F554" s="511"/>
      <c r="G554" s="511"/>
      <c r="H554" s="511"/>
      <c r="I554" s="511"/>
      <c r="J554" s="511"/>
      <c r="K554" s="511"/>
      <c r="L554" s="511"/>
      <c r="M554" s="511"/>
      <c r="N554" s="511"/>
      <c r="O554" s="511"/>
      <c r="P554" s="511"/>
      <c r="Q554" s="511"/>
      <c r="R554" s="511"/>
      <c r="S554" s="511"/>
      <c r="T554" s="511"/>
      <c r="U554" s="511"/>
      <c r="V554" s="511"/>
      <c r="W554" s="511"/>
      <c r="X554" s="511"/>
      <c r="Y554" s="511"/>
      <c r="Z554" s="511"/>
      <c r="AA554" s="511"/>
      <c r="AB554" s="511"/>
      <c r="AC554" s="511"/>
      <c r="AD554" s="511"/>
      <c r="AE554" s="511"/>
      <c r="AF554" s="511"/>
      <c r="AG554" s="511"/>
      <c r="AH554" s="511"/>
      <c r="AI554" s="511"/>
      <c r="AJ554" s="511"/>
      <c r="AK554" s="511"/>
      <c r="AL554" s="511"/>
      <c r="AM554" s="511"/>
      <c r="AN554" s="511"/>
      <c r="AO554" s="511"/>
      <c r="AP554" s="511"/>
      <c r="AQ554" s="511"/>
      <c r="AR554" s="511"/>
      <c r="AS554" s="511"/>
      <c r="AT554" s="511"/>
      <c r="AU554" s="511"/>
      <c r="AV554" s="511"/>
      <c r="AW554" s="511"/>
      <c r="AX554" s="511"/>
      <c r="AY554" s="511"/>
      <c r="AZ554" s="511"/>
      <c r="BA554" s="511"/>
      <c r="BB554" s="511"/>
      <c r="BC554" s="511"/>
    </row>
    <row r="555" spans="1:55" ht="16.5" customHeight="1" x14ac:dyDescent="0.3">
      <c r="A555" s="511"/>
      <c r="B555" s="511"/>
      <c r="C555" s="511"/>
      <c r="D555" s="511"/>
      <c r="E555" s="511"/>
      <c r="F555" s="511"/>
      <c r="G555" s="511"/>
      <c r="H555" s="511"/>
      <c r="I555" s="511"/>
      <c r="J555" s="511"/>
      <c r="K555" s="511"/>
      <c r="L555" s="511"/>
      <c r="M555" s="511"/>
      <c r="N555" s="511"/>
      <c r="O555" s="511"/>
      <c r="P555" s="511"/>
      <c r="Q555" s="511"/>
      <c r="R555" s="511"/>
      <c r="S555" s="511"/>
      <c r="T555" s="511"/>
      <c r="U555" s="511"/>
      <c r="V555" s="511"/>
      <c r="W555" s="511"/>
      <c r="X555" s="511"/>
      <c r="Y555" s="511"/>
      <c r="Z555" s="511"/>
      <c r="AA555" s="511"/>
      <c r="AB555" s="511"/>
      <c r="AC555" s="511"/>
      <c r="AD555" s="511"/>
      <c r="AE555" s="511"/>
      <c r="AF555" s="511"/>
      <c r="AG555" s="511"/>
      <c r="AH555" s="511"/>
      <c r="AI555" s="511"/>
      <c r="AJ555" s="511"/>
      <c r="AK555" s="511"/>
      <c r="AL555" s="511"/>
      <c r="AM555" s="511"/>
      <c r="AN555" s="511"/>
      <c r="AO555" s="511"/>
      <c r="AP555" s="511"/>
      <c r="AQ555" s="511"/>
      <c r="AR555" s="511"/>
      <c r="AS555" s="511"/>
      <c r="AT555" s="511"/>
      <c r="AU555" s="511"/>
      <c r="AV555" s="511"/>
      <c r="AW555" s="511"/>
      <c r="AX555" s="511"/>
      <c r="AY555" s="511"/>
      <c r="AZ555" s="511"/>
      <c r="BA555" s="511"/>
      <c r="BB555" s="511"/>
      <c r="BC555" s="511"/>
    </row>
    <row r="556" spans="1:55" ht="16.5" customHeight="1" x14ac:dyDescent="0.3">
      <c r="A556" s="511"/>
      <c r="B556" s="511"/>
      <c r="C556" s="511"/>
      <c r="D556" s="511"/>
      <c r="E556" s="511"/>
      <c r="F556" s="511"/>
      <c r="G556" s="511"/>
      <c r="H556" s="511"/>
      <c r="I556" s="511"/>
      <c r="J556" s="511"/>
      <c r="K556" s="511"/>
      <c r="L556" s="511"/>
      <c r="M556" s="511"/>
      <c r="N556" s="511"/>
      <c r="O556" s="511"/>
      <c r="P556" s="511"/>
      <c r="Q556" s="511"/>
      <c r="R556" s="511"/>
      <c r="S556" s="511"/>
      <c r="T556" s="511"/>
      <c r="U556" s="511"/>
      <c r="V556" s="511"/>
      <c r="W556" s="511"/>
      <c r="X556" s="511"/>
      <c r="Y556" s="511"/>
      <c r="Z556" s="511"/>
      <c r="AA556" s="511"/>
      <c r="AB556" s="511"/>
      <c r="AC556" s="511"/>
      <c r="AD556" s="511"/>
      <c r="AE556" s="511"/>
      <c r="AF556" s="511"/>
      <c r="AG556" s="511"/>
      <c r="AH556" s="511"/>
      <c r="AI556" s="511"/>
      <c r="AJ556" s="511"/>
      <c r="AK556" s="511"/>
      <c r="AL556" s="511"/>
      <c r="AM556" s="511"/>
      <c r="AN556" s="511"/>
      <c r="AO556" s="511"/>
      <c r="AP556" s="511"/>
      <c r="AQ556" s="511"/>
      <c r="AR556" s="511"/>
      <c r="AS556" s="511"/>
      <c r="AT556" s="511"/>
      <c r="AU556" s="511"/>
      <c r="AV556" s="511"/>
      <c r="AW556" s="511"/>
      <c r="AX556" s="511"/>
      <c r="AY556" s="511"/>
      <c r="AZ556" s="511"/>
      <c r="BA556" s="511"/>
      <c r="BB556" s="511"/>
      <c r="BC556" s="511"/>
    </row>
    <row r="557" spans="1:55" ht="16.5" customHeight="1" x14ac:dyDescent="0.3">
      <c r="A557" s="511"/>
      <c r="B557" s="511"/>
      <c r="C557" s="511"/>
      <c r="D557" s="511"/>
      <c r="E557" s="511"/>
      <c r="F557" s="511"/>
      <c r="G557" s="511"/>
      <c r="H557" s="511"/>
      <c r="I557" s="511"/>
      <c r="J557" s="511"/>
      <c r="K557" s="511"/>
      <c r="L557" s="511"/>
      <c r="M557" s="511"/>
      <c r="N557" s="511"/>
      <c r="O557" s="511"/>
      <c r="P557" s="511"/>
      <c r="Q557" s="511"/>
      <c r="R557" s="511"/>
      <c r="S557" s="511"/>
      <c r="T557" s="511"/>
      <c r="U557" s="511"/>
      <c r="V557" s="511"/>
      <c r="W557" s="511"/>
      <c r="X557" s="511"/>
      <c r="Y557" s="511"/>
      <c r="Z557" s="511"/>
      <c r="AA557" s="511"/>
      <c r="AB557" s="511"/>
      <c r="AC557" s="511"/>
      <c r="AD557" s="511"/>
      <c r="AE557" s="511"/>
      <c r="AF557" s="511"/>
      <c r="AG557" s="511"/>
      <c r="AH557" s="511"/>
      <c r="AI557" s="511"/>
      <c r="AJ557" s="511"/>
      <c r="AK557" s="511"/>
      <c r="AL557" s="511"/>
      <c r="AM557" s="511"/>
      <c r="AN557" s="511"/>
      <c r="AO557" s="511"/>
      <c r="AP557" s="511"/>
      <c r="AQ557" s="511"/>
      <c r="AR557" s="511"/>
      <c r="AS557" s="511"/>
      <c r="AT557" s="511"/>
      <c r="AU557" s="511"/>
      <c r="AV557" s="511"/>
      <c r="AW557" s="511"/>
      <c r="AX557" s="511"/>
      <c r="AY557" s="511"/>
      <c r="AZ557" s="511"/>
      <c r="BA557" s="511"/>
      <c r="BB557" s="511"/>
      <c r="BC557" s="511"/>
    </row>
    <row r="558" spans="1:55" ht="16.5" customHeight="1" x14ac:dyDescent="0.3">
      <c r="A558" s="511"/>
      <c r="B558" s="511"/>
      <c r="C558" s="511"/>
      <c r="D558" s="511"/>
      <c r="E558" s="511"/>
      <c r="F558" s="511"/>
      <c r="G558" s="511"/>
      <c r="H558" s="511"/>
      <c r="I558" s="511"/>
      <c r="J558" s="511"/>
      <c r="K558" s="511"/>
      <c r="L558" s="511"/>
      <c r="M558" s="511"/>
      <c r="N558" s="511"/>
      <c r="O558" s="511"/>
      <c r="P558" s="511"/>
      <c r="Q558" s="511"/>
      <c r="R558" s="511"/>
      <c r="S558" s="511"/>
      <c r="T558" s="511"/>
      <c r="U558" s="511"/>
      <c r="V558" s="511"/>
      <c r="W558" s="511"/>
      <c r="X558" s="511"/>
      <c r="Y558" s="511"/>
      <c r="Z558" s="511"/>
      <c r="AA558" s="511"/>
      <c r="AB558" s="511"/>
      <c r="AC558" s="511"/>
      <c r="AD558" s="511"/>
      <c r="AE558" s="511"/>
      <c r="AF558" s="511"/>
      <c r="AG558" s="511"/>
      <c r="AH558" s="511"/>
      <c r="AI558" s="511"/>
      <c r="AJ558" s="511"/>
      <c r="AK558" s="511"/>
      <c r="AL558" s="511"/>
      <c r="AM558" s="511"/>
      <c r="AN558" s="511"/>
      <c r="AO558" s="511"/>
      <c r="AP558" s="511"/>
      <c r="AQ558" s="511"/>
      <c r="AR558" s="511"/>
      <c r="AS558" s="511"/>
      <c r="AT558" s="511"/>
      <c r="AU558" s="511"/>
      <c r="AV558" s="511"/>
      <c r="AW558" s="511"/>
      <c r="AX558" s="511"/>
      <c r="AY558" s="511"/>
      <c r="AZ558" s="511"/>
      <c r="BA558" s="511"/>
      <c r="BB558" s="511"/>
      <c r="BC558" s="511"/>
    </row>
    <row r="559" spans="1:55" ht="16.5" customHeight="1" x14ac:dyDescent="0.3">
      <c r="A559" s="511"/>
      <c r="B559" s="511"/>
      <c r="C559" s="511"/>
      <c r="D559" s="511"/>
      <c r="E559" s="511"/>
      <c r="F559" s="511"/>
      <c r="G559" s="511"/>
      <c r="H559" s="511"/>
      <c r="I559" s="511"/>
      <c r="J559" s="511"/>
      <c r="K559" s="511"/>
      <c r="L559" s="511"/>
      <c r="M559" s="511"/>
      <c r="N559" s="511"/>
      <c r="O559" s="511"/>
      <c r="P559" s="511"/>
      <c r="Q559" s="511"/>
      <c r="R559" s="511"/>
      <c r="S559" s="511"/>
      <c r="T559" s="511"/>
      <c r="U559" s="511"/>
      <c r="V559" s="511"/>
      <c r="W559" s="511"/>
      <c r="X559" s="511"/>
      <c r="Y559" s="511"/>
      <c r="Z559" s="511"/>
      <c r="AA559" s="511"/>
      <c r="AB559" s="511"/>
      <c r="AC559" s="511"/>
      <c r="AD559" s="511"/>
      <c r="AE559" s="511"/>
      <c r="AF559" s="511"/>
      <c r="AG559" s="511"/>
      <c r="AH559" s="511"/>
      <c r="AI559" s="511"/>
      <c r="AJ559" s="511"/>
      <c r="AK559" s="511"/>
      <c r="AL559" s="511"/>
      <c r="AM559" s="511"/>
      <c r="AN559" s="511"/>
      <c r="AO559" s="511"/>
      <c r="AP559" s="511"/>
      <c r="AQ559" s="511"/>
      <c r="AR559" s="511"/>
      <c r="AS559" s="511"/>
      <c r="AT559" s="511"/>
      <c r="AU559" s="511"/>
      <c r="AV559" s="511"/>
      <c r="AW559" s="511"/>
      <c r="AX559" s="511"/>
      <c r="AY559" s="511"/>
      <c r="AZ559" s="511"/>
      <c r="BA559" s="511"/>
      <c r="BB559" s="511"/>
      <c r="BC559" s="511"/>
    </row>
    <row r="560" spans="1:55" ht="16.5" customHeight="1" x14ac:dyDescent="0.3">
      <c r="A560" s="511"/>
      <c r="B560" s="511"/>
      <c r="C560" s="511"/>
      <c r="D560" s="511"/>
      <c r="E560" s="511"/>
      <c r="F560" s="511"/>
      <c r="G560" s="511"/>
      <c r="H560" s="511"/>
      <c r="I560" s="511"/>
      <c r="J560" s="511"/>
      <c r="K560" s="511"/>
      <c r="L560" s="511"/>
      <c r="M560" s="511"/>
      <c r="N560" s="511"/>
      <c r="O560" s="511"/>
      <c r="P560" s="511"/>
      <c r="Q560" s="511"/>
      <c r="R560" s="511"/>
      <c r="S560" s="511"/>
      <c r="T560" s="511"/>
      <c r="U560" s="511"/>
      <c r="V560" s="511"/>
      <c r="W560" s="511"/>
      <c r="X560" s="511"/>
      <c r="Y560" s="511"/>
      <c r="Z560" s="511"/>
      <c r="AA560" s="511"/>
      <c r="AB560" s="511"/>
      <c r="AC560" s="511"/>
      <c r="AD560" s="511"/>
      <c r="AE560" s="511"/>
      <c r="AF560" s="511"/>
      <c r="AG560" s="511"/>
      <c r="AH560" s="511"/>
      <c r="AI560" s="511"/>
      <c r="AJ560" s="511"/>
      <c r="AK560" s="511"/>
      <c r="AL560" s="511"/>
      <c r="AM560" s="511"/>
      <c r="AN560" s="511"/>
      <c r="AO560" s="511"/>
      <c r="AP560" s="511"/>
      <c r="AQ560" s="511"/>
      <c r="AR560" s="511"/>
      <c r="AS560" s="511"/>
      <c r="AT560" s="511"/>
      <c r="AU560" s="511"/>
      <c r="AV560" s="511"/>
      <c r="AW560" s="511"/>
      <c r="AX560" s="511"/>
      <c r="AY560" s="511"/>
      <c r="AZ560" s="511"/>
      <c r="BA560" s="511"/>
      <c r="BB560" s="511"/>
      <c r="BC560" s="511"/>
    </row>
    <row r="561" spans="1:55" ht="16.5" customHeight="1" x14ac:dyDescent="0.3">
      <c r="A561" s="511"/>
      <c r="B561" s="511"/>
      <c r="C561" s="511"/>
      <c r="D561" s="511"/>
      <c r="E561" s="511"/>
      <c r="F561" s="511"/>
      <c r="G561" s="511"/>
      <c r="H561" s="511"/>
      <c r="I561" s="511"/>
      <c r="J561" s="511"/>
      <c r="K561" s="511"/>
      <c r="L561" s="511"/>
      <c r="M561" s="511"/>
      <c r="N561" s="511"/>
      <c r="O561" s="511"/>
      <c r="P561" s="511"/>
      <c r="Q561" s="511"/>
      <c r="R561" s="511"/>
      <c r="S561" s="511"/>
      <c r="T561" s="511"/>
      <c r="U561" s="511"/>
      <c r="V561" s="511"/>
      <c r="W561" s="511"/>
      <c r="X561" s="511"/>
      <c r="Y561" s="511"/>
      <c r="Z561" s="511"/>
      <c r="AA561" s="511"/>
      <c r="AB561" s="511"/>
      <c r="AC561" s="511"/>
      <c r="AD561" s="511"/>
      <c r="AE561" s="511"/>
      <c r="AF561" s="511"/>
      <c r="AG561" s="511"/>
      <c r="AH561" s="511"/>
      <c r="AI561" s="511"/>
      <c r="AJ561" s="511"/>
      <c r="AK561" s="511"/>
      <c r="AL561" s="511"/>
      <c r="AM561" s="511"/>
      <c r="AN561" s="511"/>
      <c r="AO561" s="511"/>
      <c r="AP561" s="511"/>
      <c r="AQ561" s="511"/>
      <c r="AR561" s="511"/>
      <c r="AS561" s="511"/>
      <c r="AT561" s="511"/>
      <c r="AU561" s="511"/>
      <c r="AV561" s="511"/>
      <c r="AW561" s="511"/>
      <c r="AX561" s="511"/>
      <c r="AY561" s="511"/>
      <c r="AZ561" s="511"/>
      <c r="BA561" s="511"/>
      <c r="BB561" s="511"/>
      <c r="BC561" s="511"/>
    </row>
    <row r="562" spans="1:55" ht="16.5" customHeight="1" x14ac:dyDescent="0.3">
      <c r="A562" s="511"/>
      <c r="B562" s="511"/>
      <c r="C562" s="511"/>
      <c r="D562" s="511"/>
      <c r="E562" s="511"/>
      <c r="F562" s="511"/>
      <c r="G562" s="511"/>
      <c r="H562" s="511"/>
      <c r="I562" s="511"/>
      <c r="J562" s="511"/>
      <c r="K562" s="511"/>
      <c r="L562" s="511"/>
      <c r="M562" s="511"/>
      <c r="N562" s="511"/>
      <c r="O562" s="511"/>
      <c r="P562" s="511"/>
      <c r="Q562" s="511"/>
      <c r="R562" s="511"/>
      <c r="S562" s="511"/>
      <c r="T562" s="511"/>
      <c r="U562" s="511"/>
      <c r="V562" s="511"/>
      <c r="W562" s="511"/>
      <c r="X562" s="511"/>
      <c r="Y562" s="511"/>
      <c r="Z562" s="511"/>
      <c r="AA562" s="511"/>
      <c r="AB562" s="511"/>
      <c r="AC562" s="511"/>
      <c r="AD562" s="511"/>
      <c r="AE562" s="511"/>
      <c r="AF562" s="511"/>
      <c r="AG562" s="511"/>
      <c r="AH562" s="511"/>
      <c r="AI562" s="511"/>
      <c r="AJ562" s="511"/>
      <c r="AK562" s="511"/>
      <c r="AL562" s="511"/>
      <c r="AM562" s="511"/>
      <c r="AN562" s="511"/>
      <c r="AO562" s="511"/>
      <c r="AP562" s="511"/>
      <c r="AQ562" s="511"/>
      <c r="AR562" s="511"/>
      <c r="AS562" s="511"/>
      <c r="AT562" s="511"/>
      <c r="AU562" s="511"/>
      <c r="AV562" s="511"/>
      <c r="AW562" s="511"/>
      <c r="AX562" s="511"/>
      <c r="AY562" s="511"/>
      <c r="AZ562" s="511"/>
      <c r="BA562" s="511"/>
      <c r="BB562" s="511"/>
      <c r="BC562" s="511"/>
    </row>
    <row r="563" spans="1:55" ht="16.5" customHeight="1" x14ac:dyDescent="0.3">
      <c r="A563" s="511"/>
      <c r="B563" s="511"/>
      <c r="C563" s="511"/>
      <c r="D563" s="511"/>
      <c r="E563" s="511"/>
      <c r="F563" s="511"/>
      <c r="G563" s="511"/>
      <c r="H563" s="511"/>
      <c r="I563" s="511"/>
      <c r="J563" s="511"/>
      <c r="K563" s="511"/>
      <c r="L563" s="511"/>
      <c r="M563" s="511"/>
      <c r="N563" s="511"/>
      <c r="O563" s="511"/>
      <c r="P563" s="511"/>
      <c r="Q563" s="511"/>
      <c r="R563" s="511"/>
      <c r="S563" s="511"/>
      <c r="T563" s="511"/>
      <c r="U563" s="511"/>
      <c r="V563" s="511"/>
      <c r="W563" s="511"/>
      <c r="X563" s="511"/>
      <c r="Y563" s="511"/>
      <c r="Z563" s="511"/>
      <c r="AA563" s="511"/>
      <c r="AB563" s="511"/>
      <c r="AC563" s="511"/>
      <c r="AD563" s="511"/>
      <c r="AE563" s="511"/>
      <c r="AF563" s="511"/>
      <c r="AG563" s="511"/>
      <c r="AH563" s="511"/>
      <c r="AI563" s="511"/>
      <c r="AJ563" s="511"/>
      <c r="AK563" s="511"/>
      <c r="AL563" s="511"/>
      <c r="AM563" s="511"/>
      <c r="AN563" s="511"/>
      <c r="AO563" s="511"/>
      <c r="AP563" s="511"/>
      <c r="AQ563" s="511"/>
      <c r="AR563" s="511"/>
      <c r="AS563" s="511"/>
      <c r="AT563" s="511"/>
      <c r="AU563" s="511"/>
      <c r="AV563" s="511"/>
      <c r="AW563" s="511"/>
      <c r="AX563" s="511"/>
      <c r="AY563" s="511"/>
      <c r="AZ563" s="511"/>
      <c r="BA563" s="511"/>
      <c r="BB563" s="511"/>
      <c r="BC563" s="511"/>
    </row>
    <row r="564" spans="1:55" ht="16.5" customHeight="1" x14ac:dyDescent="0.3">
      <c r="A564" s="511"/>
      <c r="B564" s="511"/>
      <c r="C564" s="511"/>
      <c r="D564" s="511"/>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c r="AA564" s="511"/>
      <c r="AB564" s="511"/>
      <c r="AC564" s="511"/>
      <c r="AD564" s="511"/>
      <c r="AE564" s="511"/>
      <c r="AF564" s="511"/>
      <c r="AG564" s="511"/>
      <c r="AH564" s="511"/>
      <c r="AI564" s="511"/>
      <c r="AJ564" s="511"/>
      <c r="AK564" s="511"/>
      <c r="AL564" s="511"/>
      <c r="AM564" s="511"/>
      <c r="AN564" s="511"/>
      <c r="AO564" s="511"/>
      <c r="AP564" s="511"/>
      <c r="AQ564" s="511"/>
      <c r="AR564" s="511"/>
      <c r="AS564" s="511"/>
      <c r="AT564" s="511"/>
      <c r="AU564" s="511"/>
      <c r="AV564" s="511"/>
      <c r="AW564" s="511"/>
      <c r="AX564" s="511"/>
      <c r="AY564" s="511"/>
      <c r="AZ564" s="511"/>
      <c r="BA564" s="511"/>
      <c r="BB564" s="511"/>
      <c r="BC564" s="511"/>
    </row>
    <row r="565" spans="1:55" ht="16.5" customHeight="1" x14ac:dyDescent="0.3">
      <c r="A565" s="511"/>
      <c r="B565" s="511"/>
      <c r="C565" s="511"/>
      <c r="D565" s="511"/>
      <c r="E565" s="511"/>
      <c r="F565" s="511"/>
      <c r="G565" s="511"/>
      <c r="H565" s="511"/>
      <c r="I565" s="511"/>
      <c r="J565" s="511"/>
      <c r="K565" s="511"/>
      <c r="L565" s="511"/>
      <c r="M565" s="511"/>
      <c r="N565" s="511"/>
      <c r="O565" s="511"/>
      <c r="P565" s="511"/>
      <c r="Q565" s="511"/>
      <c r="R565" s="511"/>
      <c r="S565" s="511"/>
      <c r="T565" s="511"/>
      <c r="U565" s="511"/>
      <c r="V565" s="511"/>
      <c r="W565" s="511"/>
      <c r="X565" s="511"/>
      <c r="Y565" s="511"/>
      <c r="Z565" s="511"/>
      <c r="AA565" s="511"/>
      <c r="AB565" s="511"/>
      <c r="AC565" s="511"/>
      <c r="AD565" s="511"/>
      <c r="AE565" s="511"/>
      <c r="AF565" s="511"/>
      <c r="AG565" s="511"/>
      <c r="AH565" s="511"/>
      <c r="AI565" s="511"/>
      <c r="AJ565" s="511"/>
      <c r="AK565" s="511"/>
      <c r="AL565" s="511"/>
      <c r="AM565" s="511"/>
      <c r="AN565" s="511"/>
      <c r="AO565" s="511"/>
      <c r="AP565" s="511"/>
      <c r="AQ565" s="511"/>
      <c r="AR565" s="511"/>
      <c r="AS565" s="511"/>
      <c r="AT565" s="511"/>
      <c r="AU565" s="511"/>
      <c r="AV565" s="511"/>
      <c r="AW565" s="511"/>
      <c r="AX565" s="511"/>
      <c r="AY565" s="511"/>
      <c r="AZ565" s="511"/>
      <c r="BA565" s="511"/>
      <c r="BB565" s="511"/>
      <c r="BC565" s="511"/>
    </row>
    <row r="566" spans="1:55" ht="16.5" customHeight="1" x14ac:dyDescent="0.3">
      <c r="A566" s="511"/>
      <c r="B566" s="511"/>
      <c r="C566" s="511"/>
      <c r="D566" s="511"/>
      <c r="E566" s="511"/>
      <c r="F566" s="511"/>
      <c r="G566" s="511"/>
      <c r="H566" s="511"/>
      <c r="I566" s="511"/>
      <c r="J566" s="511"/>
      <c r="K566" s="511"/>
      <c r="L566" s="511"/>
      <c r="M566" s="511"/>
      <c r="N566" s="511"/>
      <c r="O566" s="511"/>
      <c r="P566" s="511"/>
      <c r="Q566" s="511"/>
      <c r="R566" s="511"/>
      <c r="S566" s="511"/>
      <c r="T566" s="511"/>
      <c r="U566" s="511"/>
      <c r="V566" s="511"/>
      <c r="W566" s="511"/>
      <c r="X566" s="511"/>
      <c r="Y566" s="511"/>
      <c r="Z566" s="511"/>
      <c r="AA566" s="511"/>
      <c r="AB566" s="511"/>
      <c r="AC566" s="511"/>
      <c r="AD566" s="511"/>
      <c r="AE566" s="511"/>
      <c r="AF566" s="511"/>
      <c r="AG566" s="511"/>
      <c r="AH566" s="511"/>
      <c r="AI566" s="511"/>
      <c r="AJ566" s="511"/>
      <c r="AK566" s="511"/>
      <c r="AL566" s="511"/>
      <c r="AM566" s="511"/>
      <c r="AN566" s="511"/>
      <c r="AO566" s="511"/>
      <c r="AP566" s="511"/>
      <c r="AQ566" s="511"/>
      <c r="AR566" s="511"/>
      <c r="AS566" s="511"/>
      <c r="AT566" s="511"/>
      <c r="AU566" s="511"/>
      <c r="AV566" s="511"/>
      <c r="AW566" s="511"/>
      <c r="AX566" s="511"/>
      <c r="AY566" s="511"/>
      <c r="AZ566" s="511"/>
      <c r="BA566" s="511"/>
      <c r="BB566" s="511"/>
      <c r="BC566" s="511"/>
    </row>
    <row r="567" spans="1:55" ht="16.5" customHeight="1" x14ac:dyDescent="0.3">
      <c r="A567" s="511"/>
      <c r="B567" s="511"/>
      <c r="C567" s="511"/>
      <c r="D567" s="511"/>
      <c r="E567" s="511"/>
      <c r="F567" s="511"/>
      <c r="G567" s="511"/>
      <c r="H567" s="511"/>
      <c r="I567" s="511"/>
      <c r="J567" s="511"/>
      <c r="K567" s="511"/>
      <c r="L567" s="511"/>
      <c r="M567" s="511"/>
      <c r="N567" s="511"/>
      <c r="O567" s="511"/>
      <c r="P567" s="511"/>
      <c r="Q567" s="511"/>
      <c r="R567" s="511"/>
      <c r="S567" s="511"/>
      <c r="T567" s="511"/>
      <c r="U567" s="511"/>
      <c r="V567" s="511"/>
      <c r="W567" s="511"/>
      <c r="X567" s="511"/>
      <c r="Y567" s="511"/>
      <c r="Z567" s="511"/>
      <c r="AA567" s="511"/>
      <c r="AB567" s="511"/>
      <c r="AC567" s="511"/>
      <c r="AD567" s="511"/>
      <c r="AE567" s="511"/>
      <c r="AF567" s="511"/>
      <c r="AG567" s="511"/>
      <c r="AH567" s="511"/>
      <c r="AI567" s="511"/>
      <c r="AJ567" s="511"/>
      <c r="AK567" s="511"/>
      <c r="AL567" s="511"/>
      <c r="AM567" s="511"/>
      <c r="AN567" s="511"/>
      <c r="AO567" s="511"/>
      <c r="AP567" s="511"/>
      <c r="AQ567" s="511"/>
      <c r="AR567" s="511"/>
      <c r="AS567" s="511"/>
      <c r="AT567" s="511"/>
      <c r="AU567" s="511"/>
      <c r="AV567" s="511"/>
      <c r="AW567" s="511"/>
      <c r="AX567" s="511"/>
      <c r="AY567" s="511"/>
      <c r="AZ567" s="511"/>
      <c r="BA567" s="511"/>
      <c r="BB567" s="511"/>
      <c r="BC567" s="511"/>
    </row>
    <row r="568" spans="1:55" ht="16.5" customHeight="1" x14ac:dyDescent="0.3">
      <c r="A568" s="511"/>
      <c r="B568" s="511"/>
      <c r="C568" s="511"/>
      <c r="D568" s="511"/>
      <c r="E568" s="511"/>
      <c r="F568" s="511"/>
      <c r="G568" s="511"/>
      <c r="H568" s="511"/>
      <c r="I568" s="511"/>
      <c r="J568" s="511"/>
      <c r="K568" s="511"/>
      <c r="L568" s="511"/>
      <c r="M568" s="511"/>
      <c r="N568" s="511"/>
      <c r="O568" s="511"/>
      <c r="P568" s="511"/>
      <c r="Q568" s="511"/>
      <c r="R568" s="511"/>
      <c r="S568" s="511"/>
      <c r="T568" s="511"/>
      <c r="U568" s="511"/>
      <c r="V568" s="511"/>
      <c r="W568" s="511"/>
      <c r="X568" s="511"/>
      <c r="Y568" s="511"/>
      <c r="Z568" s="511"/>
      <c r="AA568" s="511"/>
      <c r="AB568" s="511"/>
      <c r="AC568" s="511"/>
      <c r="AD568" s="511"/>
      <c r="AE568" s="511"/>
      <c r="AF568" s="511"/>
      <c r="AG568" s="511"/>
      <c r="AH568" s="511"/>
      <c r="AI568" s="511"/>
      <c r="AJ568" s="511"/>
      <c r="AK568" s="511"/>
      <c r="AL568" s="511"/>
      <c r="AM568" s="511"/>
      <c r="AN568" s="511"/>
      <c r="AO568" s="511"/>
      <c r="AP568" s="511"/>
      <c r="AQ568" s="511"/>
      <c r="AR568" s="511"/>
      <c r="AS568" s="511"/>
      <c r="AT568" s="511"/>
      <c r="AU568" s="511"/>
      <c r="AV568" s="511"/>
      <c r="AW568" s="511"/>
      <c r="AX568" s="511"/>
      <c r="AY568" s="511"/>
      <c r="AZ568" s="511"/>
      <c r="BA568" s="511"/>
      <c r="BB568" s="511"/>
      <c r="BC568" s="511"/>
    </row>
    <row r="569" spans="1:55" ht="16.5" customHeight="1" x14ac:dyDescent="0.3">
      <c r="A569" s="511"/>
      <c r="B569" s="511"/>
      <c r="C569" s="511"/>
      <c r="D569" s="511"/>
      <c r="E569" s="511"/>
      <c r="F569" s="511"/>
      <c r="G569" s="511"/>
      <c r="H569" s="511"/>
      <c r="I569" s="511"/>
      <c r="J569" s="511"/>
      <c r="K569" s="511"/>
      <c r="L569" s="511"/>
      <c r="M569" s="511"/>
      <c r="N569" s="511"/>
      <c r="O569" s="511"/>
      <c r="P569" s="511"/>
      <c r="Q569" s="511"/>
      <c r="R569" s="511"/>
      <c r="S569" s="511"/>
      <c r="T569" s="511"/>
      <c r="U569" s="511"/>
      <c r="V569" s="511"/>
      <c r="W569" s="511"/>
      <c r="X569" s="511"/>
      <c r="Y569" s="511"/>
      <c r="Z569" s="511"/>
      <c r="AA569" s="511"/>
      <c r="AB569" s="511"/>
      <c r="AC569" s="511"/>
      <c r="AD569" s="511"/>
      <c r="AE569" s="511"/>
      <c r="AF569" s="511"/>
      <c r="AG569" s="511"/>
      <c r="AH569" s="511"/>
      <c r="AI569" s="511"/>
      <c r="AJ569" s="511"/>
      <c r="AK569" s="511"/>
      <c r="AL569" s="511"/>
      <c r="AM569" s="511"/>
      <c r="AN569" s="511"/>
      <c r="AO569" s="511"/>
      <c r="AP569" s="511"/>
      <c r="AQ569" s="511"/>
      <c r="AR569" s="511"/>
      <c r="AS569" s="511"/>
      <c r="AT569" s="511"/>
      <c r="AU569" s="511"/>
      <c r="AV569" s="511"/>
      <c r="AW569" s="511"/>
      <c r="AX569" s="511"/>
      <c r="AY569" s="511"/>
      <c r="AZ569" s="511"/>
      <c r="BA569" s="511"/>
      <c r="BB569" s="511"/>
      <c r="BC569" s="511"/>
    </row>
    <row r="570" spans="1:55" ht="16.5" customHeight="1" x14ac:dyDescent="0.3">
      <c r="A570" s="511"/>
      <c r="B570" s="511"/>
      <c r="C570" s="511"/>
      <c r="D570" s="511"/>
      <c r="E570" s="511"/>
      <c r="F570" s="511"/>
      <c r="G570" s="511"/>
      <c r="H570" s="511"/>
      <c r="I570" s="511"/>
      <c r="J570" s="511"/>
      <c r="K570" s="511"/>
      <c r="L570" s="511"/>
      <c r="M570" s="511"/>
      <c r="N570" s="511"/>
      <c r="O570" s="511"/>
      <c r="P570" s="511"/>
      <c r="Q570" s="511"/>
      <c r="R570" s="511"/>
      <c r="S570" s="511"/>
      <c r="T570" s="511"/>
      <c r="U570" s="511"/>
      <c r="V570" s="511"/>
      <c r="W570" s="511"/>
      <c r="X570" s="511"/>
      <c r="Y570" s="511"/>
      <c r="Z570" s="511"/>
      <c r="AA570" s="511"/>
      <c r="AB570" s="511"/>
      <c r="AC570" s="511"/>
      <c r="AD570" s="511"/>
      <c r="AE570" s="511"/>
      <c r="AF570" s="511"/>
      <c r="AG570" s="511"/>
      <c r="AH570" s="511"/>
      <c r="AI570" s="511"/>
      <c r="AJ570" s="511"/>
      <c r="AK570" s="511"/>
      <c r="AL570" s="511"/>
      <c r="AM570" s="511"/>
      <c r="AN570" s="511"/>
      <c r="AO570" s="511"/>
      <c r="AP570" s="511"/>
      <c r="AQ570" s="511"/>
      <c r="AR570" s="511"/>
      <c r="AS570" s="511"/>
      <c r="AT570" s="511"/>
      <c r="AU570" s="511"/>
      <c r="AV570" s="511"/>
      <c r="AW570" s="511"/>
      <c r="AX570" s="511"/>
      <c r="AY570" s="511"/>
      <c r="AZ570" s="511"/>
      <c r="BA570" s="511"/>
      <c r="BB570" s="511"/>
      <c r="BC570" s="511"/>
    </row>
    <row r="571" spans="1:55" ht="16.5" customHeight="1" x14ac:dyDescent="0.3">
      <c r="A571" s="511"/>
      <c r="B571" s="511"/>
      <c r="C571" s="511"/>
      <c r="D571" s="511"/>
      <c r="E571" s="511"/>
      <c r="F571" s="511"/>
      <c r="G571" s="511"/>
      <c r="H571" s="511"/>
      <c r="I571" s="511"/>
      <c r="J571" s="511"/>
      <c r="K571" s="511"/>
      <c r="L571" s="511"/>
      <c r="M571" s="511"/>
      <c r="N571" s="511"/>
      <c r="O571" s="511"/>
      <c r="P571" s="511"/>
      <c r="Q571" s="511"/>
      <c r="R571" s="511"/>
      <c r="S571" s="511"/>
      <c r="T571" s="511"/>
      <c r="U571" s="511"/>
      <c r="V571" s="511"/>
      <c r="W571" s="511"/>
      <c r="X571" s="511"/>
      <c r="Y571" s="511"/>
      <c r="Z571" s="511"/>
      <c r="AA571" s="511"/>
      <c r="AB571" s="511"/>
      <c r="AC571" s="511"/>
      <c r="AD571" s="511"/>
      <c r="AE571" s="511"/>
      <c r="AF571" s="511"/>
      <c r="AG571" s="511"/>
      <c r="AH571" s="511"/>
      <c r="AI571" s="511"/>
      <c r="AJ571" s="511"/>
      <c r="AK571" s="511"/>
      <c r="AL571" s="511"/>
      <c r="AM571" s="511"/>
      <c r="AN571" s="511"/>
      <c r="AO571" s="511"/>
      <c r="AP571" s="511"/>
      <c r="AQ571" s="511"/>
      <c r="AR571" s="511"/>
      <c r="AS571" s="511"/>
      <c r="AT571" s="511"/>
      <c r="AU571" s="511"/>
      <c r="AV571" s="511"/>
      <c r="AW571" s="511"/>
      <c r="AX571" s="511"/>
      <c r="AY571" s="511"/>
      <c r="AZ571" s="511"/>
      <c r="BA571" s="511"/>
      <c r="BB571" s="511"/>
      <c r="BC571" s="511"/>
    </row>
    <row r="572" spans="1:55" ht="16.5" customHeight="1" x14ac:dyDescent="0.3">
      <c r="A572" s="511"/>
      <c r="B572" s="511"/>
      <c r="C572" s="511"/>
      <c r="D572" s="511"/>
      <c r="E572" s="511"/>
      <c r="F572" s="511"/>
      <c r="G572" s="511"/>
      <c r="H572" s="511"/>
      <c r="I572" s="511"/>
      <c r="J572" s="511"/>
      <c r="K572" s="511"/>
      <c r="L572" s="511"/>
      <c r="M572" s="511"/>
      <c r="N572" s="511"/>
      <c r="O572" s="511"/>
      <c r="P572" s="511"/>
      <c r="Q572" s="511"/>
      <c r="R572" s="511"/>
      <c r="S572" s="511"/>
      <c r="T572" s="511"/>
      <c r="U572" s="511"/>
      <c r="V572" s="511"/>
      <c r="W572" s="511"/>
      <c r="X572" s="511"/>
      <c r="Y572" s="511"/>
      <c r="Z572" s="511"/>
      <c r="AA572" s="511"/>
      <c r="AB572" s="511"/>
      <c r="AC572" s="511"/>
      <c r="AD572" s="511"/>
      <c r="AE572" s="511"/>
      <c r="AF572" s="511"/>
      <c r="AG572" s="511"/>
      <c r="AH572" s="511"/>
      <c r="AI572" s="511"/>
      <c r="AJ572" s="511"/>
      <c r="AK572" s="511"/>
      <c r="AL572" s="511"/>
      <c r="AM572" s="511"/>
      <c r="AN572" s="511"/>
      <c r="AO572" s="511"/>
      <c r="AP572" s="511"/>
      <c r="AQ572" s="511"/>
      <c r="AR572" s="511"/>
      <c r="AS572" s="511"/>
      <c r="AT572" s="511"/>
      <c r="AU572" s="511"/>
      <c r="AV572" s="511"/>
      <c r="AW572" s="511"/>
      <c r="AX572" s="511"/>
      <c r="AY572" s="511"/>
      <c r="AZ572" s="511"/>
      <c r="BA572" s="511"/>
      <c r="BB572" s="511"/>
      <c r="BC572" s="511"/>
    </row>
    <row r="573" spans="1:55" ht="16.5" customHeight="1" x14ac:dyDescent="0.3">
      <c r="A573" s="511"/>
      <c r="B573" s="511"/>
      <c r="C573" s="511"/>
      <c r="D573" s="511"/>
      <c r="E573" s="511"/>
      <c r="F573" s="511"/>
      <c r="G573" s="511"/>
      <c r="H573" s="511"/>
      <c r="I573" s="511"/>
      <c r="J573" s="511"/>
      <c r="K573" s="511"/>
      <c r="L573" s="511"/>
      <c r="M573" s="511"/>
      <c r="N573" s="511"/>
      <c r="O573" s="511"/>
      <c r="P573" s="511"/>
      <c r="Q573" s="511"/>
      <c r="R573" s="511"/>
      <c r="S573" s="511"/>
      <c r="T573" s="511"/>
      <c r="U573" s="511"/>
      <c r="V573" s="511"/>
      <c r="W573" s="511"/>
      <c r="X573" s="511"/>
      <c r="Y573" s="511"/>
      <c r="Z573" s="511"/>
      <c r="AA573" s="511"/>
      <c r="AB573" s="511"/>
      <c r="AC573" s="511"/>
      <c r="AD573" s="511"/>
      <c r="AE573" s="511"/>
      <c r="AF573" s="511"/>
      <c r="AG573" s="511"/>
      <c r="AH573" s="511"/>
      <c r="AI573" s="511"/>
      <c r="AJ573" s="511"/>
      <c r="AK573" s="511"/>
      <c r="AL573" s="511"/>
      <c r="AM573" s="511"/>
      <c r="AN573" s="511"/>
      <c r="AO573" s="511"/>
      <c r="AP573" s="511"/>
      <c r="AQ573" s="511"/>
      <c r="AR573" s="511"/>
      <c r="AS573" s="511"/>
      <c r="AT573" s="511"/>
      <c r="AU573" s="511"/>
      <c r="AV573" s="511"/>
      <c r="AW573" s="511"/>
      <c r="AX573" s="511"/>
      <c r="AY573" s="511"/>
      <c r="AZ573" s="511"/>
      <c r="BA573" s="511"/>
      <c r="BB573" s="511"/>
      <c r="BC573" s="511"/>
    </row>
    <row r="574" spans="1:55" ht="16.5" customHeight="1" x14ac:dyDescent="0.3">
      <c r="A574" s="511"/>
      <c r="B574" s="511"/>
      <c r="C574" s="511"/>
      <c r="D574" s="511"/>
      <c r="E574" s="511"/>
      <c r="F574" s="511"/>
      <c r="G574" s="511"/>
      <c r="H574" s="511"/>
      <c r="I574" s="511"/>
      <c r="J574" s="511"/>
      <c r="K574" s="511"/>
      <c r="L574" s="511"/>
      <c r="M574" s="511"/>
      <c r="N574" s="511"/>
      <c r="O574" s="511"/>
      <c r="P574" s="511"/>
      <c r="Q574" s="511"/>
      <c r="R574" s="511"/>
      <c r="S574" s="511"/>
      <c r="T574" s="511"/>
      <c r="U574" s="511"/>
      <c r="V574" s="511"/>
      <c r="W574" s="511"/>
      <c r="X574" s="511"/>
      <c r="Y574" s="511"/>
      <c r="Z574" s="511"/>
      <c r="AA574" s="511"/>
      <c r="AB574" s="511"/>
      <c r="AC574" s="511"/>
      <c r="AD574" s="511"/>
      <c r="AE574" s="511"/>
      <c r="AF574" s="511"/>
      <c r="AG574" s="511"/>
      <c r="AH574" s="511"/>
      <c r="AI574" s="511"/>
      <c r="AJ574" s="511"/>
      <c r="AK574" s="511"/>
      <c r="AL574" s="511"/>
      <c r="AM574" s="511"/>
      <c r="AN574" s="511"/>
      <c r="AO574" s="511"/>
      <c r="AP574" s="511"/>
      <c r="AQ574" s="511"/>
      <c r="AR574" s="511"/>
      <c r="AS574" s="511"/>
      <c r="AT574" s="511"/>
      <c r="AU574" s="511"/>
      <c r="AV574" s="511"/>
      <c r="AW574" s="511"/>
      <c r="AX574" s="511"/>
      <c r="AY574" s="511"/>
      <c r="AZ574" s="511"/>
      <c r="BA574" s="511"/>
      <c r="BB574" s="511"/>
      <c r="BC574" s="511"/>
    </row>
    <row r="575" spans="1:55" ht="16.5" customHeight="1" x14ac:dyDescent="0.3">
      <c r="A575" s="511"/>
      <c r="B575" s="511"/>
      <c r="C575" s="511"/>
      <c r="D575" s="511"/>
      <c r="E575" s="511"/>
      <c r="F575" s="511"/>
      <c r="G575" s="511"/>
      <c r="H575" s="511"/>
      <c r="I575" s="511"/>
      <c r="J575" s="511"/>
      <c r="K575" s="511"/>
      <c r="L575" s="511"/>
      <c r="M575" s="511"/>
      <c r="N575" s="511"/>
      <c r="O575" s="511"/>
      <c r="P575" s="511"/>
      <c r="Q575" s="511"/>
      <c r="R575" s="511"/>
      <c r="S575" s="511"/>
      <c r="T575" s="511"/>
      <c r="U575" s="511"/>
      <c r="V575" s="511"/>
      <c r="W575" s="511"/>
      <c r="X575" s="511"/>
      <c r="Y575" s="511"/>
      <c r="Z575" s="511"/>
      <c r="AA575" s="511"/>
      <c r="AB575" s="511"/>
      <c r="AC575" s="511"/>
      <c r="AD575" s="511"/>
      <c r="AE575" s="511"/>
      <c r="AF575" s="511"/>
      <c r="AG575" s="511"/>
      <c r="AH575" s="511"/>
      <c r="AI575" s="511"/>
      <c r="AJ575" s="511"/>
      <c r="AK575" s="511"/>
      <c r="AL575" s="511"/>
      <c r="AM575" s="511"/>
      <c r="AN575" s="511"/>
      <c r="AO575" s="511"/>
      <c r="AP575" s="511"/>
      <c r="AQ575" s="511"/>
      <c r="AR575" s="511"/>
      <c r="AS575" s="511"/>
      <c r="AT575" s="511"/>
      <c r="AU575" s="511"/>
      <c r="AV575" s="511"/>
      <c r="AW575" s="511"/>
      <c r="AX575" s="511"/>
      <c r="AY575" s="511"/>
      <c r="AZ575" s="511"/>
      <c r="BA575" s="511"/>
      <c r="BB575" s="511"/>
      <c r="BC575" s="511"/>
    </row>
    <row r="576" spans="1:55" ht="16.5" customHeight="1" x14ac:dyDescent="0.3">
      <c r="A576" s="511"/>
      <c r="B576" s="511"/>
      <c r="C576" s="511"/>
      <c r="D576" s="511"/>
      <c r="E576" s="511"/>
      <c r="F576" s="511"/>
      <c r="G576" s="511"/>
      <c r="H576" s="511"/>
      <c r="I576" s="511"/>
      <c r="J576" s="511"/>
      <c r="K576" s="511"/>
      <c r="L576" s="511"/>
      <c r="M576" s="511"/>
      <c r="N576" s="511"/>
      <c r="O576" s="511"/>
      <c r="P576" s="511"/>
      <c r="Q576" s="511"/>
      <c r="R576" s="511"/>
      <c r="S576" s="511"/>
      <c r="T576" s="511"/>
      <c r="U576" s="511"/>
      <c r="V576" s="511"/>
      <c r="W576" s="511"/>
      <c r="X576" s="511"/>
      <c r="Y576" s="511"/>
      <c r="Z576" s="511"/>
      <c r="AA576" s="511"/>
      <c r="AB576" s="511"/>
      <c r="AC576" s="511"/>
      <c r="AD576" s="511"/>
      <c r="AE576" s="511"/>
      <c r="AF576" s="511"/>
      <c r="AG576" s="511"/>
      <c r="AH576" s="511"/>
      <c r="AI576" s="511"/>
      <c r="AJ576" s="511"/>
      <c r="AK576" s="511"/>
      <c r="AL576" s="511"/>
      <c r="AM576" s="511"/>
      <c r="AN576" s="511"/>
      <c r="AO576" s="511"/>
      <c r="AP576" s="511"/>
      <c r="AQ576" s="511"/>
      <c r="AR576" s="511"/>
      <c r="AS576" s="511"/>
      <c r="AT576" s="511"/>
      <c r="AU576" s="511"/>
      <c r="AV576" s="511"/>
      <c r="AW576" s="511"/>
      <c r="AX576" s="511"/>
      <c r="AY576" s="511"/>
      <c r="AZ576" s="511"/>
      <c r="BA576" s="511"/>
      <c r="BB576" s="511"/>
      <c r="BC576" s="511"/>
    </row>
    <row r="577" spans="1:55" ht="16.5" customHeight="1" x14ac:dyDescent="0.3">
      <c r="A577" s="511"/>
      <c r="B577" s="511"/>
      <c r="C577" s="511"/>
      <c r="D577" s="511"/>
      <c r="E577" s="511"/>
      <c r="F577" s="511"/>
      <c r="G577" s="511"/>
      <c r="H577" s="511"/>
      <c r="I577" s="511"/>
      <c r="J577" s="511"/>
      <c r="K577" s="511"/>
      <c r="L577" s="511"/>
      <c r="M577" s="511"/>
      <c r="N577" s="511"/>
      <c r="O577" s="511"/>
      <c r="P577" s="511"/>
      <c r="Q577" s="511"/>
      <c r="R577" s="511"/>
      <c r="S577" s="511"/>
      <c r="T577" s="511"/>
      <c r="U577" s="511"/>
      <c r="V577" s="511"/>
      <c r="W577" s="511"/>
      <c r="X577" s="511"/>
      <c r="Y577" s="511"/>
      <c r="Z577" s="511"/>
      <c r="AA577" s="511"/>
      <c r="AB577" s="511"/>
      <c r="AC577" s="511"/>
      <c r="AD577" s="511"/>
      <c r="AE577" s="511"/>
      <c r="AF577" s="511"/>
      <c r="AG577" s="511"/>
      <c r="AH577" s="511"/>
      <c r="AI577" s="511"/>
      <c r="AJ577" s="511"/>
      <c r="AK577" s="511"/>
      <c r="AL577" s="511"/>
      <c r="AM577" s="511"/>
      <c r="AN577" s="511"/>
      <c r="AO577" s="511"/>
      <c r="AP577" s="511"/>
      <c r="AQ577" s="511"/>
      <c r="AR577" s="511"/>
      <c r="AS577" s="511"/>
      <c r="AT577" s="511"/>
      <c r="AU577" s="511"/>
      <c r="AV577" s="511"/>
      <c r="AW577" s="511"/>
      <c r="AX577" s="511"/>
      <c r="AY577" s="511"/>
      <c r="AZ577" s="511"/>
      <c r="BA577" s="511"/>
      <c r="BB577" s="511"/>
      <c r="BC577" s="511"/>
    </row>
    <row r="578" spans="1:55" ht="16.5" customHeight="1" x14ac:dyDescent="0.3">
      <c r="A578" s="511"/>
      <c r="B578" s="511"/>
      <c r="C578" s="511"/>
      <c r="D578" s="511"/>
      <c r="E578" s="511"/>
      <c r="F578" s="511"/>
      <c r="G578" s="511"/>
      <c r="H578" s="511"/>
      <c r="I578" s="511"/>
      <c r="J578" s="511"/>
      <c r="K578" s="511"/>
      <c r="L578" s="511"/>
      <c r="M578" s="511"/>
      <c r="N578" s="511"/>
      <c r="O578" s="511"/>
      <c r="P578" s="511"/>
      <c r="Q578" s="511"/>
      <c r="R578" s="511"/>
      <c r="S578" s="511"/>
      <c r="T578" s="511"/>
      <c r="U578" s="511"/>
      <c r="V578" s="511"/>
      <c r="W578" s="511"/>
      <c r="X578" s="511"/>
      <c r="Y578" s="511"/>
      <c r="Z578" s="511"/>
      <c r="AA578" s="511"/>
      <c r="AB578" s="511"/>
      <c r="AC578" s="511"/>
      <c r="AD578" s="511"/>
      <c r="AE578" s="511"/>
      <c r="AF578" s="511"/>
      <c r="AG578" s="511"/>
      <c r="AH578" s="511"/>
      <c r="AI578" s="511"/>
      <c r="AJ578" s="511"/>
      <c r="AK578" s="511"/>
      <c r="AL578" s="511"/>
      <c r="AM578" s="511"/>
      <c r="AN578" s="511"/>
      <c r="AO578" s="511"/>
      <c r="AP578" s="511"/>
      <c r="AQ578" s="511"/>
      <c r="AR578" s="511"/>
      <c r="AS578" s="511"/>
      <c r="AT578" s="511"/>
      <c r="AU578" s="511"/>
      <c r="AV578" s="511"/>
      <c r="AW578" s="511"/>
      <c r="AX578" s="511"/>
      <c r="AY578" s="511"/>
      <c r="AZ578" s="511"/>
      <c r="BA578" s="511"/>
      <c r="BB578" s="511"/>
      <c r="BC578" s="511"/>
    </row>
    <row r="579" spans="1:55" ht="16.5" customHeight="1" x14ac:dyDescent="0.3">
      <c r="A579" s="511"/>
      <c r="B579" s="511"/>
      <c r="C579" s="511"/>
      <c r="D579" s="511"/>
      <c r="E579" s="511"/>
      <c r="F579" s="511"/>
      <c r="G579" s="511"/>
      <c r="H579" s="511"/>
      <c r="I579" s="511"/>
      <c r="J579" s="511"/>
      <c r="K579" s="511"/>
      <c r="L579" s="511"/>
      <c r="M579" s="511"/>
      <c r="N579" s="511"/>
      <c r="O579" s="511"/>
      <c r="P579" s="511"/>
      <c r="Q579" s="511"/>
      <c r="R579" s="511"/>
      <c r="S579" s="511"/>
      <c r="T579" s="511"/>
      <c r="U579" s="511"/>
      <c r="V579" s="511"/>
      <c r="W579" s="511"/>
      <c r="X579" s="511"/>
      <c r="Y579" s="511"/>
      <c r="Z579" s="511"/>
      <c r="AA579" s="511"/>
      <c r="AB579" s="511"/>
      <c r="AC579" s="511"/>
      <c r="AD579" s="511"/>
      <c r="AE579" s="511"/>
      <c r="AF579" s="511"/>
      <c r="AG579" s="511"/>
      <c r="AH579" s="511"/>
      <c r="AI579" s="511"/>
      <c r="AJ579" s="511"/>
      <c r="AK579" s="511"/>
      <c r="AL579" s="511"/>
      <c r="AM579" s="511"/>
      <c r="AN579" s="511"/>
      <c r="AO579" s="511"/>
      <c r="AP579" s="511"/>
      <c r="AQ579" s="511"/>
      <c r="AR579" s="511"/>
      <c r="AS579" s="511"/>
      <c r="AT579" s="511"/>
      <c r="AU579" s="511"/>
      <c r="AV579" s="511"/>
      <c r="AW579" s="511"/>
      <c r="AX579" s="511"/>
      <c r="AY579" s="511"/>
      <c r="AZ579" s="511"/>
      <c r="BA579" s="511"/>
      <c r="BB579" s="511"/>
      <c r="BC579" s="511"/>
    </row>
    <row r="580" spans="1:55" ht="16.5" customHeight="1" x14ac:dyDescent="0.3">
      <c r="A580" s="511"/>
      <c r="B580" s="511"/>
      <c r="C580" s="511"/>
      <c r="D580" s="511"/>
      <c r="E580" s="511"/>
      <c r="F580" s="511"/>
      <c r="G580" s="511"/>
      <c r="H580" s="511"/>
      <c r="I580" s="511"/>
      <c r="J580" s="511"/>
      <c r="K580" s="511"/>
      <c r="L580" s="511"/>
      <c r="M580" s="511"/>
      <c r="N580" s="511"/>
      <c r="O580" s="511"/>
      <c r="P580" s="511"/>
      <c r="Q580" s="511"/>
      <c r="R580" s="511"/>
      <c r="S580" s="511"/>
      <c r="T580" s="511"/>
      <c r="U580" s="511"/>
      <c r="V580" s="511"/>
      <c r="W580" s="511"/>
      <c r="X580" s="511"/>
      <c r="Y580" s="511"/>
      <c r="Z580" s="511"/>
      <c r="AA580" s="511"/>
      <c r="AB580" s="511"/>
      <c r="AC580" s="511"/>
      <c r="AD580" s="511"/>
      <c r="AE580" s="511"/>
      <c r="AF580" s="511"/>
      <c r="AG580" s="511"/>
      <c r="AH580" s="511"/>
      <c r="AI580" s="511"/>
      <c r="AJ580" s="511"/>
      <c r="AK580" s="511"/>
      <c r="AL580" s="511"/>
      <c r="AM580" s="511"/>
      <c r="AN580" s="511"/>
      <c r="AO580" s="511"/>
      <c r="AP580" s="511"/>
      <c r="AQ580" s="511"/>
      <c r="AR580" s="511"/>
      <c r="AS580" s="511"/>
      <c r="AT580" s="511"/>
      <c r="AU580" s="511"/>
      <c r="AV580" s="511"/>
      <c r="AW580" s="511"/>
      <c r="AX580" s="511"/>
      <c r="AY580" s="511"/>
      <c r="AZ580" s="511"/>
      <c r="BA580" s="511"/>
      <c r="BB580" s="511"/>
      <c r="BC580" s="511"/>
    </row>
    <row r="581" spans="1:55" ht="16.5" customHeight="1" x14ac:dyDescent="0.3">
      <c r="A581" s="511"/>
      <c r="B581" s="511"/>
      <c r="C581" s="511"/>
      <c r="D581" s="511"/>
      <c r="E581" s="511"/>
      <c r="F581" s="511"/>
      <c r="G581" s="511"/>
      <c r="H581" s="511"/>
      <c r="I581" s="511"/>
      <c r="J581" s="511"/>
      <c r="K581" s="511"/>
      <c r="L581" s="511"/>
      <c r="M581" s="511"/>
      <c r="N581" s="511"/>
      <c r="O581" s="511"/>
      <c r="P581" s="511"/>
      <c r="Q581" s="511"/>
      <c r="R581" s="511"/>
      <c r="S581" s="511"/>
      <c r="T581" s="511"/>
      <c r="U581" s="511"/>
      <c r="V581" s="511"/>
      <c r="W581" s="511"/>
      <c r="X581" s="511"/>
      <c r="Y581" s="511"/>
      <c r="Z581" s="511"/>
      <c r="AA581" s="511"/>
      <c r="AB581" s="511"/>
      <c r="AC581" s="511"/>
      <c r="AD581" s="511"/>
      <c r="AE581" s="511"/>
      <c r="AF581" s="511"/>
      <c r="AG581" s="511"/>
      <c r="AH581" s="511"/>
      <c r="AI581" s="511"/>
      <c r="AJ581" s="511"/>
      <c r="AK581" s="511"/>
      <c r="AL581" s="511"/>
      <c r="AM581" s="511"/>
      <c r="AN581" s="511"/>
      <c r="AO581" s="511"/>
      <c r="AP581" s="511"/>
      <c r="AQ581" s="511"/>
      <c r="AR581" s="511"/>
      <c r="AS581" s="511"/>
      <c r="AT581" s="511"/>
      <c r="AU581" s="511"/>
      <c r="AV581" s="511"/>
      <c r="AW581" s="511"/>
      <c r="AX581" s="511"/>
      <c r="AY581" s="511"/>
      <c r="AZ581" s="511"/>
      <c r="BA581" s="511"/>
      <c r="BB581" s="511"/>
      <c r="BC581" s="511"/>
    </row>
    <row r="582" spans="1:55" ht="16.5" customHeight="1" x14ac:dyDescent="0.3">
      <c r="A582" s="511"/>
      <c r="B582" s="511"/>
      <c r="C582" s="511"/>
      <c r="D582" s="511"/>
      <c r="E582" s="511"/>
      <c r="F582" s="511"/>
      <c r="G582" s="511"/>
      <c r="H582" s="511"/>
      <c r="I582" s="511"/>
      <c r="J582" s="511"/>
      <c r="K582" s="511"/>
      <c r="L582" s="511"/>
      <c r="M582" s="511"/>
      <c r="N582" s="511"/>
      <c r="O582" s="511"/>
      <c r="P582" s="511"/>
      <c r="Q582" s="511"/>
      <c r="R582" s="511"/>
      <c r="S582" s="511"/>
      <c r="T582" s="511"/>
      <c r="U582" s="511"/>
      <c r="V582" s="511"/>
      <c r="W582" s="511"/>
      <c r="X582" s="511"/>
      <c r="Y582" s="511"/>
      <c r="Z582" s="511"/>
      <c r="AA582" s="511"/>
      <c r="AB582" s="511"/>
      <c r="AC582" s="511"/>
      <c r="AD582" s="511"/>
      <c r="AE582" s="511"/>
      <c r="AF582" s="511"/>
      <c r="AG582" s="511"/>
      <c r="AH582" s="511"/>
      <c r="AI582" s="511"/>
      <c r="AJ582" s="511"/>
      <c r="AK582" s="511"/>
      <c r="AL582" s="511"/>
      <c r="AM582" s="511"/>
      <c r="AN582" s="511"/>
      <c r="AO582" s="511"/>
      <c r="AP582" s="511"/>
      <c r="AQ582" s="511"/>
      <c r="AR582" s="511"/>
      <c r="AS582" s="511"/>
      <c r="AT582" s="511"/>
      <c r="AU582" s="511"/>
      <c r="AV582" s="511"/>
      <c r="AW582" s="511"/>
      <c r="AX582" s="511"/>
      <c r="AY582" s="511"/>
      <c r="AZ582" s="511"/>
      <c r="BA582" s="511"/>
      <c r="BB582" s="511"/>
      <c r="BC582" s="511"/>
    </row>
    <row r="583" spans="1:55" ht="16.5" customHeight="1" x14ac:dyDescent="0.3">
      <c r="A583" s="511"/>
      <c r="B583" s="511"/>
      <c r="C583" s="511"/>
      <c r="D583" s="511"/>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c r="AA583" s="511"/>
      <c r="AB583" s="511"/>
      <c r="AC583" s="511"/>
      <c r="AD583" s="511"/>
      <c r="AE583" s="511"/>
      <c r="AF583" s="511"/>
      <c r="AG583" s="511"/>
      <c r="AH583" s="511"/>
      <c r="AI583" s="511"/>
      <c r="AJ583" s="511"/>
      <c r="AK583" s="511"/>
      <c r="AL583" s="511"/>
      <c r="AM583" s="511"/>
      <c r="AN583" s="511"/>
      <c r="AO583" s="511"/>
      <c r="AP583" s="511"/>
      <c r="AQ583" s="511"/>
      <c r="AR583" s="511"/>
      <c r="AS583" s="511"/>
      <c r="AT583" s="511"/>
      <c r="AU583" s="511"/>
      <c r="AV583" s="511"/>
      <c r="AW583" s="511"/>
      <c r="AX583" s="511"/>
      <c r="AY583" s="511"/>
      <c r="AZ583" s="511"/>
      <c r="BA583" s="511"/>
      <c r="BB583" s="511"/>
      <c r="BC583" s="511"/>
    </row>
    <row r="584" spans="1:55" ht="16.5" customHeight="1" x14ac:dyDescent="0.3">
      <c r="A584" s="511"/>
      <c r="B584" s="511"/>
      <c r="C584" s="511"/>
      <c r="D584" s="511"/>
      <c r="E584" s="511"/>
      <c r="F584" s="511"/>
      <c r="G584" s="511"/>
      <c r="H584" s="511"/>
      <c r="I584" s="511"/>
      <c r="J584" s="511"/>
      <c r="K584" s="511"/>
      <c r="L584" s="511"/>
      <c r="M584" s="511"/>
      <c r="N584" s="511"/>
      <c r="O584" s="511"/>
      <c r="P584" s="511"/>
      <c r="Q584" s="511"/>
      <c r="R584" s="511"/>
      <c r="S584" s="511"/>
      <c r="T584" s="511"/>
      <c r="U584" s="511"/>
      <c r="V584" s="511"/>
      <c r="W584" s="511"/>
      <c r="X584" s="511"/>
      <c r="Y584" s="511"/>
      <c r="Z584" s="511"/>
      <c r="AA584" s="511"/>
      <c r="AB584" s="511"/>
      <c r="AC584" s="511"/>
      <c r="AD584" s="511"/>
      <c r="AE584" s="511"/>
      <c r="AF584" s="511"/>
      <c r="AG584" s="511"/>
      <c r="AH584" s="511"/>
      <c r="AI584" s="511"/>
      <c r="AJ584" s="511"/>
      <c r="AK584" s="511"/>
      <c r="AL584" s="511"/>
      <c r="AM584" s="511"/>
      <c r="AN584" s="511"/>
      <c r="AO584" s="511"/>
      <c r="AP584" s="511"/>
      <c r="AQ584" s="511"/>
      <c r="AR584" s="511"/>
      <c r="AS584" s="511"/>
      <c r="AT584" s="511"/>
      <c r="AU584" s="511"/>
      <c r="AV584" s="511"/>
      <c r="AW584" s="511"/>
      <c r="AX584" s="511"/>
      <c r="AY584" s="511"/>
      <c r="AZ584" s="511"/>
      <c r="BA584" s="511"/>
      <c r="BB584" s="511"/>
      <c r="BC584" s="511"/>
    </row>
    <row r="585" spans="1:55" ht="16.5" customHeight="1" x14ac:dyDescent="0.3">
      <c r="A585" s="511"/>
      <c r="B585" s="511"/>
      <c r="C585" s="511"/>
      <c r="D585" s="511"/>
      <c r="E585" s="511"/>
      <c r="F585" s="511"/>
      <c r="G585" s="511"/>
      <c r="H585" s="511"/>
      <c r="I585" s="511"/>
      <c r="J585" s="511"/>
      <c r="K585" s="511"/>
      <c r="L585" s="511"/>
      <c r="M585" s="511"/>
      <c r="N585" s="511"/>
      <c r="O585" s="511"/>
      <c r="P585" s="511"/>
      <c r="Q585" s="511"/>
      <c r="R585" s="511"/>
      <c r="S585" s="511"/>
      <c r="T585" s="511"/>
      <c r="U585" s="511"/>
      <c r="V585" s="511"/>
      <c r="W585" s="511"/>
      <c r="X585" s="511"/>
      <c r="Y585" s="511"/>
      <c r="Z585" s="511"/>
      <c r="AA585" s="511"/>
      <c r="AB585" s="511"/>
      <c r="AC585" s="511"/>
      <c r="AD585" s="511"/>
      <c r="AE585" s="511"/>
      <c r="AF585" s="511"/>
      <c r="AG585" s="511"/>
      <c r="AH585" s="511"/>
      <c r="AI585" s="511"/>
      <c r="AJ585" s="511"/>
      <c r="AK585" s="511"/>
      <c r="AL585" s="511"/>
      <c r="AM585" s="511"/>
      <c r="AN585" s="511"/>
      <c r="AO585" s="511"/>
      <c r="AP585" s="511"/>
      <c r="AQ585" s="511"/>
      <c r="AR585" s="511"/>
      <c r="AS585" s="511"/>
      <c r="AT585" s="511"/>
      <c r="AU585" s="511"/>
      <c r="AV585" s="511"/>
      <c r="AW585" s="511"/>
      <c r="AX585" s="511"/>
      <c r="AY585" s="511"/>
      <c r="AZ585" s="511"/>
      <c r="BA585" s="511"/>
      <c r="BB585" s="511"/>
      <c r="BC585" s="511"/>
    </row>
    <row r="586" spans="1:55" ht="16.5" customHeight="1" x14ac:dyDescent="0.3">
      <c r="A586" s="511"/>
      <c r="B586" s="511"/>
      <c r="C586" s="511"/>
      <c r="D586" s="511"/>
      <c r="E586" s="511"/>
      <c r="F586" s="511"/>
      <c r="G586" s="511"/>
      <c r="H586" s="511"/>
      <c r="I586" s="511"/>
      <c r="J586" s="511"/>
      <c r="K586" s="511"/>
      <c r="L586" s="511"/>
      <c r="M586" s="511"/>
      <c r="N586" s="511"/>
      <c r="O586" s="511"/>
      <c r="P586" s="511"/>
      <c r="Q586" s="511"/>
      <c r="R586" s="511"/>
      <c r="S586" s="511"/>
      <c r="T586" s="511"/>
      <c r="U586" s="511"/>
      <c r="V586" s="511"/>
      <c r="W586" s="511"/>
      <c r="X586" s="511"/>
      <c r="Y586" s="511"/>
      <c r="Z586" s="511"/>
      <c r="AA586" s="511"/>
      <c r="AB586" s="511"/>
      <c r="AC586" s="511"/>
      <c r="AD586" s="511"/>
      <c r="AE586" s="511"/>
      <c r="AF586" s="511"/>
      <c r="AG586" s="511"/>
      <c r="AH586" s="511"/>
      <c r="AI586" s="511"/>
      <c r="AJ586" s="511"/>
      <c r="AK586" s="511"/>
      <c r="AL586" s="511"/>
      <c r="AM586" s="511"/>
      <c r="AN586" s="511"/>
      <c r="AO586" s="511"/>
      <c r="AP586" s="511"/>
      <c r="AQ586" s="511"/>
      <c r="AR586" s="511"/>
      <c r="AS586" s="511"/>
      <c r="AT586" s="511"/>
      <c r="AU586" s="511"/>
      <c r="AV586" s="511"/>
      <c r="AW586" s="511"/>
      <c r="AX586" s="511"/>
      <c r="AY586" s="511"/>
      <c r="AZ586" s="511"/>
      <c r="BA586" s="511"/>
      <c r="BB586" s="511"/>
      <c r="BC586" s="511"/>
    </row>
    <row r="587" spans="1:55" ht="16.5" customHeight="1" x14ac:dyDescent="0.3">
      <c r="A587" s="511"/>
      <c r="B587" s="511"/>
      <c r="C587" s="511"/>
      <c r="D587" s="511"/>
      <c r="E587" s="511"/>
      <c r="F587" s="511"/>
      <c r="G587" s="511"/>
      <c r="H587" s="511"/>
      <c r="I587" s="511"/>
      <c r="J587" s="511"/>
      <c r="K587" s="511"/>
      <c r="L587" s="511"/>
      <c r="M587" s="511"/>
      <c r="N587" s="511"/>
      <c r="O587" s="511"/>
      <c r="P587" s="511"/>
      <c r="Q587" s="511"/>
      <c r="R587" s="511"/>
      <c r="S587" s="511"/>
      <c r="T587" s="511"/>
      <c r="U587" s="511"/>
      <c r="V587" s="511"/>
      <c r="W587" s="511"/>
      <c r="X587" s="511"/>
      <c r="Y587" s="511"/>
      <c r="Z587" s="511"/>
      <c r="AA587" s="511"/>
      <c r="AB587" s="511"/>
      <c r="AC587" s="511"/>
      <c r="AD587" s="511"/>
      <c r="AE587" s="511"/>
      <c r="AF587" s="511"/>
      <c r="AG587" s="511"/>
      <c r="AH587" s="511"/>
      <c r="AI587" s="511"/>
      <c r="AJ587" s="511"/>
      <c r="AK587" s="511"/>
      <c r="AL587" s="511"/>
      <c r="AM587" s="511"/>
      <c r="AN587" s="511"/>
      <c r="AO587" s="511"/>
      <c r="AP587" s="511"/>
      <c r="AQ587" s="511"/>
      <c r="AR587" s="511"/>
      <c r="AS587" s="511"/>
      <c r="AT587" s="511"/>
      <c r="AU587" s="511"/>
      <c r="AV587" s="511"/>
      <c r="AW587" s="511"/>
      <c r="AX587" s="511"/>
      <c r="AY587" s="511"/>
      <c r="AZ587" s="511"/>
      <c r="BA587" s="511"/>
      <c r="BB587" s="511"/>
      <c r="BC587" s="511"/>
    </row>
    <row r="588" spans="1:55" ht="16.5" customHeight="1" x14ac:dyDescent="0.3">
      <c r="A588" s="511"/>
      <c r="B588" s="511"/>
      <c r="C588" s="511"/>
      <c r="D588" s="511"/>
      <c r="E588" s="511"/>
      <c r="F588" s="511"/>
      <c r="G588" s="511"/>
      <c r="H588" s="511"/>
      <c r="I588" s="511"/>
      <c r="J588" s="511"/>
      <c r="K588" s="511"/>
      <c r="L588" s="511"/>
      <c r="M588" s="511"/>
      <c r="N588" s="511"/>
      <c r="O588" s="511"/>
      <c r="P588" s="511"/>
      <c r="Q588" s="511"/>
      <c r="R588" s="511"/>
      <c r="S588" s="511"/>
      <c r="T588" s="511"/>
      <c r="U588" s="511"/>
      <c r="V588" s="511"/>
      <c r="W588" s="511"/>
      <c r="X588" s="511"/>
      <c r="Y588" s="511"/>
      <c r="Z588" s="511"/>
      <c r="AA588" s="511"/>
      <c r="AB588" s="511"/>
      <c r="AC588" s="511"/>
      <c r="AD588" s="511"/>
      <c r="AE588" s="511"/>
      <c r="AF588" s="511"/>
      <c r="AG588" s="511"/>
      <c r="AH588" s="511"/>
      <c r="AI588" s="511"/>
      <c r="AJ588" s="511"/>
      <c r="AK588" s="511"/>
      <c r="AL588" s="511"/>
      <c r="AM588" s="511"/>
      <c r="AN588" s="511"/>
      <c r="AO588" s="511"/>
      <c r="AP588" s="511"/>
      <c r="AQ588" s="511"/>
      <c r="AR588" s="511"/>
      <c r="AS588" s="511"/>
      <c r="AT588" s="511"/>
      <c r="AU588" s="511"/>
      <c r="AV588" s="511"/>
      <c r="AW588" s="511"/>
      <c r="AX588" s="511"/>
      <c r="AY588" s="511"/>
      <c r="AZ588" s="511"/>
      <c r="BA588" s="511"/>
      <c r="BB588" s="511"/>
      <c r="BC588" s="511"/>
    </row>
    <row r="589" spans="1:55" ht="16.5" customHeight="1" x14ac:dyDescent="0.3">
      <c r="A589" s="511"/>
      <c r="B589" s="511"/>
      <c r="C589" s="511"/>
      <c r="D589" s="511"/>
      <c r="E589" s="511"/>
      <c r="F589" s="511"/>
      <c r="G589" s="511"/>
      <c r="H589" s="511"/>
      <c r="I589" s="511"/>
      <c r="J589" s="511"/>
      <c r="K589" s="511"/>
      <c r="L589" s="511"/>
      <c r="M589" s="511"/>
      <c r="N589" s="511"/>
      <c r="O589" s="511"/>
      <c r="P589" s="511"/>
      <c r="Q589" s="511"/>
      <c r="R589" s="511"/>
      <c r="S589" s="511"/>
      <c r="T589" s="511"/>
      <c r="U589" s="511"/>
      <c r="V589" s="511"/>
      <c r="W589" s="511"/>
      <c r="X589" s="511"/>
      <c r="Y589" s="511"/>
      <c r="Z589" s="511"/>
      <c r="AA589" s="511"/>
      <c r="AB589" s="511"/>
      <c r="AC589" s="511"/>
      <c r="AD589" s="511"/>
      <c r="AE589" s="511"/>
      <c r="AF589" s="511"/>
      <c r="AG589" s="511"/>
      <c r="AH589" s="511"/>
      <c r="AI589" s="511"/>
      <c r="AJ589" s="511"/>
      <c r="AK589" s="511"/>
      <c r="AL589" s="511"/>
      <c r="AM589" s="511"/>
      <c r="AN589" s="511"/>
      <c r="AO589" s="511"/>
      <c r="AP589" s="511"/>
      <c r="AQ589" s="511"/>
      <c r="AR589" s="511"/>
      <c r="AS589" s="511"/>
      <c r="AT589" s="511"/>
      <c r="AU589" s="511"/>
      <c r="AV589" s="511"/>
      <c r="AW589" s="511"/>
      <c r="AX589" s="511"/>
      <c r="AY589" s="511"/>
      <c r="AZ589" s="511"/>
      <c r="BA589" s="511"/>
      <c r="BB589" s="511"/>
      <c r="BC589" s="511"/>
    </row>
    <row r="590" spans="1:55" ht="16.5" customHeight="1" x14ac:dyDescent="0.3">
      <c r="A590" s="511"/>
      <c r="B590" s="511"/>
      <c r="C590" s="511"/>
      <c r="D590" s="511"/>
      <c r="E590" s="511"/>
      <c r="F590" s="511"/>
      <c r="G590" s="511"/>
      <c r="H590" s="511"/>
      <c r="I590" s="511"/>
      <c r="J590" s="511"/>
      <c r="K590" s="511"/>
      <c r="L590" s="511"/>
      <c r="M590" s="511"/>
      <c r="N590" s="511"/>
      <c r="O590" s="511"/>
      <c r="P590" s="511"/>
      <c r="Q590" s="511"/>
      <c r="R590" s="511"/>
      <c r="S590" s="511"/>
      <c r="T590" s="511"/>
      <c r="U590" s="511"/>
      <c r="V590" s="511"/>
      <c r="W590" s="511"/>
      <c r="X590" s="511"/>
      <c r="Y590" s="511"/>
      <c r="Z590" s="511"/>
      <c r="AA590" s="511"/>
      <c r="AB590" s="511"/>
      <c r="AC590" s="511"/>
      <c r="AD590" s="511"/>
      <c r="AE590" s="511"/>
      <c r="AF590" s="511"/>
      <c r="AG590" s="511"/>
      <c r="AH590" s="511"/>
      <c r="AI590" s="511"/>
      <c r="AJ590" s="511"/>
      <c r="AK590" s="511"/>
      <c r="AL590" s="511"/>
      <c r="AM590" s="511"/>
      <c r="AN590" s="511"/>
      <c r="AO590" s="511"/>
      <c r="AP590" s="511"/>
      <c r="AQ590" s="511"/>
      <c r="AR590" s="511"/>
      <c r="AS590" s="511"/>
      <c r="AT590" s="511"/>
      <c r="AU590" s="511"/>
      <c r="AV590" s="511"/>
      <c r="AW590" s="511"/>
      <c r="AX590" s="511"/>
      <c r="AY590" s="511"/>
      <c r="AZ590" s="511"/>
      <c r="BA590" s="511"/>
      <c r="BB590" s="511"/>
      <c r="BC590" s="511"/>
    </row>
    <row r="591" spans="1:55" ht="16.5" customHeight="1" x14ac:dyDescent="0.3">
      <c r="A591" s="511"/>
      <c r="B591" s="511"/>
      <c r="C591" s="511"/>
      <c r="D591" s="511"/>
      <c r="E591" s="511"/>
      <c r="F591" s="511"/>
      <c r="G591" s="511"/>
      <c r="H591" s="511"/>
      <c r="I591" s="511"/>
      <c r="J591" s="511"/>
      <c r="K591" s="511"/>
      <c r="L591" s="511"/>
      <c r="M591" s="511"/>
      <c r="N591" s="511"/>
      <c r="O591" s="511"/>
      <c r="P591" s="511"/>
      <c r="Q591" s="511"/>
      <c r="R591" s="511"/>
      <c r="S591" s="511"/>
      <c r="T591" s="511"/>
      <c r="U591" s="511"/>
      <c r="V591" s="511"/>
      <c r="W591" s="511"/>
      <c r="X591" s="511"/>
      <c r="Y591" s="511"/>
      <c r="Z591" s="511"/>
      <c r="AA591" s="511"/>
      <c r="AB591" s="511"/>
      <c r="AC591" s="511"/>
      <c r="AD591" s="511"/>
      <c r="AE591" s="511"/>
      <c r="AF591" s="511"/>
      <c r="AG591" s="511"/>
      <c r="AH591" s="511"/>
      <c r="AI591" s="511"/>
      <c r="AJ591" s="511"/>
      <c r="AK591" s="511"/>
      <c r="AL591" s="511"/>
      <c r="AM591" s="511"/>
      <c r="AN591" s="511"/>
      <c r="AO591" s="511"/>
      <c r="AP591" s="511"/>
      <c r="AQ591" s="511"/>
      <c r="AR591" s="511"/>
      <c r="AS591" s="511"/>
      <c r="AT591" s="511"/>
      <c r="AU591" s="511"/>
      <c r="AV591" s="511"/>
      <c r="AW591" s="511"/>
      <c r="AX591" s="511"/>
      <c r="AY591" s="511"/>
      <c r="AZ591" s="511"/>
      <c r="BA591" s="511"/>
      <c r="BB591" s="511"/>
      <c r="BC591" s="511"/>
    </row>
    <row r="592" spans="1:55" ht="16.5" customHeight="1" x14ac:dyDescent="0.3">
      <c r="A592" s="511"/>
      <c r="B592" s="511"/>
      <c r="C592" s="511"/>
      <c r="D592" s="511"/>
      <c r="E592" s="511"/>
      <c r="F592" s="511"/>
      <c r="G592" s="511"/>
      <c r="H592" s="511"/>
      <c r="I592" s="511"/>
      <c r="J592" s="511"/>
      <c r="K592" s="511"/>
      <c r="L592" s="511"/>
      <c r="M592" s="511"/>
      <c r="N592" s="511"/>
      <c r="O592" s="511"/>
      <c r="P592" s="511"/>
      <c r="Q592" s="511"/>
      <c r="R592" s="511"/>
      <c r="S592" s="511"/>
      <c r="T592" s="511"/>
      <c r="U592" s="511"/>
      <c r="V592" s="511"/>
      <c r="W592" s="511"/>
      <c r="X592" s="511"/>
      <c r="Y592" s="511"/>
      <c r="Z592" s="511"/>
      <c r="AA592" s="511"/>
      <c r="AB592" s="511"/>
      <c r="AC592" s="511"/>
      <c r="AD592" s="511"/>
      <c r="AE592" s="511"/>
      <c r="AF592" s="511"/>
      <c r="AG592" s="511"/>
      <c r="AH592" s="511"/>
      <c r="AI592" s="511"/>
      <c r="AJ592" s="511"/>
      <c r="AK592" s="511"/>
      <c r="AL592" s="511"/>
      <c r="AM592" s="511"/>
      <c r="AN592" s="511"/>
      <c r="AO592" s="511"/>
      <c r="AP592" s="511"/>
      <c r="AQ592" s="511"/>
      <c r="AR592" s="511"/>
      <c r="AS592" s="511"/>
      <c r="AT592" s="511"/>
      <c r="AU592" s="511"/>
      <c r="AV592" s="511"/>
      <c r="AW592" s="511"/>
      <c r="AX592" s="511"/>
      <c r="AY592" s="511"/>
      <c r="AZ592" s="511"/>
      <c r="BA592" s="511"/>
      <c r="BB592" s="511"/>
      <c r="BC592" s="511"/>
    </row>
    <row r="593" spans="1:55" ht="16.5" customHeight="1" x14ac:dyDescent="0.3">
      <c r="A593" s="511"/>
      <c r="B593" s="511"/>
      <c r="C593" s="511"/>
      <c r="D593" s="511"/>
      <c r="E593" s="511"/>
      <c r="F593" s="511"/>
      <c r="G593" s="511"/>
      <c r="H593" s="511"/>
      <c r="I593" s="511"/>
      <c r="J593" s="511"/>
      <c r="K593" s="511"/>
      <c r="L593" s="511"/>
      <c r="M593" s="511"/>
      <c r="N593" s="511"/>
      <c r="O593" s="511"/>
      <c r="P593" s="511"/>
      <c r="Q593" s="511"/>
      <c r="R593" s="511"/>
      <c r="S593" s="511"/>
      <c r="T593" s="511"/>
      <c r="U593" s="511"/>
      <c r="V593" s="511"/>
      <c r="W593" s="511"/>
      <c r="X593" s="511"/>
      <c r="Y593" s="511"/>
      <c r="Z593" s="511"/>
      <c r="AA593" s="511"/>
      <c r="AB593" s="511"/>
      <c r="AC593" s="511"/>
      <c r="AD593" s="511"/>
      <c r="AE593" s="511"/>
      <c r="AF593" s="511"/>
      <c r="AG593" s="511"/>
      <c r="AH593" s="511"/>
      <c r="AI593" s="511"/>
      <c r="AJ593" s="511"/>
      <c r="AK593" s="511"/>
      <c r="AL593" s="511"/>
      <c r="AM593" s="511"/>
      <c r="AN593" s="511"/>
      <c r="AO593" s="511"/>
      <c r="AP593" s="511"/>
      <c r="AQ593" s="511"/>
      <c r="AR593" s="511"/>
      <c r="AS593" s="511"/>
      <c r="AT593" s="511"/>
      <c r="AU593" s="511"/>
      <c r="AV593" s="511"/>
      <c r="AW593" s="511"/>
      <c r="AX593" s="511"/>
      <c r="AY593" s="511"/>
      <c r="AZ593" s="511"/>
      <c r="BA593" s="511"/>
      <c r="BB593" s="511"/>
      <c r="BC593" s="511"/>
    </row>
    <row r="594" spans="1:55" ht="16.5" customHeight="1" x14ac:dyDescent="0.3">
      <c r="A594" s="511"/>
      <c r="B594" s="511"/>
      <c r="C594" s="511"/>
      <c r="D594" s="511"/>
      <c r="E594" s="511"/>
      <c r="F594" s="511"/>
      <c r="G594" s="511"/>
      <c r="H594" s="511"/>
      <c r="I594" s="511"/>
      <c r="J594" s="511"/>
      <c r="K594" s="511"/>
      <c r="L594" s="511"/>
      <c r="M594" s="511"/>
      <c r="N594" s="511"/>
      <c r="O594" s="511"/>
      <c r="P594" s="511"/>
      <c r="Q594" s="511"/>
      <c r="R594" s="511"/>
      <c r="S594" s="511"/>
      <c r="T594" s="511"/>
      <c r="U594" s="511"/>
      <c r="V594" s="511"/>
      <c r="W594" s="511"/>
      <c r="X594" s="511"/>
      <c r="Y594" s="511"/>
      <c r="Z594" s="511"/>
      <c r="AA594" s="511"/>
      <c r="AB594" s="511"/>
      <c r="AC594" s="511"/>
      <c r="AD594" s="511"/>
      <c r="AE594" s="511"/>
      <c r="AF594" s="511"/>
      <c r="AG594" s="511"/>
      <c r="AH594" s="511"/>
      <c r="AI594" s="511"/>
      <c r="AJ594" s="511"/>
      <c r="AK594" s="511"/>
      <c r="AL594" s="511"/>
      <c r="AM594" s="511"/>
      <c r="AN594" s="511"/>
      <c r="AO594" s="511"/>
      <c r="AP594" s="511"/>
      <c r="AQ594" s="511"/>
      <c r="AR594" s="511"/>
      <c r="AS594" s="511"/>
      <c r="AT594" s="511"/>
      <c r="AU594" s="511"/>
      <c r="AV594" s="511"/>
      <c r="AW594" s="511"/>
      <c r="AX594" s="511"/>
      <c r="AY594" s="511"/>
      <c r="AZ594" s="511"/>
      <c r="BA594" s="511"/>
      <c r="BB594" s="511"/>
      <c r="BC594" s="511"/>
    </row>
    <row r="595" spans="1:55" ht="16.5" customHeight="1" x14ac:dyDescent="0.3">
      <c r="A595" s="511"/>
      <c r="B595" s="511"/>
      <c r="C595" s="511"/>
      <c r="D595" s="511"/>
      <c r="E595" s="511"/>
      <c r="F595" s="511"/>
      <c r="G595" s="511"/>
      <c r="H595" s="511"/>
      <c r="I595" s="511"/>
      <c r="J595" s="511"/>
      <c r="K595" s="511"/>
      <c r="L595" s="511"/>
      <c r="M595" s="511"/>
      <c r="N595" s="511"/>
      <c r="O595" s="511"/>
      <c r="P595" s="511"/>
      <c r="Q595" s="511"/>
      <c r="R595" s="511"/>
      <c r="S595" s="511"/>
      <c r="T595" s="511"/>
      <c r="U595" s="511"/>
      <c r="V595" s="511"/>
      <c r="W595" s="511"/>
      <c r="X595" s="511"/>
      <c r="Y595" s="511"/>
      <c r="Z595" s="511"/>
      <c r="AA595" s="511"/>
      <c r="AB595" s="511"/>
      <c r="AC595" s="511"/>
      <c r="AD595" s="511"/>
      <c r="AE595" s="511"/>
      <c r="AF595" s="511"/>
      <c r="AG595" s="511"/>
      <c r="AH595" s="511"/>
      <c r="AI595" s="511"/>
      <c r="AJ595" s="511"/>
      <c r="AK595" s="511"/>
      <c r="AL595" s="511"/>
      <c r="AM595" s="511"/>
      <c r="AN595" s="511"/>
      <c r="AO595" s="511"/>
      <c r="AP595" s="511"/>
      <c r="AQ595" s="511"/>
      <c r="AR595" s="511"/>
      <c r="AS595" s="511"/>
      <c r="AT595" s="511"/>
      <c r="AU595" s="511"/>
      <c r="AV595" s="511"/>
      <c r="AW595" s="511"/>
      <c r="AX595" s="511"/>
      <c r="AY595" s="511"/>
      <c r="AZ595" s="511"/>
      <c r="BA595" s="511"/>
      <c r="BB595" s="511"/>
      <c r="BC595" s="511"/>
    </row>
    <row r="596" spans="1:55" ht="16.5" customHeight="1" x14ac:dyDescent="0.3">
      <c r="A596" s="511"/>
      <c r="B596" s="511"/>
      <c r="C596" s="511"/>
      <c r="D596" s="511"/>
      <c r="E596" s="511"/>
      <c r="F596" s="511"/>
      <c r="G596" s="511"/>
      <c r="H596" s="511"/>
      <c r="I596" s="511"/>
      <c r="J596" s="511"/>
      <c r="K596" s="511"/>
      <c r="L596" s="511"/>
      <c r="M596" s="511"/>
      <c r="N596" s="511"/>
      <c r="O596" s="511"/>
      <c r="P596" s="511"/>
      <c r="Q596" s="511"/>
      <c r="R596" s="511"/>
      <c r="S596" s="511"/>
      <c r="T596" s="511"/>
      <c r="U596" s="511"/>
      <c r="V596" s="511"/>
      <c r="W596" s="511"/>
      <c r="X596" s="511"/>
      <c r="Y596" s="511"/>
      <c r="Z596" s="511"/>
      <c r="AA596" s="511"/>
      <c r="AB596" s="511"/>
      <c r="AC596" s="511"/>
      <c r="AD596" s="511"/>
      <c r="AE596" s="511"/>
      <c r="AF596" s="511"/>
      <c r="AG596" s="511"/>
      <c r="AH596" s="511"/>
      <c r="AI596" s="511"/>
      <c r="AJ596" s="511"/>
      <c r="AK596" s="511"/>
      <c r="AL596" s="511"/>
      <c r="AM596" s="511"/>
      <c r="AN596" s="511"/>
      <c r="AO596" s="511"/>
      <c r="AP596" s="511"/>
      <c r="AQ596" s="511"/>
      <c r="AR596" s="511"/>
      <c r="AS596" s="511"/>
      <c r="AT596" s="511"/>
      <c r="AU596" s="511"/>
      <c r="AV596" s="511"/>
      <c r="AW596" s="511"/>
      <c r="AX596" s="511"/>
      <c r="AY596" s="511"/>
      <c r="AZ596" s="511"/>
      <c r="BA596" s="511"/>
      <c r="BB596" s="511"/>
      <c r="BC596" s="511"/>
    </row>
    <row r="597" spans="1:55" ht="16.5" customHeight="1" x14ac:dyDescent="0.3">
      <c r="A597" s="511"/>
      <c r="B597" s="511"/>
      <c r="C597" s="511"/>
      <c r="D597" s="511"/>
      <c r="E597" s="511"/>
      <c r="F597" s="511"/>
      <c r="G597" s="511"/>
      <c r="H597" s="511"/>
      <c r="I597" s="511"/>
      <c r="J597" s="511"/>
      <c r="K597" s="511"/>
      <c r="L597" s="511"/>
      <c r="M597" s="511"/>
      <c r="N597" s="511"/>
      <c r="O597" s="511"/>
      <c r="P597" s="511"/>
      <c r="Q597" s="511"/>
      <c r="R597" s="511"/>
      <c r="S597" s="511"/>
      <c r="T597" s="511"/>
      <c r="U597" s="511"/>
      <c r="V597" s="511"/>
      <c r="W597" s="511"/>
      <c r="X597" s="511"/>
      <c r="Y597" s="511"/>
      <c r="Z597" s="511"/>
      <c r="AA597" s="511"/>
      <c r="AB597" s="511"/>
      <c r="AC597" s="511"/>
      <c r="AD597" s="511"/>
      <c r="AE597" s="511"/>
      <c r="AF597" s="511"/>
      <c r="AG597" s="511"/>
      <c r="AH597" s="511"/>
      <c r="AI597" s="511"/>
      <c r="AJ597" s="511"/>
      <c r="AK597" s="511"/>
      <c r="AL597" s="511"/>
      <c r="AM597" s="511"/>
      <c r="AN597" s="511"/>
      <c r="AO597" s="511"/>
      <c r="AP597" s="511"/>
      <c r="AQ597" s="511"/>
      <c r="AR597" s="511"/>
      <c r="AS597" s="511"/>
      <c r="AT597" s="511"/>
      <c r="AU597" s="511"/>
      <c r="AV597" s="511"/>
      <c r="AW597" s="511"/>
      <c r="AX597" s="511"/>
      <c r="AY597" s="511"/>
      <c r="AZ597" s="511"/>
      <c r="BA597" s="511"/>
      <c r="BB597" s="511"/>
      <c r="BC597" s="511"/>
    </row>
    <row r="598" spans="1:55" ht="16.5" customHeight="1" x14ac:dyDescent="0.3">
      <c r="A598" s="511"/>
      <c r="B598" s="511"/>
      <c r="C598" s="511"/>
      <c r="D598" s="511"/>
      <c r="E598" s="511"/>
      <c r="F598" s="511"/>
      <c r="G598" s="511"/>
      <c r="H598" s="511"/>
      <c r="I598" s="511"/>
      <c r="J598" s="511"/>
      <c r="K598" s="511"/>
      <c r="L598" s="511"/>
      <c r="M598" s="511"/>
      <c r="N598" s="511"/>
      <c r="O598" s="511"/>
      <c r="P598" s="511"/>
      <c r="Q598" s="511"/>
      <c r="R598" s="511"/>
      <c r="S598" s="511"/>
      <c r="T598" s="511"/>
      <c r="U598" s="511"/>
      <c r="V598" s="511"/>
      <c r="W598" s="511"/>
      <c r="X598" s="511"/>
      <c r="Y598" s="511"/>
      <c r="Z598" s="511"/>
      <c r="AA598" s="511"/>
      <c r="AB598" s="511"/>
      <c r="AC598" s="511"/>
      <c r="AD598" s="511"/>
      <c r="AE598" s="511"/>
      <c r="AF598" s="511"/>
      <c r="AG598" s="511"/>
      <c r="AH598" s="511"/>
      <c r="AI598" s="511"/>
      <c r="AJ598" s="511"/>
      <c r="AK598" s="511"/>
      <c r="AL598" s="511"/>
      <c r="AM598" s="511"/>
      <c r="AN598" s="511"/>
      <c r="AO598" s="511"/>
      <c r="AP598" s="511"/>
      <c r="AQ598" s="511"/>
      <c r="AR598" s="511"/>
      <c r="AS598" s="511"/>
      <c r="AT598" s="511"/>
      <c r="AU598" s="511"/>
      <c r="AV598" s="511"/>
      <c r="AW598" s="511"/>
      <c r="AX598" s="511"/>
      <c r="AY598" s="511"/>
      <c r="AZ598" s="511"/>
      <c r="BA598" s="511"/>
      <c r="BB598" s="511"/>
      <c r="BC598" s="511"/>
    </row>
    <row r="599" spans="1:55" ht="16.5" customHeight="1" x14ac:dyDescent="0.3">
      <c r="A599" s="511"/>
      <c r="B599" s="511"/>
      <c r="C599" s="511"/>
      <c r="D599" s="511"/>
      <c r="E599" s="511"/>
      <c r="F599" s="511"/>
      <c r="G599" s="511"/>
      <c r="H599" s="511"/>
      <c r="I599" s="511"/>
      <c r="J599" s="511"/>
      <c r="K599" s="511"/>
      <c r="L599" s="511"/>
      <c r="M599" s="511"/>
      <c r="N599" s="511"/>
      <c r="O599" s="511"/>
      <c r="P599" s="511"/>
      <c r="Q599" s="511"/>
      <c r="R599" s="511"/>
      <c r="S599" s="511"/>
      <c r="T599" s="511"/>
      <c r="U599" s="511"/>
      <c r="V599" s="511"/>
      <c r="W599" s="511"/>
      <c r="X599" s="511"/>
      <c r="Y599" s="511"/>
      <c r="Z599" s="511"/>
      <c r="AA599" s="511"/>
      <c r="AB599" s="511"/>
      <c r="AC599" s="511"/>
      <c r="AD599" s="511"/>
      <c r="AE599" s="511"/>
      <c r="AF599" s="511"/>
      <c r="AG599" s="511"/>
      <c r="AH599" s="511"/>
      <c r="AI599" s="511"/>
      <c r="AJ599" s="511"/>
      <c r="AK599" s="511"/>
      <c r="AL599" s="511"/>
      <c r="AM599" s="511"/>
      <c r="AN599" s="511"/>
      <c r="AO599" s="511"/>
      <c r="AP599" s="511"/>
      <c r="AQ599" s="511"/>
      <c r="AR599" s="511"/>
      <c r="AS599" s="511"/>
      <c r="AT599" s="511"/>
      <c r="AU599" s="511"/>
      <c r="AV599" s="511"/>
      <c r="AW599" s="511"/>
      <c r="AX599" s="511"/>
      <c r="AY599" s="511"/>
      <c r="AZ599" s="511"/>
      <c r="BA599" s="511"/>
      <c r="BB599" s="511"/>
      <c r="BC599" s="511"/>
    </row>
    <row r="600" spans="1:55" ht="16.5" customHeight="1" x14ac:dyDescent="0.3">
      <c r="A600" s="511"/>
      <c r="B600" s="511"/>
      <c r="C600" s="511"/>
      <c r="D600" s="511"/>
      <c r="E600" s="511"/>
      <c r="F600" s="511"/>
      <c r="G600" s="511"/>
      <c r="H600" s="511"/>
      <c r="I600" s="511"/>
      <c r="J600" s="511"/>
      <c r="K600" s="511"/>
      <c r="L600" s="511"/>
      <c r="M600" s="511"/>
      <c r="N600" s="511"/>
      <c r="O600" s="511"/>
      <c r="P600" s="511"/>
      <c r="Q600" s="511"/>
      <c r="R600" s="511"/>
      <c r="S600" s="511"/>
      <c r="T600" s="511"/>
      <c r="U600" s="511"/>
      <c r="V600" s="511"/>
      <c r="W600" s="511"/>
      <c r="X600" s="511"/>
      <c r="Y600" s="511"/>
      <c r="Z600" s="511"/>
      <c r="AA600" s="511"/>
      <c r="AB600" s="511"/>
      <c r="AC600" s="511"/>
      <c r="AD600" s="511"/>
      <c r="AE600" s="511"/>
      <c r="AF600" s="511"/>
      <c r="AG600" s="511"/>
      <c r="AH600" s="511"/>
      <c r="AI600" s="511"/>
      <c r="AJ600" s="511"/>
      <c r="AK600" s="511"/>
      <c r="AL600" s="511"/>
      <c r="AM600" s="511"/>
      <c r="AN600" s="511"/>
      <c r="AO600" s="511"/>
      <c r="AP600" s="511"/>
      <c r="AQ600" s="511"/>
      <c r="AR600" s="511"/>
      <c r="AS600" s="511"/>
      <c r="AT600" s="511"/>
      <c r="AU600" s="511"/>
      <c r="AV600" s="511"/>
      <c r="AW600" s="511"/>
      <c r="AX600" s="511"/>
      <c r="AY600" s="511"/>
      <c r="AZ600" s="511"/>
      <c r="BA600" s="511"/>
      <c r="BB600" s="511"/>
      <c r="BC600" s="511"/>
    </row>
    <row r="601" spans="1:55" ht="16.5" customHeight="1" x14ac:dyDescent="0.3">
      <c r="A601" s="511"/>
      <c r="B601" s="511"/>
      <c r="C601" s="511"/>
      <c r="D601" s="511"/>
      <c r="E601" s="511"/>
      <c r="F601" s="511"/>
      <c r="G601" s="511"/>
      <c r="H601" s="511"/>
      <c r="I601" s="511"/>
      <c r="J601" s="511"/>
      <c r="K601" s="511"/>
      <c r="L601" s="511"/>
      <c r="M601" s="511"/>
      <c r="N601" s="511"/>
      <c r="O601" s="511"/>
      <c r="P601" s="511"/>
      <c r="Q601" s="511"/>
      <c r="R601" s="511"/>
      <c r="S601" s="511"/>
      <c r="T601" s="511"/>
      <c r="U601" s="511"/>
      <c r="V601" s="511"/>
      <c r="W601" s="511"/>
      <c r="X601" s="511"/>
      <c r="Y601" s="511"/>
      <c r="Z601" s="511"/>
      <c r="AA601" s="511"/>
      <c r="AB601" s="511"/>
      <c r="AC601" s="511"/>
      <c r="AD601" s="511"/>
      <c r="AE601" s="511"/>
      <c r="AF601" s="511"/>
      <c r="AG601" s="511"/>
      <c r="AH601" s="511"/>
      <c r="AI601" s="511"/>
      <c r="AJ601" s="511"/>
      <c r="AK601" s="511"/>
      <c r="AL601" s="511"/>
      <c r="AM601" s="511"/>
      <c r="AN601" s="511"/>
      <c r="AO601" s="511"/>
      <c r="AP601" s="511"/>
      <c r="AQ601" s="511"/>
      <c r="AR601" s="511"/>
      <c r="AS601" s="511"/>
      <c r="AT601" s="511"/>
      <c r="AU601" s="511"/>
      <c r="AV601" s="511"/>
      <c r="AW601" s="511"/>
      <c r="AX601" s="511"/>
      <c r="AY601" s="511"/>
      <c r="AZ601" s="511"/>
      <c r="BA601" s="511"/>
      <c r="BB601" s="511"/>
      <c r="BC601" s="511"/>
    </row>
    <row r="602" spans="1:55" ht="16.5" customHeight="1" x14ac:dyDescent="0.3">
      <c r="A602" s="511"/>
      <c r="B602" s="511"/>
      <c r="C602" s="511"/>
      <c r="D602" s="511"/>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c r="AA602" s="511"/>
      <c r="AB602" s="511"/>
      <c r="AC602" s="511"/>
      <c r="AD602" s="511"/>
      <c r="AE602" s="511"/>
      <c r="AF602" s="511"/>
      <c r="AG602" s="511"/>
      <c r="AH602" s="511"/>
      <c r="AI602" s="511"/>
      <c r="AJ602" s="511"/>
      <c r="AK602" s="511"/>
      <c r="AL602" s="511"/>
      <c r="AM602" s="511"/>
      <c r="AN602" s="511"/>
      <c r="AO602" s="511"/>
      <c r="AP602" s="511"/>
      <c r="AQ602" s="511"/>
      <c r="AR602" s="511"/>
      <c r="AS602" s="511"/>
      <c r="AT602" s="511"/>
      <c r="AU602" s="511"/>
      <c r="AV602" s="511"/>
      <c r="AW602" s="511"/>
      <c r="AX602" s="511"/>
      <c r="AY602" s="511"/>
      <c r="AZ602" s="511"/>
      <c r="BA602" s="511"/>
      <c r="BB602" s="511"/>
      <c r="BC602" s="511"/>
    </row>
    <row r="603" spans="1:55" ht="16.5" customHeight="1" x14ac:dyDescent="0.3">
      <c r="A603" s="511"/>
      <c r="B603" s="511"/>
      <c r="C603" s="511"/>
      <c r="D603" s="511"/>
      <c r="E603" s="511"/>
      <c r="F603" s="511"/>
      <c r="G603" s="511"/>
      <c r="H603" s="511"/>
      <c r="I603" s="511"/>
      <c r="J603" s="511"/>
      <c r="K603" s="511"/>
      <c r="L603" s="511"/>
      <c r="M603" s="511"/>
      <c r="N603" s="511"/>
      <c r="O603" s="511"/>
      <c r="P603" s="511"/>
      <c r="Q603" s="511"/>
      <c r="R603" s="511"/>
      <c r="S603" s="511"/>
      <c r="T603" s="511"/>
      <c r="U603" s="511"/>
      <c r="V603" s="511"/>
      <c r="W603" s="511"/>
      <c r="X603" s="511"/>
      <c r="Y603" s="511"/>
      <c r="Z603" s="511"/>
      <c r="AA603" s="511"/>
      <c r="AB603" s="511"/>
      <c r="AC603" s="511"/>
      <c r="AD603" s="511"/>
      <c r="AE603" s="511"/>
      <c r="AF603" s="511"/>
      <c r="AG603" s="511"/>
      <c r="AH603" s="511"/>
      <c r="AI603" s="511"/>
      <c r="AJ603" s="511"/>
      <c r="AK603" s="511"/>
      <c r="AL603" s="511"/>
      <c r="AM603" s="511"/>
      <c r="AN603" s="511"/>
      <c r="AO603" s="511"/>
      <c r="AP603" s="511"/>
      <c r="AQ603" s="511"/>
      <c r="AR603" s="511"/>
      <c r="AS603" s="511"/>
      <c r="AT603" s="511"/>
      <c r="AU603" s="511"/>
      <c r="AV603" s="511"/>
      <c r="AW603" s="511"/>
      <c r="AX603" s="511"/>
      <c r="AY603" s="511"/>
      <c r="AZ603" s="511"/>
      <c r="BA603" s="511"/>
      <c r="BB603" s="511"/>
      <c r="BC603" s="511"/>
    </row>
    <row r="604" spans="1:55" ht="16.5" customHeight="1" x14ac:dyDescent="0.3">
      <c r="A604" s="511"/>
      <c r="B604" s="511"/>
      <c r="C604" s="511"/>
      <c r="D604" s="511"/>
      <c r="E604" s="511"/>
      <c r="F604" s="511"/>
      <c r="G604" s="511"/>
      <c r="H604" s="511"/>
      <c r="I604" s="511"/>
      <c r="J604" s="511"/>
      <c r="K604" s="511"/>
      <c r="L604" s="511"/>
      <c r="M604" s="511"/>
      <c r="N604" s="511"/>
      <c r="O604" s="511"/>
      <c r="P604" s="511"/>
      <c r="Q604" s="511"/>
      <c r="R604" s="511"/>
      <c r="S604" s="511"/>
      <c r="T604" s="511"/>
      <c r="U604" s="511"/>
      <c r="V604" s="511"/>
      <c r="W604" s="511"/>
      <c r="X604" s="511"/>
      <c r="Y604" s="511"/>
      <c r="Z604" s="511"/>
      <c r="AA604" s="511"/>
      <c r="AB604" s="511"/>
      <c r="AC604" s="511"/>
      <c r="AD604" s="511"/>
      <c r="AE604" s="511"/>
      <c r="AF604" s="511"/>
      <c r="AG604" s="511"/>
      <c r="AH604" s="511"/>
      <c r="AI604" s="511"/>
      <c r="AJ604" s="511"/>
      <c r="AK604" s="511"/>
      <c r="AL604" s="511"/>
      <c r="AM604" s="511"/>
      <c r="AN604" s="511"/>
      <c r="AO604" s="511"/>
      <c r="AP604" s="511"/>
      <c r="AQ604" s="511"/>
      <c r="AR604" s="511"/>
      <c r="AS604" s="511"/>
      <c r="AT604" s="511"/>
      <c r="AU604" s="511"/>
      <c r="AV604" s="511"/>
      <c r="AW604" s="511"/>
      <c r="AX604" s="511"/>
      <c r="AY604" s="511"/>
      <c r="AZ604" s="511"/>
      <c r="BA604" s="511"/>
      <c r="BB604" s="511"/>
      <c r="BC604" s="511"/>
    </row>
    <row r="605" spans="1:55" ht="16.5" customHeight="1" x14ac:dyDescent="0.3">
      <c r="A605" s="511"/>
      <c r="B605" s="511"/>
      <c r="C605" s="511"/>
      <c r="D605" s="511"/>
      <c r="E605" s="511"/>
      <c r="F605" s="511"/>
      <c r="G605" s="511"/>
      <c r="H605" s="511"/>
      <c r="I605" s="511"/>
      <c r="J605" s="511"/>
      <c r="K605" s="511"/>
      <c r="L605" s="511"/>
      <c r="M605" s="511"/>
      <c r="N605" s="511"/>
      <c r="O605" s="511"/>
      <c r="P605" s="511"/>
      <c r="Q605" s="511"/>
      <c r="R605" s="511"/>
      <c r="S605" s="511"/>
      <c r="T605" s="511"/>
      <c r="U605" s="511"/>
      <c r="V605" s="511"/>
      <c r="W605" s="511"/>
      <c r="X605" s="511"/>
      <c r="Y605" s="511"/>
      <c r="Z605" s="511"/>
      <c r="AA605" s="511"/>
      <c r="AB605" s="511"/>
      <c r="AC605" s="511"/>
      <c r="AD605" s="511"/>
      <c r="AE605" s="511"/>
      <c r="AF605" s="511"/>
      <c r="AG605" s="511"/>
      <c r="AH605" s="511"/>
      <c r="AI605" s="511"/>
      <c r="AJ605" s="511"/>
      <c r="AK605" s="511"/>
      <c r="AL605" s="511"/>
      <c r="AM605" s="511"/>
      <c r="AN605" s="511"/>
      <c r="AO605" s="511"/>
      <c r="AP605" s="511"/>
      <c r="AQ605" s="511"/>
      <c r="AR605" s="511"/>
      <c r="AS605" s="511"/>
      <c r="AT605" s="511"/>
      <c r="AU605" s="511"/>
      <c r="AV605" s="511"/>
      <c r="AW605" s="511"/>
      <c r="AX605" s="511"/>
      <c r="AY605" s="511"/>
      <c r="AZ605" s="511"/>
      <c r="BA605" s="511"/>
      <c r="BB605" s="511"/>
      <c r="BC605" s="511"/>
    </row>
    <row r="606" spans="1:55" ht="16.5" customHeight="1" x14ac:dyDescent="0.3">
      <c r="A606" s="511"/>
      <c r="B606" s="511"/>
      <c r="C606" s="511"/>
      <c r="D606" s="511"/>
      <c r="E606" s="511"/>
      <c r="F606" s="511"/>
      <c r="G606" s="511"/>
      <c r="H606" s="511"/>
      <c r="I606" s="511"/>
      <c r="J606" s="511"/>
      <c r="K606" s="511"/>
      <c r="L606" s="511"/>
      <c r="M606" s="511"/>
      <c r="N606" s="511"/>
      <c r="O606" s="511"/>
      <c r="P606" s="511"/>
      <c r="Q606" s="511"/>
      <c r="R606" s="511"/>
      <c r="S606" s="511"/>
      <c r="T606" s="511"/>
      <c r="U606" s="511"/>
      <c r="V606" s="511"/>
      <c r="W606" s="511"/>
      <c r="X606" s="511"/>
      <c r="Y606" s="511"/>
      <c r="Z606" s="511"/>
      <c r="AA606" s="511"/>
      <c r="AB606" s="511"/>
      <c r="AC606" s="511"/>
      <c r="AD606" s="511"/>
      <c r="AE606" s="511"/>
      <c r="AF606" s="511"/>
      <c r="AG606" s="511"/>
      <c r="AH606" s="511"/>
      <c r="AI606" s="511"/>
      <c r="AJ606" s="511"/>
      <c r="AK606" s="511"/>
      <c r="AL606" s="511"/>
      <c r="AM606" s="511"/>
      <c r="AN606" s="511"/>
      <c r="AO606" s="511"/>
      <c r="AP606" s="511"/>
      <c r="AQ606" s="511"/>
      <c r="AR606" s="511"/>
      <c r="AS606" s="511"/>
      <c r="AT606" s="511"/>
      <c r="AU606" s="511"/>
      <c r="AV606" s="511"/>
      <c r="AW606" s="511"/>
      <c r="AX606" s="511"/>
      <c r="AY606" s="511"/>
      <c r="AZ606" s="511"/>
      <c r="BA606" s="511"/>
      <c r="BB606" s="511"/>
      <c r="BC606" s="511"/>
    </row>
    <row r="607" spans="1:55" ht="16.5" customHeight="1" x14ac:dyDescent="0.3">
      <c r="A607" s="511"/>
      <c r="B607" s="511"/>
      <c r="C607" s="511"/>
      <c r="D607" s="511"/>
      <c r="E607" s="511"/>
      <c r="F607" s="511"/>
      <c r="G607" s="511"/>
      <c r="H607" s="511"/>
      <c r="I607" s="511"/>
      <c r="J607" s="511"/>
      <c r="K607" s="511"/>
      <c r="L607" s="511"/>
      <c r="M607" s="511"/>
      <c r="N607" s="511"/>
      <c r="O607" s="511"/>
      <c r="P607" s="511"/>
      <c r="Q607" s="511"/>
      <c r="R607" s="511"/>
      <c r="S607" s="511"/>
      <c r="T607" s="511"/>
      <c r="U607" s="511"/>
      <c r="V607" s="511"/>
      <c r="W607" s="511"/>
      <c r="X607" s="511"/>
      <c r="Y607" s="511"/>
      <c r="Z607" s="511"/>
      <c r="AA607" s="511"/>
      <c r="AB607" s="511"/>
      <c r="AC607" s="511"/>
      <c r="AD607" s="511"/>
      <c r="AE607" s="511"/>
      <c r="AF607" s="511"/>
      <c r="AG607" s="511"/>
      <c r="AH607" s="511"/>
      <c r="AI607" s="511"/>
      <c r="AJ607" s="511"/>
      <c r="AK607" s="511"/>
      <c r="AL607" s="511"/>
      <c r="AM607" s="511"/>
      <c r="AN607" s="511"/>
      <c r="AO607" s="511"/>
      <c r="AP607" s="511"/>
      <c r="AQ607" s="511"/>
      <c r="AR607" s="511"/>
      <c r="AS607" s="511"/>
      <c r="AT607" s="511"/>
      <c r="AU607" s="511"/>
      <c r="AV607" s="511"/>
      <c r="AW607" s="511"/>
      <c r="AX607" s="511"/>
      <c r="AY607" s="511"/>
      <c r="AZ607" s="511"/>
      <c r="BA607" s="511"/>
      <c r="BB607" s="511"/>
      <c r="BC607" s="511"/>
    </row>
    <row r="608" spans="1:55" ht="16.5" customHeight="1" x14ac:dyDescent="0.3">
      <c r="A608" s="511"/>
      <c r="B608" s="511"/>
      <c r="C608" s="511"/>
      <c r="D608" s="511"/>
      <c r="E608" s="511"/>
      <c r="F608" s="511"/>
      <c r="G608" s="511"/>
      <c r="H608" s="511"/>
      <c r="I608" s="511"/>
      <c r="J608" s="511"/>
      <c r="K608" s="511"/>
      <c r="L608" s="511"/>
      <c r="M608" s="511"/>
      <c r="N608" s="511"/>
      <c r="O608" s="511"/>
      <c r="P608" s="511"/>
      <c r="Q608" s="511"/>
      <c r="R608" s="511"/>
      <c r="S608" s="511"/>
      <c r="T608" s="511"/>
      <c r="U608" s="511"/>
      <c r="V608" s="511"/>
      <c r="W608" s="511"/>
      <c r="X608" s="511"/>
      <c r="Y608" s="511"/>
      <c r="Z608" s="511"/>
      <c r="AA608" s="511"/>
      <c r="AB608" s="511"/>
      <c r="AC608" s="511"/>
      <c r="AD608" s="511"/>
      <c r="AE608" s="511"/>
      <c r="AF608" s="511"/>
      <c r="AG608" s="511"/>
      <c r="AH608" s="511"/>
      <c r="AI608" s="511"/>
      <c r="AJ608" s="511"/>
      <c r="AK608" s="511"/>
      <c r="AL608" s="511"/>
      <c r="AM608" s="511"/>
      <c r="AN608" s="511"/>
      <c r="AO608" s="511"/>
      <c r="AP608" s="511"/>
      <c r="AQ608" s="511"/>
      <c r="AR608" s="511"/>
      <c r="AS608" s="511"/>
      <c r="AT608" s="511"/>
      <c r="AU608" s="511"/>
      <c r="AV608" s="511"/>
      <c r="AW608" s="511"/>
      <c r="AX608" s="511"/>
      <c r="AY608" s="511"/>
      <c r="AZ608" s="511"/>
      <c r="BA608" s="511"/>
      <c r="BB608" s="511"/>
      <c r="BC608" s="511"/>
    </row>
    <row r="609" spans="1:55" ht="16.5" customHeight="1" x14ac:dyDescent="0.3">
      <c r="A609" s="511"/>
      <c r="B609" s="511"/>
      <c r="C609" s="511"/>
      <c r="D609" s="511"/>
      <c r="E609" s="511"/>
      <c r="F609" s="511"/>
      <c r="G609" s="511"/>
      <c r="H609" s="511"/>
      <c r="I609" s="511"/>
      <c r="J609" s="511"/>
      <c r="K609" s="511"/>
      <c r="L609" s="511"/>
      <c r="M609" s="511"/>
      <c r="N609" s="511"/>
      <c r="O609" s="511"/>
      <c r="P609" s="511"/>
      <c r="Q609" s="511"/>
      <c r="R609" s="511"/>
      <c r="S609" s="511"/>
      <c r="T609" s="511"/>
      <c r="U609" s="511"/>
      <c r="V609" s="511"/>
      <c r="W609" s="511"/>
      <c r="X609" s="511"/>
      <c r="Y609" s="511"/>
      <c r="Z609" s="511"/>
      <c r="AA609" s="511"/>
      <c r="AB609" s="511"/>
      <c r="AC609" s="511"/>
      <c r="AD609" s="511"/>
      <c r="AE609" s="511"/>
      <c r="AF609" s="511"/>
      <c r="AG609" s="511"/>
      <c r="AH609" s="511"/>
      <c r="AI609" s="511"/>
      <c r="AJ609" s="511"/>
      <c r="AK609" s="511"/>
      <c r="AL609" s="511"/>
      <c r="AM609" s="511"/>
      <c r="AN609" s="511"/>
      <c r="AO609" s="511"/>
      <c r="AP609" s="511"/>
      <c r="AQ609" s="511"/>
      <c r="AR609" s="511"/>
      <c r="AS609" s="511"/>
      <c r="AT609" s="511"/>
      <c r="AU609" s="511"/>
      <c r="AV609" s="511"/>
      <c r="AW609" s="511"/>
      <c r="AX609" s="511"/>
      <c r="AY609" s="511"/>
      <c r="AZ609" s="511"/>
      <c r="BA609" s="511"/>
      <c r="BB609" s="511"/>
      <c r="BC609" s="511"/>
    </row>
    <row r="610" spans="1:55" ht="16.5" customHeight="1" x14ac:dyDescent="0.3">
      <c r="A610" s="511"/>
      <c r="B610" s="511"/>
      <c r="C610" s="511"/>
      <c r="D610" s="511"/>
      <c r="E610" s="511"/>
      <c r="F610" s="511"/>
      <c r="G610" s="511"/>
      <c r="H610" s="511"/>
      <c r="I610" s="511"/>
      <c r="J610" s="511"/>
      <c r="K610" s="511"/>
      <c r="L610" s="511"/>
      <c r="M610" s="511"/>
      <c r="N610" s="511"/>
      <c r="O610" s="511"/>
      <c r="P610" s="511"/>
      <c r="Q610" s="511"/>
      <c r="R610" s="511"/>
      <c r="S610" s="511"/>
      <c r="T610" s="511"/>
      <c r="U610" s="511"/>
      <c r="V610" s="511"/>
      <c r="W610" s="511"/>
      <c r="X610" s="511"/>
      <c r="Y610" s="511"/>
      <c r="Z610" s="511"/>
      <c r="AA610" s="511"/>
      <c r="AB610" s="511"/>
      <c r="AC610" s="511"/>
      <c r="AD610" s="511"/>
      <c r="AE610" s="511"/>
      <c r="AF610" s="511"/>
      <c r="AG610" s="511"/>
      <c r="AH610" s="511"/>
      <c r="AI610" s="511"/>
      <c r="AJ610" s="511"/>
      <c r="AK610" s="511"/>
      <c r="AL610" s="511"/>
      <c r="AM610" s="511"/>
      <c r="AN610" s="511"/>
      <c r="AO610" s="511"/>
      <c r="AP610" s="511"/>
      <c r="AQ610" s="511"/>
      <c r="AR610" s="511"/>
      <c r="AS610" s="511"/>
      <c r="AT610" s="511"/>
      <c r="AU610" s="511"/>
      <c r="AV610" s="511"/>
      <c r="AW610" s="511"/>
      <c r="AX610" s="511"/>
      <c r="AY610" s="511"/>
      <c r="AZ610" s="511"/>
      <c r="BA610" s="511"/>
      <c r="BB610" s="511"/>
      <c r="BC610" s="511"/>
    </row>
    <row r="611" spans="1:55" ht="16.5" customHeight="1" x14ac:dyDescent="0.3">
      <c r="A611" s="511"/>
      <c r="B611" s="511"/>
      <c r="C611" s="511"/>
      <c r="D611" s="511"/>
      <c r="E611" s="511"/>
      <c r="F611" s="511"/>
      <c r="G611" s="511"/>
      <c r="H611" s="511"/>
      <c r="I611" s="511"/>
      <c r="J611" s="511"/>
      <c r="K611" s="511"/>
      <c r="L611" s="511"/>
      <c r="M611" s="511"/>
      <c r="N611" s="511"/>
      <c r="O611" s="511"/>
      <c r="P611" s="511"/>
      <c r="Q611" s="511"/>
      <c r="R611" s="511"/>
      <c r="S611" s="511"/>
      <c r="T611" s="511"/>
      <c r="U611" s="511"/>
      <c r="V611" s="511"/>
      <c r="W611" s="511"/>
      <c r="X611" s="511"/>
      <c r="Y611" s="511"/>
      <c r="Z611" s="511"/>
      <c r="AA611" s="511"/>
      <c r="AB611" s="511"/>
      <c r="AC611" s="511"/>
      <c r="AD611" s="511"/>
      <c r="AE611" s="511"/>
      <c r="AF611" s="511"/>
      <c r="AG611" s="511"/>
      <c r="AH611" s="511"/>
      <c r="AI611" s="511"/>
      <c r="AJ611" s="511"/>
      <c r="AK611" s="511"/>
      <c r="AL611" s="511"/>
      <c r="AM611" s="511"/>
      <c r="AN611" s="511"/>
      <c r="AO611" s="511"/>
      <c r="AP611" s="511"/>
      <c r="AQ611" s="511"/>
      <c r="AR611" s="511"/>
      <c r="AS611" s="511"/>
      <c r="AT611" s="511"/>
      <c r="AU611" s="511"/>
      <c r="AV611" s="511"/>
      <c r="AW611" s="511"/>
      <c r="AX611" s="511"/>
      <c r="AY611" s="511"/>
      <c r="AZ611" s="511"/>
      <c r="BA611" s="511"/>
      <c r="BB611" s="511"/>
      <c r="BC611" s="511"/>
    </row>
    <row r="612" spans="1:55" ht="16.5" customHeight="1" x14ac:dyDescent="0.3">
      <c r="A612" s="511"/>
      <c r="B612" s="511"/>
      <c r="C612" s="511"/>
      <c r="D612" s="511"/>
      <c r="E612" s="511"/>
      <c r="F612" s="511"/>
      <c r="G612" s="511"/>
      <c r="H612" s="511"/>
      <c r="I612" s="511"/>
      <c r="J612" s="511"/>
      <c r="K612" s="511"/>
      <c r="L612" s="511"/>
      <c r="M612" s="511"/>
      <c r="N612" s="511"/>
      <c r="O612" s="511"/>
      <c r="P612" s="511"/>
      <c r="Q612" s="511"/>
      <c r="R612" s="511"/>
      <c r="S612" s="511"/>
      <c r="T612" s="511"/>
      <c r="U612" s="511"/>
      <c r="V612" s="511"/>
      <c r="W612" s="511"/>
      <c r="X612" s="511"/>
      <c r="Y612" s="511"/>
      <c r="Z612" s="511"/>
      <c r="AA612" s="511"/>
      <c r="AB612" s="511"/>
      <c r="AC612" s="511"/>
      <c r="AD612" s="511"/>
      <c r="AE612" s="511"/>
      <c r="AF612" s="511"/>
      <c r="AG612" s="511"/>
      <c r="AH612" s="511"/>
      <c r="AI612" s="511"/>
      <c r="AJ612" s="511"/>
      <c r="AK612" s="511"/>
      <c r="AL612" s="511"/>
      <c r="AM612" s="511"/>
      <c r="AN612" s="511"/>
      <c r="AO612" s="511"/>
      <c r="AP612" s="511"/>
      <c r="AQ612" s="511"/>
      <c r="AR612" s="511"/>
      <c r="AS612" s="511"/>
      <c r="AT612" s="511"/>
      <c r="AU612" s="511"/>
      <c r="AV612" s="511"/>
      <c r="AW612" s="511"/>
      <c r="AX612" s="511"/>
      <c r="AY612" s="511"/>
      <c r="AZ612" s="511"/>
      <c r="BA612" s="511"/>
      <c r="BB612" s="511"/>
      <c r="BC612" s="511"/>
    </row>
    <row r="613" spans="1:55" ht="16.5" customHeight="1" x14ac:dyDescent="0.3">
      <c r="A613" s="511"/>
      <c r="B613" s="511"/>
      <c r="C613" s="511"/>
      <c r="D613" s="511"/>
      <c r="E613" s="511"/>
      <c r="F613" s="511"/>
      <c r="G613" s="511"/>
      <c r="H613" s="511"/>
      <c r="I613" s="511"/>
      <c r="J613" s="511"/>
      <c r="K613" s="511"/>
      <c r="L613" s="511"/>
      <c r="M613" s="511"/>
      <c r="N613" s="511"/>
      <c r="O613" s="511"/>
      <c r="P613" s="511"/>
      <c r="Q613" s="511"/>
      <c r="R613" s="511"/>
      <c r="S613" s="511"/>
      <c r="T613" s="511"/>
      <c r="U613" s="511"/>
      <c r="V613" s="511"/>
      <c r="W613" s="511"/>
      <c r="X613" s="511"/>
      <c r="Y613" s="511"/>
      <c r="Z613" s="511"/>
      <c r="AA613" s="511"/>
      <c r="AB613" s="511"/>
      <c r="AC613" s="511"/>
      <c r="AD613" s="511"/>
      <c r="AE613" s="511"/>
      <c r="AF613" s="511"/>
      <c r="AG613" s="511"/>
      <c r="AH613" s="511"/>
      <c r="AI613" s="511"/>
      <c r="AJ613" s="511"/>
      <c r="AK613" s="511"/>
      <c r="AL613" s="511"/>
      <c r="AM613" s="511"/>
      <c r="AN613" s="511"/>
      <c r="AO613" s="511"/>
      <c r="AP613" s="511"/>
      <c r="AQ613" s="511"/>
      <c r="AR613" s="511"/>
      <c r="AS613" s="511"/>
      <c r="AT613" s="511"/>
      <c r="AU613" s="511"/>
      <c r="AV613" s="511"/>
      <c r="AW613" s="511"/>
      <c r="AX613" s="511"/>
      <c r="AY613" s="511"/>
      <c r="AZ613" s="511"/>
      <c r="BA613" s="511"/>
      <c r="BB613" s="511"/>
      <c r="BC613" s="511"/>
    </row>
    <row r="614" spans="1:55" ht="16.5" customHeight="1" x14ac:dyDescent="0.3">
      <c r="A614" s="511"/>
      <c r="B614" s="511"/>
      <c r="C614" s="511"/>
      <c r="D614" s="511"/>
      <c r="E614" s="511"/>
      <c r="F614" s="511"/>
      <c r="G614" s="511"/>
      <c r="H614" s="511"/>
      <c r="I614" s="511"/>
      <c r="J614" s="511"/>
      <c r="K614" s="511"/>
      <c r="L614" s="511"/>
      <c r="M614" s="511"/>
      <c r="N614" s="511"/>
      <c r="O614" s="511"/>
      <c r="P614" s="511"/>
      <c r="Q614" s="511"/>
      <c r="R614" s="511"/>
      <c r="S614" s="511"/>
      <c r="T614" s="511"/>
      <c r="U614" s="511"/>
      <c r="V614" s="511"/>
      <c r="W614" s="511"/>
      <c r="X614" s="511"/>
      <c r="Y614" s="511"/>
      <c r="Z614" s="511"/>
      <c r="AA614" s="511"/>
      <c r="AB614" s="511"/>
      <c r="AC614" s="511"/>
      <c r="AD614" s="511"/>
      <c r="AE614" s="511"/>
      <c r="AF614" s="511"/>
      <c r="AG614" s="511"/>
      <c r="AH614" s="511"/>
      <c r="AI614" s="511"/>
      <c r="AJ614" s="511"/>
      <c r="AK614" s="511"/>
      <c r="AL614" s="511"/>
      <c r="AM614" s="511"/>
      <c r="AN614" s="511"/>
      <c r="AO614" s="511"/>
      <c r="AP614" s="511"/>
      <c r="AQ614" s="511"/>
      <c r="AR614" s="511"/>
      <c r="AS614" s="511"/>
      <c r="AT614" s="511"/>
      <c r="AU614" s="511"/>
      <c r="AV614" s="511"/>
      <c r="AW614" s="511"/>
      <c r="AX614" s="511"/>
      <c r="AY614" s="511"/>
      <c r="AZ614" s="511"/>
      <c r="BA614" s="511"/>
      <c r="BB614" s="511"/>
      <c r="BC614" s="511"/>
    </row>
    <row r="615" spans="1:55" ht="16.5" customHeight="1" x14ac:dyDescent="0.3">
      <c r="A615" s="511"/>
      <c r="B615" s="511"/>
      <c r="C615" s="511"/>
      <c r="D615" s="511"/>
      <c r="E615" s="511"/>
      <c r="F615" s="511"/>
      <c r="G615" s="511"/>
      <c r="H615" s="511"/>
      <c r="I615" s="511"/>
      <c r="J615" s="511"/>
      <c r="K615" s="511"/>
      <c r="L615" s="511"/>
      <c r="M615" s="511"/>
      <c r="N615" s="511"/>
      <c r="O615" s="511"/>
      <c r="P615" s="511"/>
      <c r="Q615" s="511"/>
      <c r="R615" s="511"/>
      <c r="S615" s="511"/>
      <c r="T615" s="511"/>
      <c r="U615" s="511"/>
      <c r="V615" s="511"/>
      <c r="W615" s="511"/>
      <c r="X615" s="511"/>
      <c r="Y615" s="511"/>
      <c r="Z615" s="511"/>
      <c r="AA615" s="511"/>
      <c r="AB615" s="511"/>
      <c r="AC615" s="511"/>
      <c r="AD615" s="511"/>
      <c r="AE615" s="511"/>
      <c r="AF615" s="511"/>
      <c r="AG615" s="511"/>
      <c r="AH615" s="511"/>
      <c r="AI615" s="511"/>
      <c r="AJ615" s="511"/>
      <c r="AK615" s="511"/>
      <c r="AL615" s="511"/>
      <c r="AM615" s="511"/>
      <c r="AN615" s="511"/>
      <c r="AO615" s="511"/>
      <c r="AP615" s="511"/>
      <c r="AQ615" s="511"/>
      <c r="AR615" s="511"/>
      <c r="AS615" s="511"/>
      <c r="AT615" s="511"/>
      <c r="AU615" s="511"/>
      <c r="AV615" s="511"/>
      <c r="AW615" s="511"/>
      <c r="AX615" s="511"/>
      <c r="AY615" s="511"/>
      <c r="AZ615" s="511"/>
      <c r="BA615" s="511"/>
      <c r="BB615" s="511"/>
      <c r="BC615" s="511"/>
    </row>
    <row r="616" spans="1:55" ht="16.5" customHeight="1" x14ac:dyDescent="0.3">
      <c r="A616" s="511"/>
      <c r="B616" s="511"/>
      <c r="C616" s="511"/>
      <c r="D616" s="511"/>
      <c r="E616" s="511"/>
      <c r="F616" s="511"/>
      <c r="G616" s="511"/>
      <c r="H616" s="511"/>
      <c r="I616" s="511"/>
      <c r="J616" s="511"/>
      <c r="K616" s="511"/>
      <c r="L616" s="511"/>
      <c r="M616" s="511"/>
      <c r="N616" s="511"/>
      <c r="O616" s="511"/>
      <c r="P616" s="511"/>
      <c r="Q616" s="511"/>
      <c r="R616" s="511"/>
      <c r="S616" s="511"/>
      <c r="T616" s="511"/>
      <c r="U616" s="511"/>
      <c r="V616" s="511"/>
      <c r="W616" s="511"/>
      <c r="X616" s="511"/>
      <c r="Y616" s="511"/>
      <c r="Z616" s="511"/>
      <c r="AA616" s="511"/>
      <c r="AB616" s="511"/>
      <c r="AC616" s="511"/>
      <c r="AD616" s="511"/>
      <c r="AE616" s="511"/>
      <c r="AF616" s="511"/>
      <c r="AG616" s="511"/>
      <c r="AH616" s="511"/>
      <c r="AI616" s="511"/>
      <c r="AJ616" s="511"/>
      <c r="AK616" s="511"/>
      <c r="AL616" s="511"/>
      <c r="AM616" s="511"/>
      <c r="AN616" s="511"/>
      <c r="AO616" s="511"/>
      <c r="AP616" s="511"/>
      <c r="AQ616" s="511"/>
      <c r="AR616" s="511"/>
      <c r="AS616" s="511"/>
      <c r="AT616" s="511"/>
      <c r="AU616" s="511"/>
      <c r="AV616" s="511"/>
      <c r="AW616" s="511"/>
      <c r="AX616" s="511"/>
      <c r="AY616" s="511"/>
      <c r="AZ616" s="511"/>
      <c r="BA616" s="511"/>
      <c r="BB616" s="511"/>
      <c r="BC616" s="511"/>
    </row>
    <row r="617" spans="1:55" ht="16.5" customHeight="1" x14ac:dyDescent="0.3">
      <c r="A617" s="511"/>
      <c r="B617" s="511"/>
      <c r="C617" s="511"/>
      <c r="D617" s="511"/>
      <c r="E617" s="511"/>
      <c r="F617" s="511"/>
      <c r="G617" s="511"/>
      <c r="H617" s="511"/>
      <c r="I617" s="511"/>
      <c r="J617" s="511"/>
      <c r="K617" s="511"/>
      <c r="L617" s="511"/>
      <c r="M617" s="511"/>
      <c r="N617" s="511"/>
      <c r="O617" s="511"/>
      <c r="P617" s="511"/>
      <c r="Q617" s="511"/>
      <c r="R617" s="511"/>
      <c r="S617" s="511"/>
      <c r="T617" s="511"/>
      <c r="U617" s="511"/>
      <c r="V617" s="511"/>
      <c r="W617" s="511"/>
      <c r="X617" s="511"/>
      <c r="Y617" s="511"/>
      <c r="Z617" s="511"/>
      <c r="AA617" s="511"/>
      <c r="AB617" s="511"/>
      <c r="AC617" s="511"/>
      <c r="AD617" s="511"/>
      <c r="AE617" s="511"/>
      <c r="AF617" s="511"/>
      <c r="AG617" s="511"/>
      <c r="AH617" s="511"/>
      <c r="AI617" s="511"/>
      <c r="AJ617" s="511"/>
      <c r="AK617" s="511"/>
      <c r="AL617" s="511"/>
      <c r="AM617" s="511"/>
      <c r="AN617" s="511"/>
      <c r="AO617" s="511"/>
      <c r="AP617" s="511"/>
      <c r="AQ617" s="511"/>
      <c r="AR617" s="511"/>
      <c r="AS617" s="511"/>
      <c r="AT617" s="511"/>
      <c r="AU617" s="511"/>
      <c r="AV617" s="511"/>
      <c r="AW617" s="511"/>
      <c r="AX617" s="511"/>
      <c r="AY617" s="511"/>
      <c r="AZ617" s="511"/>
      <c r="BA617" s="511"/>
      <c r="BB617" s="511"/>
      <c r="BC617" s="511"/>
    </row>
    <row r="618" spans="1:55" ht="16.5" customHeight="1" x14ac:dyDescent="0.3">
      <c r="A618" s="511"/>
      <c r="B618" s="511"/>
      <c r="C618" s="511"/>
      <c r="D618" s="511"/>
      <c r="E618" s="511"/>
      <c r="F618" s="511"/>
      <c r="G618" s="511"/>
      <c r="H618" s="511"/>
      <c r="I618" s="511"/>
      <c r="J618" s="511"/>
      <c r="K618" s="511"/>
      <c r="L618" s="511"/>
      <c r="M618" s="511"/>
      <c r="N618" s="511"/>
      <c r="O618" s="511"/>
      <c r="P618" s="511"/>
      <c r="Q618" s="511"/>
      <c r="R618" s="511"/>
      <c r="S618" s="511"/>
      <c r="T618" s="511"/>
      <c r="U618" s="511"/>
      <c r="V618" s="511"/>
      <c r="W618" s="511"/>
      <c r="X618" s="511"/>
      <c r="Y618" s="511"/>
      <c r="Z618" s="511"/>
      <c r="AA618" s="511"/>
      <c r="AB618" s="511"/>
      <c r="AC618" s="511"/>
      <c r="AD618" s="511"/>
      <c r="AE618" s="511"/>
      <c r="AF618" s="511"/>
      <c r="AG618" s="511"/>
      <c r="AH618" s="511"/>
      <c r="AI618" s="511"/>
      <c r="AJ618" s="511"/>
      <c r="AK618" s="511"/>
      <c r="AL618" s="511"/>
      <c r="AM618" s="511"/>
      <c r="AN618" s="511"/>
      <c r="AO618" s="511"/>
      <c r="AP618" s="511"/>
      <c r="AQ618" s="511"/>
      <c r="AR618" s="511"/>
      <c r="AS618" s="511"/>
      <c r="AT618" s="511"/>
      <c r="AU618" s="511"/>
      <c r="AV618" s="511"/>
      <c r="AW618" s="511"/>
      <c r="AX618" s="511"/>
      <c r="AY618" s="511"/>
      <c r="AZ618" s="511"/>
      <c r="BA618" s="511"/>
      <c r="BB618" s="511"/>
      <c r="BC618" s="511"/>
    </row>
    <row r="619" spans="1:55" ht="16.5" customHeight="1" x14ac:dyDescent="0.3">
      <c r="A619" s="511"/>
      <c r="B619" s="511"/>
      <c r="C619" s="511"/>
      <c r="D619" s="511"/>
      <c r="E619" s="511"/>
      <c r="F619" s="511"/>
      <c r="G619" s="511"/>
      <c r="H619" s="511"/>
      <c r="I619" s="511"/>
      <c r="J619" s="511"/>
      <c r="K619" s="511"/>
      <c r="L619" s="511"/>
      <c r="M619" s="511"/>
      <c r="N619" s="511"/>
      <c r="O619" s="511"/>
      <c r="P619" s="511"/>
      <c r="Q619" s="511"/>
      <c r="R619" s="511"/>
      <c r="S619" s="511"/>
      <c r="T619" s="511"/>
      <c r="U619" s="511"/>
      <c r="V619" s="511"/>
      <c r="W619" s="511"/>
      <c r="X619" s="511"/>
      <c r="Y619" s="511"/>
      <c r="Z619" s="511"/>
      <c r="AA619" s="511"/>
      <c r="AB619" s="511"/>
      <c r="AC619" s="511"/>
      <c r="AD619" s="511"/>
      <c r="AE619" s="511"/>
      <c r="AF619" s="511"/>
      <c r="AG619" s="511"/>
      <c r="AH619" s="511"/>
      <c r="AI619" s="511"/>
      <c r="AJ619" s="511"/>
      <c r="AK619" s="511"/>
      <c r="AL619" s="511"/>
      <c r="AM619" s="511"/>
      <c r="AN619" s="511"/>
      <c r="AO619" s="511"/>
      <c r="AP619" s="511"/>
      <c r="AQ619" s="511"/>
      <c r="AR619" s="511"/>
      <c r="AS619" s="511"/>
      <c r="AT619" s="511"/>
      <c r="AU619" s="511"/>
      <c r="AV619" s="511"/>
      <c r="AW619" s="511"/>
      <c r="AX619" s="511"/>
      <c r="AY619" s="511"/>
      <c r="AZ619" s="511"/>
      <c r="BA619" s="511"/>
      <c r="BB619" s="511"/>
      <c r="BC619" s="511"/>
    </row>
    <row r="620" spans="1:55" ht="16.5" customHeight="1" x14ac:dyDescent="0.3">
      <c r="A620" s="511"/>
      <c r="B620" s="511"/>
      <c r="C620" s="511"/>
      <c r="D620" s="511"/>
      <c r="E620" s="511"/>
      <c r="F620" s="511"/>
      <c r="G620" s="511"/>
      <c r="H620" s="511"/>
      <c r="I620" s="511"/>
      <c r="J620" s="511"/>
      <c r="K620" s="511"/>
      <c r="L620" s="511"/>
      <c r="M620" s="511"/>
      <c r="N620" s="511"/>
      <c r="O620" s="511"/>
      <c r="P620" s="511"/>
      <c r="Q620" s="511"/>
      <c r="R620" s="511"/>
      <c r="S620" s="511"/>
      <c r="T620" s="511"/>
      <c r="U620" s="511"/>
      <c r="V620" s="511"/>
      <c r="W620" s="511"/>
      <c r="X620" s="511"/>
      <c r="Y620" s="511"/>
      <c r="Z620" s="511"/>
      <c r="AA620" s="511"/>
      <c r="AB620" s="511"/>
      <c r="AC620" s="511"/>
      <c r="AD620" s="511"/>
      <c r="AE620" s="511"/>
      <c r="AF620" s="511"/>
      <c r="AG620" s="511"/>
      <c r="AH620" s="511"/>
      <c r="AI620" s="511"/>
      <c r="AJ620" s="511"/>
      <c r="AK620" s="511"/>
      <c r="AL620" s="511"/>
      <c r="AM620" s="511"/>
      <c r="AN620" s="511"/>
      <c r="AO620" s="511"/>
      <c r="AP620" s="511"/>
      <c r="AQ620" s="511"/>
      <c r="AR620" s="511"/>
      <c r="AS620" s="511"/>
      <c r="AT620" s="511"/>
      <c r="AU620" s="511"/>
      <c r="AV620" s="511"/>
      <c r="AW620" s="511"/>
      <c r="AX620" s="511"/>
      <c r="AY620" s="511"/>
      <c r="AZ620" s="511"/>
      <c r="BA620" s="511"/>
      <c r="BB620" s="511"/>
      <c r="BC620" s="511"/>
    </row>
    <row r="621" spans="1:55" ht="16.5" customHeight="1" x14ac:dyDescent="0.3">
      <c r="A621" s="511"/>
      <c r="B621" s="511"/>
      <c r="C621" s="511"/>
      <c r="D621" s="511"/>
      <c r="E621" s="511"/>
      <c r="F621" s="511"/>
      <c r="G621" s="511"/>
      <c r="H621" s="511"/>
      <c r="I621" s="511"/>
      <c r="J621" s="511"/>
      <c r="K621" s="511"/>
      <c r="L621" s="511"/>
      <c r="M621" s="511"/>
      <c r="N621" s="511"/>
      <c r="O621" s="511"/>
      <c r="P621" s="511"/>
      <c r="Q621" s="511"/>
      <c r="R621" s="511"/>
      <c r="S621" s="511"/>
      <c r="T621" s="511"/>
      <c r="U621" s="511"/>
      <c r="V621" s="511"/>
      <c r="W621" s="511"/>
      <c r="X621" s="511"/>
      <c r="Y621" s="511"/>
      <c r="Z621" s="511"/>
      <c r="AA621" s="511"/>
      <c r="AB621" s="511"/>
      <c r="AC621" s="511"/>
      <c r="AD621" s="511"/>
      <c r="AE621" s="511"/>
      <c r="AF621" s="511"/>
      <c r="AG621" s="511"/>
      <c r="AH621" s="511"/>
      <c r="AI621" s="511"/>
      <c r="AJ621" s="511"/>
      <c r="AK621" s="511"/>
      <c r="AL621" s="511"/>
      <c r="AM621" s="511"/>
      <c r="AN621" s="511"/>
      <c r="AO621" s="511"/>
      <c r="AP621" s="511"/>
      <c r="AQ621" s="511"/>
      <c r="AR621" s="511"/>
      <c r="AS621" s="511"/>
      <c r="AT621" s="511"/>
      <c r="AU621" s="511"/>
      <c r="AV621" s="511"/>
      <c r="AW621" s="511"/>
      <c r="AX621" s="511"/>
      <c r="AY621" s="511"/>
      <c r="AZ621" s="511"/>
      <c r="BA621" s="511"/>
      <c r="BB621" s="511"/>
      <c r="BC621" s="511"/>
    </row>
    <row r="622" spans="1:55" ht="16.5" customHeight="1" x14ac:dyDescent="0.3">
      <c r="A622" s="511"/>
      <c r="B622" s="511"/>
      <c r="C622" s="511"/>
      <c r="D622" s="511"/>
      <c r="E622" s="511"/>
      <c r="F622" s="511"/>
      <c r="G622" s="511"/>
      <c r="H622" s="511"/>
      <c r="I622" s="511"/>
      <c r="J622" s="511"/>
      <c r="K622" s="511"/>
      <c r="L622" s="511"/>
      <c r="M622" s="511"/>
      <c r="N622" s="511"/>
      <c r="O622" s="511"/>
      <c r="P622" s="511"/>
      <c r="Q622" s="511"/>
      <c r="R622" s="511"/>
      <c r="S622" s="511"/>
      <c r="T622" s="511"/>
      <c r="U622" s="511"/>
      <c r="V622" s="511"/>
      <c r="W622" s="511"/>
      <c r="X622" s="511"/>
      <c r="Y622" s="511"/>
      <c r="Z622" s="511"/>
      <c r="AA622" s="511"/>
      <c r="AB622" s="511"/>
      <c r="AC622" s="511"/>
      <c r="AD622" s="511"/>
      <c r="AE622" s="511"/>
      <c r="AF622" s="511"/>
      <c r="AG622" s="511"/>
      <c r="AH622" s="511"/>
      <c r="AI622" s="511"/>
      <c r="AJ622" s="511"/>
      <c r="AK622" s="511"/>
      <c r="AL622" s="511"/>
      <c r="AM622" s="511"/>
      <c r="AN622" s="511"/>
      <c r="AO622" s="511"/>
      <c r="AP622" s="511"/>
      <c r="AQ622" s="511"/>
      <c r="AR622" s="511"/>
      <c r="AS622" s="511"/>
      <c r="AT622" s="511"/>
      <c r="AU622" s="511"/>
      <c r="AV622" s="511"/>
      <c r="AW622" s="511"/>
      <c r="AX622" s="511"/>
      <c r="AY622" s="511"/>
      <c r="AZ622" s="511"/>
      <c r="BA622" s="511"/>
      <c r="BB622" s="511"/>
      <c r="BC622" s="511"/>
    </row>
    <row r="623" spans="1:55" ht="16.5" customHeight="1" x14ac:dyDescent="0.3">
      <c r="A623" s="511"/>
      <c r="B623" s="511"/>
      <c r="C623" s="511"/>
      <c r="D623" s="511"/>
      <c r="E623" s="511"/>
      <c r="F623" s="511"/>
      <c r="G623" s="511"/>
      <c r="H623" s="511"/>
      <c r="I623" s="511"/>
      <c r="J623" s="511"/>
      <c r="K623" s="511"/>
      <c r="L623" s="511"/>
      <c r="M623" s="511"/>
      <c r="N623" s="511"/>
      <c r="O623" s="511"/>
      <c r="P623" s="511"/>
      <c r="Q623" s="511"/>
      <c r="R623" s="511"/>
      <c r="S623" s="511"/>
      <c r="T623" s="511"/>
      <c r="U623" s="511"/>
      <c r="V623" s="511"/>
      <c r="W623" s="511"/>
      <c r="X623" s="511"/>
      <c r="Y623" s="511"/>
      <c r="Z623" s="511"/>
      <c r="AA623" s="511"/>
      <c r="AB623" s="511"/>
      <c r="AC623" s="511"/>
      <c r="AD623" s="511"/>
      <c r="AE623" s="511"/>
      <c r="AF623" s="511"/>
      <c r="AG623" s="511"/>
      <c r="AH623" s="511"/>
      <c r="AI623" s="511"/>
      <c r="AJ623" s="511"/>
      <c r="AK623" s="511"/>
      <c r="AL623" s="511"/>
      <c r="AM623" s="511"/>
      <c r="AN623" s="511"/>
      <c r="AO623" s="511"/>
      <c r="AP623" s="511"/>
      <c r="AQ623" s="511"/>
      <c r="AR623" s="511"/>
      <c r="AS623" s="511"/>
      <c r="AT623" s="511"/>
      <c r="AU623" s="511"/>
      <c r="AV623" s="511"/>
      <c r="AW623" s="511"/>
      <c r="AX623" s="511"/>
      <c r="AY623" s="511"/>
      <c r="AZ623" s="511"/>
      <c r="BA623" s="511"/>
      <c r="BB623" s="511"/>
      <c r="BC623" s="511"/>
    </row>
    <row r="624" spans="1:55" ht="16.5" customHeight="1" x14ac:dyDescent="0.3">
      <c r="A624" s="511"/>
      <c r="B624" s="511"/>
      <c r="C624" s="511"/>
      <c r="D624" s="511"/>
      <c r="E624" s="511"/>
      <c r="F624" s="511"/>
      <c r="G624" s="511"/>
      <c r="H624" s="511"/>
      <c r="I624" s="511"/>
      <c r="J624" s="511"/>
      <c r="K624" s="511"/>
      <c r="L624" s="511"/>
      <c r="M624" s="511"/>
      <c r="N624" s="511"/>
      <c r="O624" s="511"/>
      <c r="P624" s="511"/>
      <c r="Q624" s="511"/>
      <c r="R624" s="511"/>
      <c r="S624" s="511"/>
      <c r="T624" s="511"/>
      <c r="U624" s="511"/>
      <c r="V624" s="511"/>
      <c r="W624" s="511"/>
      <c r="X624" s="511"/>
      <c r="Y624" s="511"/>
      <c r="Z624" s="511"/>
      <c r="AA624" s="511"/>
      <c r="AB624" s="511"/>
      <c r="AC624" s="511"/>
      <c r="AD624" s="511"/>
      <c r="AE624" s="511"/>
      <c r="AF624" s="511"/>
      <c r="AG624" s="511"/>
      <c r="AH624" s="511"/>
      <c r="AI624" s="511"/>
      <c r="AJ624" s="511"/>
      <c r="AK624" s="511"/>
      <c r="AL624" s="511"/>
      <c r="AM624" s="511"/>
      <c r="AN624" s="511"/>
      <c r="AO624" s="511"/>
      <c r="AP624" s="511"/>
      <c r="AQ624" s="511"/>
      <c r="AR624" s="511"/>
      <c r="AS624" s="511"/>
      <c r="AT624" s="511"/>
      <c r="AU624" s="511"/>
      <c r="AV624" s="511"/>
      <c r="AW624" s="511"/>
      <c r="AX624" s="511"/>
      <c r="AY624" s="511"/>
      <c r="AZ624" s="511"/>
      <c r="BA624" s="511"/>
      <c r="BB624" s="511"/>
      <c r="BC624" s="511"/>
    </row>
    <row r="625" spans="1:55" ht="16.5" customHeight="1" x14ac:dyDescent="0.3">
      <c r="A625" s="511"/>
      <c r="B625" s="511"/>
      <c r="C625" s="511"/>
      <c r="D625" s="511"/>
      <c r="E625" s="511"/>
      <c r="F625" s="511"/>
      <c r="G625" s="511"/>
      <c r="H625" s="511"/>
      <c r="I625" s="511"/>
      <c r="J625" s="511"/>
      <c r="K625" s="511"/>
      <c r="L625" s="511"/>
      <c r="M625" s="511"/>
      <c r="N625" s="511"/>
      <c r="O625" s="511"/>
      <c r="P625" s="511"/>
      <c r="Q625" s="511"/>
      <c r="R625" s="511"/>
      <c r="S625" s="511"/>
      <c r="T625" s="511"/>
      <c r="U625" s="511"/>
      <c r="V625" s="511"/>
      <c r="W625" s="511"/>
      <c r="X625" s="511"/>
      <c r="Y625" s="511"/>
      <c r="Z625" s="511"/>
      <c r="AA625" s="511"/>
      <c r="AB625" s="511"/>
      <c r="AC625" s="511"/>
      <c r="AD625" s="511"/>
      <c r="AE625" s="511"/>
      <c r="AF625" s="511"/>
      <c r="AG625" s="511"/>
      <c r="AH625" s="511"/>
      <c r="AI625" s="511"/>
      <c r="AJ625" s="511"/>
      <c r="AK625" s="511"/>
      <c r="AL625" s="511"/>
      <c r="AM625" s="511"/>
      <c r="AN625" s="511"/>
      <c r="AO625" s="511"/>
      <c r="AP625" s="511"/>
      <c r="AQ625" s="511"/>
      <c r="AR625" s="511"/>
      <c r="AS625" s="511"/>
      <c r="AT625" s="511"/>
      <c r="AU625" s="511"/>
      <c r="AV625" s="511"/>
      <c r="AW625" s="511"/>
      <c r="AX625" s="511"/>
      <c r="AY625" s="511"/>
      <c r="AZ625" s="511"/>
      <c r="BA625" s="511"/>
      <c r="BB625" s="511"/>
      <c r="BC625" s="511"/>
    </row>
    <row r="626" spans="1:55" ht="16.5" customHeight="1" x14ac:dyDescent="0.3">
      <c r="A626" s="511"/>
      <c r="B626" s="511"/>
      <c r="C626" s="511"/>
      <c r="D626" s="511"/>
      <c r="E626" s="511"/>
      <c r="F626" s="511"/>
      <c r="G626" s="511"/>
      <c r="H626" s="511"/>
      <c r="I626" s="511"/>
      <c r="J626" s="511"/>
      <c r="K626" s="511"/>
      <c r="L626" s="511"/>
      <c r="M626" s="511"/>
      <c r="N626" s="511"/>
      <c r="O626" s="511"/>
      <c r="P626" s="511"/>
      <c r="Q626" s="511"/>
      <c r="R626" s="511"/>
      <c r="S626" s="511"/>
      <c r="T626" s="511"/>
      <c r="U626" s="511"/>
      <c r="V626" s="511"/>
      <c r="W626" s="511"/>
      <c r="X626" s="511"/>
      <c r="Y626" s="511"/>
      <c r="Z626" s="511"/>
      <c r="AA626" s="511"/>
      <c r="AB626" s="511"/>
      <c r="AC626" s="511"/>
      <c r="AD626" s="511"/>
      <c r="AE626" s="511"/>
      <c r="AF626" s="511"/>
      <c r="AG626" s="511"/>
      <c r="AH626" s="511"/>
      <c r="AI626" s="511"/>
      <c r="AJ626" s="511"/>
      <c r="AK626" s="511"/>
      <c r="AL626" s="511"/>
      <c r="AM626" s="511"/>
      <c r="AN626" s="511"/>
      <c r="AO626" s="511"/>
      <c r="AP626" s="511"/>
      <c r="AQ626" s="511"/>
      <c r="AR626" s="511"/>
      <c r="AS626" s="511"/>
      <c r="AT626" s="511"/>
      <c r="AU626" s="511"/>
      <c r="AV626" s="511"/>
      <c r="AW626" s="511"/>
      <c r="AX626" s="511"/>
      <c r="AY626" s="511"/>
      <c r="AZ626" s="511"/>
      <c r="BA626" s="511"/>
      <c r="BB626" s="511"/>
      <c r="BC626" s="511"/>
    </row>
    <row r="627" spans="1:55" ht="16.5" customHeight="1" x14ac:dyDescent="0.3">
      <c r="A627" s="511"/>
      <c r="B627" s="511"/>
      <c r="C627" s="511"/>
      <c r="D627" s="511"/>
      <c r="E627" s="511"/>
      <c r="F627" s="511"/>
      <c r="G627" s="511"/>
      <c r="H627" s="511"/>
      <c r="I627" s="511"/>
      <c r="J627" s="511"/>
      <c r="K627" s="511"/>
      <c r="L627" s="511"/>
      <c r="M627" s="511"/>
      <c r="N627" s="511"/>
      <c r="O627" s="511"/>
      <c r="P627" s="511"/>
      <c r="Q627" s="511"/>
      <c r="R627" s="511"/>
      <c r="S627" s="511"/>
      <c r="T627" s="511"/>
      <c r="U627" s="511"/>
      <c r="V627" s="511"/>
      <c r="W627" s="511"/>
      <c r="X627" s="511"/>
      <c r="Y627" s="511"/>
      <c r="Z627" s="511"/>
      <c r="AA627" s="511"/>
      <c r="AB627" s="511"/>
      <c r="AC627" s="511"/>
      <c r="AD627" s="511"/>
      <c r="AE627" s="511"/>
      <c r="AF627" s="511"/>
      <c r="AG627" s="511"/>
      <c r="AH627" s="511"/>
      <c r="AI627" s="511"/>
      <c r="AJ627" s="511"/>
      <c r="AK627" s="511"/>
      <c r="AL627" s="511"/>
      <c r="AM627" s="511"/>
      <c r="AN627" s="511"/>
      <c r="AO627" s="511"/>
      <c r="AP627" s="511"/>
      <c r="AQ627" s="511"/>
      <c r="AR627" s="511"/>
      <c r="AS627" s="511"/>
      <c r="AT627" s="511"/>
      <c r="AU627" s="511"/>
      <c r="AV627" s="511"/>
      <c r="AW627" s="511"/>
      <c r="AX627" s="511"/>
      <c r="AY627" s="511"/>
      <c r="AZ627" s="511"/>
      <c r="BA627" s="511"/>
      <c r="BB627" s="511"/>
      <c r="BC627" s="511"/>
    </row>
    <row r="628" spans="1:55" ht="16.5" customHeight="1" x14ac:dyDescent="0.3">
      <c r="A628" s="511"/>
      <c r="B628" s="511"/>
      <c r="C628" s="511"/>
      <c r="D628" s="511"/>
      <c r="E628" s="511"/>
      <c r="F628" s="511"/>
      <c r="G628" s="511"/>
      <c r="H628" s="511"/>
      <c r="I628" s="511"/>
      <c r="J628" s="511"/>
      <c r="K628" s="511"/>
      <c r="L628" s="511"/>
      <c r="M628" s="511"/>
      <c r="N628" s="511"/>
      <c r="O628" s="511"/>
      <c r="P628" s="511"/>
      <c r="Q628" s="511"/>
      <c r="R628" s="511"/>
      <c r="S628" s="511"/>
      <c r="T628" s="511"/>
      <c r="U628" s="511"/>
      <c r="V628" s="511"/>
      <c r="W628" s="511"/>
      <c r="X628" s="511"/>
      <c r="Y628" s="511"/>
      <c r="Z628" s="511"/>
      <c r="AA628" s="511"/>
      <c r="AB628" s="511"/>
      <c r="AC628" s="511"/>
      <c r="AD628" s="511"/>
      <c r="AE628" s="511"/>
      <c r="AF628" s="511"/>
      <c r="AG628" s="511"/>
      <c r="AH628" s="511"/>
      <c r="AI628" s="511"/>
      <c r="AJ628" s="511"/>
      <c r="AK628" s="511"/>
      <c r="AL628" s="511"/>
      <c r="AM628" s="511"/>
      <c r="AN628" s="511"/>
      <c r="AO628" s="511"/>
      <c r="AP628" s="511"/>
      <c r="AQ628" s="511"/>
      <c r="AR628" s="511"/>
      <c r="AS628" s="511"/>
      <c r="AT628" s="511"/>
      <c r="AU628" s="511"/>
      <c r="AV628" s="511"/>
      <c r="AW628" s="511"/>
      <c r="AX628" s="511"/>
      <c r="AY628" s="511"/>
      <c r="AZ628" s="511"/>
      <c r="BA628" s="511"/>
      <c r="BB628" s="511"/>
      <c r="BC628" s="511"/>
    </row>
    <row r="629" spans="1:55" ht="16.5" customHeight="1" x14ac:dyDescent="0.3">
      <c r="A629" s="511"/>
      <c r="B629" s="511"/>
      <c r="C629" s="511"/>
      <c r="D629" s="511"/>
      <c r="E629" s="511"/>
      <c r="F629" s="511"/>
      <c r="G629" s="511"/>
      <c r="H629" s="511"/>
      <c r="I629" s="511"/>
      <c r="J629" s="511"/>
      <c r="K629" s="511"/>
      <c r="L629" s="511"/>
      <c r="M629" s="511"/>
      <c r="N629" s="511"/>
      <c r="O629" s="511"/>
      <c r="P629" s="511"/>
      <c r="Q629" s="511"/>
      <c r="R629" s="511"/>
      <c r="S629" s="511"/>
      <c r="T629" s="511"/>
      <c r="U629" s="511"/>
      <c r="V629" s="511"/>
      <c r="W629" s="511"/>
      <c r="X629" s="511"/>
      <c r="Y629" s="511"/>
      <c r="Z629" s="511"/>
      <c r="AA629" s="511"/>
      <c r="AB629" s="511"/>
      <c r="AC629" s="511"/>
      <c r="AD629" s="511"/>
      <c r="AE629" s="511"/>
      <c r="AF629" s="511"/>
      <c r="AG629" s="511"/>
      <c r="AH629" s="511"/>
      <c r="AI629" s="511"/>
      <c r="AJ629" s="511"/>
      <c r="AK629" s="511"/>
      <c r="AL629" s="511"/>
      <c r="AM629" s="511"/>
      <c r="AN629" s="511"/>
      <c r="AO629" s="511"/>
      <c r="AP629" s="511"/>
      <c r="AQ629" s="511"/>
      <c r="AR629" s="511"/>
      <c r="AS629" s="511"/>
      <c r="AT629" s="511"/>
      <c r="AU629" s="511"/>
      <c r="AV629" s="511"/>
      <c r="AW629" s="511"/>
      <c r="AX629" s="511"/>
      <c r="AY629" s="511"/>
      <c r="AZ629" s="511"/>
      <c r="BA629" s="511"/>
      <c r="BB629" s="511"/>
      <c r="BC629" s="511"/>
    </row>
    <row r="630" spans="1:55" ht="16.5" customHeight="1" x14ac:dyDescent="0.3">
      <c r="A630" s="511"/>
      <c r="B630" s="511"/>
      <c r="C630" s="511"/>
      <c r="D630" s="511"/>
      <c r="E630" s="511"/>
      <c r="F630" s="511"/>
      <c r="G630" s="511"/>
      <c r="H630" s="511"/>
      <c r="I630" s="511"/>
      <c r="J630" s="511"/>
      <c r="K630" s="511"/>
      <c r="L630" s="511"/>
      <c r="M630" s="511"/>
      <c r="N630" s="511"/>
      <c r="O630" s="511"/>
      <c r="P630" s="511"/>
      <c r="Q630" s="511"/>
      <c r="R630" s="511"/>
      <c r="S630" s="511"/>
      <c r="T630" s="511"/>
      <c r="U630" s="511"/>
      <c r="V630" s="511"/>
      <c r="W630" s="511"/>
      <c r="X630" s="511"/>
      <c r="Y630" s="511"/>
      <c r="Z630" s="511"/>
      <c r="AA630" s="511"/>
      <c r="AB630" s="511"/>
      <c r="AC630" s="511"/>
      <c r="AD630" s="511"/>
      <c r="AE630" s="511"/>
      <c r="AF630" s="511"/>
      <c r="AG630" s="511"/>
      <c r="AH630" s="511"/>
      <c r="AI630" s="511"/>
      <c r="AJ630" s="511"/>
      <c r="AK630" s="511"/>
      <c r="AL630" s="511"/>
      <c r="AM630" s="511"/>
      <c r="AN630" s="511"/>
      <c r="AO630" s="511"/>
      <c r="AP630" s="511"/>
      <c r="AQ630" s="511"/>
      <c r="AR630" s="511"/>
      <c r="AS630" s="511"/>
      <c r="AT630" s="511"/>
      <c r="AU630" s="511"/>
      <c r="AV630" s="511"/>
      <c r="AW630" s="511"/>
      <c r="AX630" s="511"/>
      <c r="AY630" s="511"/>
      <c r="AZ630" s="511"/>
      <c r="BA630" s="511"/>
      <c r="BB630" s="511"/>
      <c r="BC630" s="511"/>
    </row>
    <row r="631" spans="1:55" ht="16.5" customHeight="1" x14ac:dyDescent="0.3">
      <c r="A631" s="511"/>
      <c r="B631" s="511"/>
      <c r="C631" s="511"/>
      <c r="D631" s="511"/>
      <c r="E631" s="511"/>
      <c r="F631" s="511"/>
      <c r="G631" s="511"/>
      <c r="H631" s="511"/>
      <c r="I631" s="511"/>
      <c r="J631" s="511"/>
      <c r="K631" s="511"/>
      <c r="L631" s="511"/>
      <c r="M631" s="511"/>
      <c r="N631" s="511"/>
      <c r="O631" s="511"/>
      <c r="P631" s="511"/>
      <c r="Q631" s="511"/>
      <c r="R631" s="511"/>
      <c r="S631" s="511"/>
      <c r="T631" s="511"/>
      <c r="U631" s="511"/>
      <c r="V631" s="511"/>
      <c r="W631" s="511"/>
      <c r="X631" s="511"/>
      <c r="Y631" s="511"/>
      <c r="Z631" s="511"/>
      <c r="AA631" s="511"/>
      <c r="AB631" s="511"/>
      <c r="AC631" s="511"/>
      <c r="AD631" s="511"/>
      <c r="AE631" s="511"/>
      <c r="AF631" s="511"/>
      <c r="AG631" s="511"/>
      <c r="AH631" s="511"/>
      <c r="AI631" s="511"/>
      <c r="AJ631" s="511"/>
      <c r="AK631" s="511"/>
      <c r="AL631" s="511"/>
      <c r="AM631" s="511"/>
      <c r="AN631" s="511"/>
      <c r="AO631" s="511"/>
      <c r="AP631" s="511"/>
      <c r="AQ631" s="511"/>
      <c r="AR631" s="511"/>
      <c r="AS631" s="511"/>
      <c r="AT631" s="511"/>
      <c r="AU631" s="511"/>
      <c r="AV631" s="511"/>
      <c r="AW631" s="511"/>
      <c r="AX631" s="511"/>
      <c r="AY631" s="511"/>
      <c r="AZ631" s="511"/>
      <c r="BA631" s="511"/>
      <c r="BB631" s="511"/>
      <c r="BC631" s="511"/>
    </row>
    <row r="632" spans="1:55" ht="16.5" customHeight="1" x14ac:dyDescent="0.3">
      <c r="A632" s="511"/>
      <c r="B632" s="511"/>
      <c r="C632" s="511"/>
      <c r="D632" s="511"/>
      <c r="E632" s="511"/>
      <c r="F632" s="511"/>
      <c r="G632" s="511"/>
      <c r="H632" s="511"/>
      <c r="I632" s="511"/>
      <c r="J632" s="511"/>
      <c r="K632" s="511"/>
      <c r="L632" s="511"/>
      <c r="M632" s="511"/>
      <c r="N632" s="511"/>
      <c r="O632" s="511"/>
      <c r="P632" s="511"/>
      <c r="Q632" s="511"/>
      <c r="R632" s="511"/>
      <c r="S632" s="511"/>
      <c r="T632" s="511"/>
      <c r="U632" s="511"/>
      <c r="V632" s="511"/>
      <c r="W632" s="511"/>
      <c r="X632" s="511"/>
      <c r="Y632" s="511"/>
      <c r="Z632" s="511"/>
      <c r="AA632" s="511"/>
      <c r="AB632" s="511"/>
      <c r="AC632" s="511"/>
      <c r="AD632" s="511"/>
      <c r="AE632" s="511"/>
      <c r="AF632" s="511"/>
      <c r="AG632" s="511"/>
      <c r="AH632" s="511"/>
      <c r="AI632" s="511"/>
      <c r="AJ632" s="511"/>
      <c r="AK632" s="511"/>
      <c r="AL632" s="511"/>
      <c r="AM632" s="511"/>
      <c r="AN632" s="511"/>
      <c r="AO632" s="511"/>
      <c r="AP632" s="511"/>
      <c r="AQ632" s="511"/>
      <c r="AR632" s="511"/>
      <c r="AS632" s="511"/>
      <c r="AT632" s="511"/>
      <c r="AU632" s="511"/>
      <c r="AV632" s="511"/>
      <c r="AW632" s="511"/>
      <c r="AX632" s="511"/>
      <c r="AY632" s="511"/>
      <c r="AZ632" s="511"/>
      <c r="BA632" s="511"/>
      <c r="BB632" s="511"/>
      <c r="BC632" s="511"/>
    </row>
    <row r="633" spans="1:55" ht="16.5" customHeight="1" x14ac:dyDescent="0.3">
      <c r="A633" s="511"/>
      <c r="B633" s="511"/>
      <c r="C633" s="511"/>
      <c r="D633" s="511"/>
      <c r="E633" s="511"/>
      <c r="F633" s="511"/>
      <c r="G633" s="511"/>
      <c r="H633" s="511"/>
      <c r="I633" s="511"/>
      <c r="J633" s="511"/>
      <c r="K633" s="511"/>
      <c r="L633" s="511"/>
      <c r="M633" s="511"/>
      <c r="N633" s="511"/>
      <c r="O633" s="511"/>
      <c r="P633" s="511"/>
      <c r="Q633" s="511"/>
      <c r="R633" s="511"/>
      <c r="S633" s="511"/>
      <c r="T633" s="511"/>
      <c r="U633" s="511"/>
      <c r="V633" s="511"/>
      <c r="W633" s="511"/>
      <c r="X633" s="511"/>
      <c r="Y633" s="511"/>
      <c r="Z633" s="511"/>
      <c r="AA633" s="511"/>
      <c r="AB633" s="511"/>
      <c r="AC633" s="511"/>
      <c r="AD633" s="511"/>
      <c r="AE633" s="511"/>
      <c r="AF633" s="511"/>
      <c r="AG633" s="511"/>
      <c r="AH633" s="511"/>
      <c r="AI633" s="511"/>
      <c r="AJ633" s="511"/>
      <c r="AK633" s="511"/>
      <c r="AL633" s="511"/>
      <c r="AM633" s="511"/>
      <c r="AN633" s="511"/>
      <c r="AO633" s="511"/>
      <c r="AP633" s="511"/>
      <c r="AQ633" s="511"/>
      <c r="AR633" s="511"/>
      <c r="AS633" s="511"/>
      <c r="AT633" s="511"/>
      <c r="AU633" s="511"/>
      <c r="AV633" s="511"/>
      <c r="AW633" s="511"/>
      <c r="AX633" s="511"/>
      <c r="AY633" s="511"/>
      <c r="AZ633" s="511"/>
      <c r="BA633" s="511"/>
      <c r="BB633" s="511"/>
      <c r="BC633" s="511"/>
    </row>
    <row r="634" spans="1:55" ht="16.5" customHeight="1" x14ac:dyDescent="0.3">
      <c r="A634" s="511"/>
      <c r="B634" s="511"/>
      <c r="C634" s="511"/>
      <c r="D634" s="511"/>
      <c r="E634" s="511"/>
      <c r="F634" s="511"/>
      <c r="G634" s="511"/>
      <c r="H634" s="511"/>
      <c r="I634" s="511"/>
      <c r="J634" s="511"/>
      <c r="K634" s="511"/>
      <c r="L634" s="511"/>
      <c r="M634" s="511"/>
      <c r="N634" s="511"/>
      <c r="O634" s="511"/>
      <c r="P634" s="511"/>
      <c r="Q634" s="511"/>
      <c r="R634" s="511"/>
      <c r="S634" s="511"/>
      <c r="T634" s="511"/>
      <c r="U634" s="511"/>
      <c r="V634" s="511"/>
      <c r="W634" s="511"/>
      <c r="X634" s="511"/>
      <c r="Y634" s="511"/>
      <c r="Z634" s="511"/>
      <c r="AA634" s="511"/>
      <c r="AB634" s="511"/>
      <c r="AC634" s="511"/>
      <c r="AD634" s="511"/>
      <c r="AE634" s="511"/>
      <c r="AF634" s="511"/>
      <c r="AG634" s="511"/>
      <c r="AH634" s="511"/>
      <c r="AI634" s="511"/>
      <c r="AJ634" s="511"/>
      <c r="AK634" s="511"/>
      <c r="AL634" s="511"/>
      <c r="AM634" s="511"/>
      <c r="AN634" s="511"/>
      <c r="AO634" s="511"/>
      <c r="AP634" s="511"/>
      <c r="AQ634" s="511"/>
      <c r="AR634" s="511"/>
      <c r="AS634" s="511"/>
      <c r="AT634" s="511"/>
      <c r="AU634" s="511"/>
      <c r="AV634" s="511"/>
      <c r="AW634" s="511"/>
      <c r="AX634" s="511"/>
      <c r="AY634" s="511"/>
      <c r="AZ634" s="511"/>
      <c r="BA634" s="511"/>
      <c r="BB634" s="511"/>
      <c r="BC634" s="511"/>
    </row>
    <row r="635" spans="1:55" ht="16.5" customHeight="1" x14ac:dyDescent="0.3">
      <c r="A635" s="511"/>
      <c r="B635" s="511"/>
      <c r="C635" s="511"/>
      <c r="D635" s="511"/>
      <c r="E635" s="511"/>
      <c r="F635" s="511"/>
      <c r="G635" s="511"/>
      <c r="H635" s="511"/>
      <c r="I635" s="511"/>
      <c r="J635" s="511"/>
      <c r="K635" s="511"/>
      <c r="L635" s="511"/>
      <c r="M635" s="511"/>
      <c r="N635" s="511"/>
      <c r="O635" s="511"/>
      <c r="P635" s="511"/>
      <c r="Q635" s="511"/>
      <c r="R635" s="511"/>
      <c r="S635" s="511"/>
      <c r="T635" s="511"/>
      <c r="U635" s="511"/>
      <c r="V635" s="511"/>
      <c r="W635" s="511"/>
      <c r="X635" s="511"/>
      <c r="Y635" s="511"/>
      <c r="Z635" s="511"/>
      <c r="AA635" s="511"/>
      <c r="AB635" s="511"/>
      <c r="AC635" s="511"/>
      <c r="AD635" s="511"/>
      <c r="AE635" s="511"/>
      <c r="AF635" s="511"/>
      <c r="AG635" s="511"/>
      <c r="AH635" s="511"/>
      <c r="AI635" s="511"/>
      <c r="AJ635" s="511"/>
      <c r="AK635" s="511"/>
      <c r="AL635" s="511"/>
      <c r="AM635" s="511"/>
      <c r="AN635" s="511"/>
      <c r="AO635" s="511"/>
      <c r="AP635" s="511"/>
      <c r="AQ635" s="511"/>
      <c r="AR635" s="511"/>
      <c r="AS635" s="511"/>
      <c r="AT635" s="511"/>
      <c r="AU635" s="511"/>
      <c r="AV635" s="511"/>
      <c r="AW635" s="511"/>
      <c r="AX635" s="511"/>
      <c r="AY635" s="511"/>
      <c r="AZ635" s="511"/>
      <c r="BA635" s="511"/>
      <c r="BB635" s="511"/>
      <c r="BC635" s="511"/>
    </row>
    <row r="636" spans="1:55" ht="16.5" customHeight="1" x14ac:dyDescent="0.3">
      <c r="A636" s="511"/>
      <c r="B636" s="511"/>
      <c r="C636" s="511"/>
      <c r="D636" s="511"/>
      <c r="E636" s="511"/>
      <c r="F636" s="511"/>
      <c r="G636" s="511"/>
      <c r="H636" s="511"/>
      <c r="I636" s="511"/>
      <c r="J636" s="511"/>
      <c r="K636" s="511"/>
      <c r="L636" s="511"/>
      <c r="M636" s="511"/>
      <c r="N636" s="511"/>
      <c r="O636" s="511"/>
      <c r="P636" s="511"/>
      <c r="Q636" s="511"/>
      <c r="R636" s="511"/>
      <c r="S636" s="511"/>
      <c r="T636" s="511"/>
      <c r="U636" s="511"/>
      <c r="V636" s="511"/>
      <c r="W636" s="511"/>
      <c r="X636" s="511"/>
      <c r="Y636" s="511"/>
      <c r="Z636" s="511"/>
      <c r="AA636" s="511"/>
      <c r="AB636" s="511"/>
      <c r="AC636" s="511"/>
      <c r="AD636" s="511"/>
      <c r="AE636" s="511"/>
      <c r="AF636" s="511"/>
      <c r="AG636" s="511"/>
      <c r="AH636" s="511"/>
      <c r="AI636" s="511"/>
      <c r="AJ636" s="511"/>
      <c r="AK636" s="511"/>
      <c r="AL636" s="511"/>
      <c r="AM636" s="511"/>
      <c r="AN636" s="511"/>
      <c r="AO636" s="511"/>
      <c r="AP636" s="511"/>
      <c r="AQ636" s="511"/>
      <c r="AR636" s="511"/>
      <c r="AS636" s="511"/>
      <c r="AT636" s="511"/>
      <c r="AU636" s="511"/>
      <c r="AV636" s="511"/>
      <c r="AW636" s="511"/>
      <c r="AX636" s="511"/>
      <c r="AY636" s="511"/>
      <c r="AZ636" s="511"/>
      <c r="BA636" s="511"/>
      <c r="BB636" s="511"/>
      <c r="BC636" s="511"/>
    </row>
    <row r="637" spans="1:55" ht="16.5" customHeight="1" x14ac:dyDescent="0.3">
      <c r="A637" s="511"/>
      <c r="B637" s="511"/>
      <c r="C637" s="511"/>
      <c r="D637" s="511"/>
      <c r="E637" s="511"/>
      <c r="F637" s="511"/>
      <c r="G637" s="511"/>
      <c r="H637" s="511"/>
      <c r="I637" s="511"/>
      <c r="J637" s="511"/>
      <c r="K637" s="511"/>
      <c r="L637" s="511"/>
      <c r="M637" s="511"/>
      <c r="N637" s="511"/>
      <c r="O637" s="511"/>
      <c r="P637" s="511"/>
      <c r="Q637" s="511"/>
      <c r="R637" s="511"/>
      <c r="S637" s="511"/>
      <c r="T637" s="511"/>
      <c r="U637" s="511"/>
      <c r="V637" s="511"/>
      <c r="W637" s="511"/>
      <c r="X637" s="511"/>
      <c r="Y637" s="511"/>
      <c r="Z637" s="511"/>
      <c r="AA637" s="511"/>
      <c r="AB637" s="511"/>
      <c r="AC637" s="511"/>
      <c r="AD637" s="511"/>
      <c r="AE637" s="511"/>
      <c r="AF637" s="511"/>
      <c r="AG637" s="511"/>
      <c r="AH637" s="511"/>
      <c r="AI637" s="511"/>
      <c r="AJ637" s="511"/>
      <c r="AK637" s="511"/>
      <c r="AL637" s="511"/>
      <c r="AM637" s="511"/>
      <c r="AN637" s="511"/>
      <c r="AO637" s="511"/>
      <c r="AP637" s="511"/>
      <c r="AQ637" s="511"/>
      <c r="AR637" s="511"/>
      <c r="AS637" s="511"/>
      <c r="AT637" s="511"/>
      <c r="AU637" s="511"/>
      <c r="AV637" s="511"/>
      <c r="AW637" s="511"/>
      <c r="AX637" s="511"/>
      <c r="AY637" s="511"/>
      <c r="AZ637" s="511"/>
      <c r="BA637" s="511"/>
      <c r="BB637" s="511"/>
      <c r="BC637" s="511"/>
    </row>
    <row r="638" spans="1:55" ht="16.5" customHeight="1" x14ac:dyDescent="0.3">
      <c r="A638" s="511"/>
      <c r="B638" s="511"/>
      <c r="C638" s="511"/>
      <c r="D638" s="511"/>
      <c r="E638" s="511"/>
      <c r="F638" s="511"/>
      <c r="G638" s="511"/>
      <c r="H638" s="511"/>
      <c r="I638" s="511"/>
      <c r="J638" s="511"/>
      <c r="K638" s="511"/>
      <c r="L638" s="511"/>
      <c r="M638" s="511"/>
      <c r="N638" s="511"/>
      <c r="O638" s="511"/>
      <c r="P638" s="511"/>
      <c r="Q638" s="511"/>
      <c r="R638" s="511"/>
      <c r="S638" s="511"/>
      <c r="T638" s="511"/>
      <c r="U638" s="511"/>
      <c r="V638" s="511"/>
      <c r="W638" s="511"/>
      <c r="X638" s="511"/>
      <c r="Y638" s="511"/>
      <c r="Z638" s="511"/>
      <c r="AA638" s="511"/>
      <c r="AB638" s="511"/>
      <c r="AC638" s="511"/>
      <c r="AD638" s="511"/>
      <c r="AE638" s="511"/>
      <c r="AF638" s="511"/>
      <c r="AG638" s="511"/>
      <c r="AH638" s="511"/>
      <c r="AI638" s="511"/>
      <c r="AJ638" s="511"/>
      <c r="AK638" s="511"/>
      <c r="AL638" s="511"/>
      <c r="AM638" s="511"/>
      <c r="AN638" s="511"/>
      <c r="AO638" s="511"/>
      <c r="AP638" s="511"/>
      <c r="AQ638" s="511"/>
      <c r="AR638" s="511"/>
      <c r="AS638" s="511"/>
      <c r="AT638" s="511"/>
      <c r="AU638" s="511"/>
      <c r="AV638" s="511"/>
      <c r="AW638" s="511"/>
      <c r="AX638" s="511"/>
      <c r="AY638" s="511"/>
      <c r="AZ638" s="511"/>
      <c r="BA638" s="511"/>
      <c r="BB638" s="511"/>
      <c r="BC638" s="511"/>
    </row>
    <row r="639" spans="1:55" ht="16.5" customHeight="1" x14ac:dyDescent="0.3">
      <c r="A639" s="511"/>
      <c r="B639" s="511"/>
      <c r="C639" s="511"/>
      <c r="D639" s="511"/>
      <c r="E639" s="511"/>
      <c r="F639" s="511"/>
      <c r="G639" s="511"/>
      <c r="H639" s="511"/>
      <c r="I639" s="511"/>
      <c r="J639" s="511"/>
      <c r="K639" s="511"/>
      <c r="L639" s="511"/>
      <c r="M639" s="511"/>
      <c r="N639" s="511"/>
      <c r="O639" s="511"/>
      <c r="P639" s="511"/>
      <c r="Q639" s="511"/>
      <c r="R639" s="511"/>
      <c r="S639" s="511"/>
      <c r="T639" s="511"/>
      <c r="U639" s="511"/>
      <c r="V639" s="511"/>
      <c r="W639" s="511"/>
      <c r="X639" s="511"/>
      <c r="Y639" s="511"/>
      <c r="Z639" s="511"/>
      <c r="AA639" s="511"/>
      <c r="AB639" s="511"/>
      <c r="AC639" s="511"/>
      <c r="AD639" s="511"/>
      <c r="AE639" s="511"/>
      <c r="AF639" s="511"/>
      <c r="AG639" s="511"/>
      <c r="AH639" s="511"/>
      <c r="AI639" s="511"/>
      <c r="AJ639" s="511"/>
      <c r="AK639" s="511"/>
      <c r="AL639" s="511"/>
      <c r="AM639" s="511"/>
      <c r="AN639" s="511"/>
      <c r="AO639" s="511"/>
      <c r="AP639" s="511"/>
      <c r="AQ639" s="511"/>
      <c r="AR639" s="511"/>
      <c r="AS639" s="511"/>
      <c r="AT639" s="511"/>
      <c r="AU639" s="511"/>
      <c r="AV639" s="511"/>
      <c r="AW639" s="511"/>
      <c r="AX639" s="511"/>
      <c r="AY639" s="511"/>
      <c r="AZ639" s="511"/>
      <c r="BA639" s="511"/>
      <c r="BB639" s="511"/>
      <c r="BC639" s="511"/>
    </row>
    <row r="640" spans="1:55" ht="16.5" customHeight="1" x14ac:dyDescent="0.3">
      <c r="A640" s="511"/>
      <c r="B640" s="511"/>
      <c r="C640" s="511"/>
      <c r="D640" s="511"/>
      <c r="E640" s="511"/>
      <c r="F640" s="511"/>
      <c r="G640" s="511"/>
      <c r="H640" s="511"/>
      <c r="I640" s="511"/>
      <c r="J640" s="511"/>
      <c r="K640" s="511"/>
      <c r="L640" s="511"/>
      <c r="M640" s="511"/>
      <c r="N640" s="511"/>
      <c r="O640" s="511"/>
      <c r="P640" s="511"/>
      <c r="Q640" s="511"/>
      <c r="R640" s="511"/>
      <c r="S640" s="511"/>
      <c r="T640" s="511"/>
      <c r="U640" s="511"/>
      <c r="V640" s="511"/>
      <c r="W640" s="511"/>
      <c r="X640" s="511"/>
      <c r="Y640" s="511"/>
      <c r="Z640" s="511"/>
      <c r="AA640" s="511"/>
      <c r="AB640" s="511"/>
      <c r="AC640" s="511"/>
      <c r="AD640" s="511"/>
      <c r="AE640" s="511"/>
      <c r="AF640" s="511"/>
      <c r="AG640" s="511"/>
      <c r="AH640" s="511"/>
      <c r="AI640" s="511"/>
      <c r="AJ640" s="511"/>
      <c r="AK640" s="511"/>
      <c r="AL640" s="511"/>
      <c r="AM640" s="511"/>
      <c r="AN640" s="511"/>
      <c r="AO640" s="511"/>
      <c r="AP640" s="511"/>
      <c r="AQ640" s="511"/>
      <c r="AR640" s="511"/>
      <c r="AS640" s="511"/>
      <c r="AT640" s="511"/>
      <c r="AU640" s="511"/>
      <c r="AV640" s="511"/>
      <c r="AW640" s="511"/>
      <c r="AX640" s="511"/>
      <c r="AY640" s="511"/>
      <c r="AZ640" s="511"/>
      <c r="BA640" s="511"/>
      <c r="BB640" s="511"/>
      <c r="BC640" s="511"/>
    </row>
    <row r="641" spans="1:55" ht="16.5" customHeight="1" x14ac:dyDescent="0.3">
      <c r="A641" s="511"/>
      <c r="B641" s="511"/>
      <c r="C641" s="511"/>
      <c r="D641" s="511"/>
      <c r="E641" s="511"/>
      <c r="F641" s="511"/>
      <c r="G641" s="511"/>
      <c r="H641" s="511"/>
      <c r="I641" s="511"/>
      <c r="J641" s="511"/>
      <c r="K641" s="511"/>
      <c r="L641" s="511"/>
      <c r="M641" s="511"/>
      <c r="N641" s="511"/>
      <c r="O641" s="511"/>
      <c r="P641" s="511"/>
      <c r="Q641" s="511"/>
      <c r="R641" s="511"/>
      <c r="S641" s="511"/>
      <c r="T641" s="511"/>
      <c r="U641" s="511"/>
      <c r="V641" s="511"/>
      <c r="W641" s="511"/>
      <c r="X641" s="511"/>
      <c r="Y641" s="511"/>
      <c r="Z641" s="511"/>
      <c r="AA641" s="511"/>
      <c r="AB641" s="511"/>
      <c r="AC641" s="511"/>
      <c r="AD641" s="511"/>
      <c r="AE641" s="511"/>
      <c r="AF641" s="511"/>
      <c r="AG641" s="511"/>
      <c r="AH641" s="511"/>
      <c r="AI641" s="511"/>
      <c r="AJ641" s="511"/>
      <c r="AK641" s="511"/>
      <c r="AL641" s="511"/>
      <c r="AM641" s="511"/>
      <c r="AN641" s="511"/>
      <c r="AO641" s="511"/>
      <c r="AP641" s="511"/>
      <c r="AQ641" s="511"/>
      <c r="AR641" s="511"/>
      <c r="AS641" s="511"/>
      <c r="AT641" s="511"/>
      <c r="AU641" s="511"/>
      <c r="AV641" s="511"/>
      <c r="AW641" s="511"/>
      <c r="AX641" s="511"/>
      <c r="AY641" s="511"/>
      <c r="AZ641" s="511"/>
      <c r="BA641" s="511"/>
      <c r="BB641" s="511"/>
      <c r="BC641" s="511"/>
    </row>
    <row r="642" spans="1:55" ht="16.5" customHeight="1" x14ac:dyDescent="0.3">
      <c r="A642" s="511"/>
      <c r="B642" s="511"/>
      <c r="C642" s="511"/>
      <c r="D642" s="511"/>
      <c r="E642" s="511"/>
      <c r="F642" s="511"/>
      <c r="G642" s="511"/>
      <c r="H642" s="511"/>
      <c r="I642" s="511"/>
      <c r="J642" s="511"/>
      <c r="K642" s="511"/>
      <c r="L642" s="511"/>
      <c r="M642" s="511"/>
      <c r="N642" s="511"/>
      <c r="O642" s="511"/>
      <c r="P642" s="511"/>
      <c r="Q642" s="511"/>
      <c r="R642" s="511"/>
      <c r="S642" s="511"/>
      <c r="T642" s="511"/>
      <c r="U642" s="511"/>
      <c r="V642" s="511"/>
      <c r="W642" s="511"/>
      <c r="X642" s="511"/>
      <c r="Y642" s="511"/>
      <c r="Z642" s="511"/>
      <c r="AA642" s="511"/>
      <c r="AB642" s="511"/>
      <c r="AC642" s="511"/>
      <c r="AD642" s="511"/>
      <c r="AE642" s="511"/>
      <c r="AF642" s="511"/>
      <c r="AG642" s="511"/>
      <c r="AH642" s="511"/>
      <c r="AI642" s="511"/>
      <c r="AJ642" s="511"/>
      <c r="AK642" s="511"/>
      <c r="AL642" s="511"/>
      <c r="AM642" s="511"/>
      <c r="AN642" s="511"/>
      <c r="AO642" s="511"/>
      <c r="AP642" s="511"/>
      <c r="AQ642" s="511"/>
      <c r="AR642" s="511"/>
      <c r="AS642" s="511"/>
      <c r="AT642" s="511"/>
      <c r="AU642" s="511"/>
      <c r="AV642" s="511"/>
      <c r="AW642" s="511"/>
      <c r="AX642" s="511"/>
      <c r="AY642" s="511"/>
      <c r="AZ642" s="511"/>
      <c r="BA642" s="511"/>
      <c r="BB642" s="511"/>
      <c r="BC642" s="511"/>
    </row>
    <row r="643" spans="1:55" ht="16.5" customHeight="1" x14ac:dyDescent="0.3">
      <c r="A643" s="511"/>
      <c r="B643" s="511"/>
      <c r="C643" s="511"/>
      <c r="D643" s="511"/>
      <c r="E643" s="511"/>
      <c r="F643" s="511"/>
      <c r="G643" s="511"/>
      <c r="H643" s="511"/>
      <c r="I643" s="511"/>
      <c r="J643" s="511"/>
      <c r="K643" s="511"/>
      <c r="L643" s="511"/>
      <c r="M643" s="511"/>
      <c r="N643" s="511"/>
      <c r="O643" s="511"/>
      <c r="P643" s="511"/>
      <c r="Q643" s="511"/>
      <c r="R643" s="511"/>
      <c r="S643" s="511"/>
      <c r="T643" s="511"/>
      <c r="U643" s="511"/>
      <c r="V643" s="511"/>
      <c r="W643" s="511"/>
      <c r="X643" s="511"/>
      <c r="Y643" s="511"/>
      <c r="Z643" s="511"/>
      <c r="AA643" s="511"/>
      <c r="AB643" s="511"/>
      <c r="AC643" s="511"/>
      <c r="AD643" s="511"/>
      <c r="AE643" s="511"/>
      <c r="AF643" s="511"/>
      <c r="AG643" s="511"/>
      <c r="AH643" s="511"/>
      <c r="AI643" s="511"/>
      <c r="AJ643" s="511"/>
      <c r="AK643" s="511"/>
      <c r="AL643" s="511"/>
      <c r="AM643" s="511"/>
      <c r="AN643" s="511"/>
      <c r="AO643" s="511"/>
      <c r="AP643" s="511"/>
      <c r="AQ643" s="511"/>
      <c r="AR643" s="511"/>
      <c r="AS643" s="511"/>
      <c r="AT643" s="511"/>
      <c r="AU643" s="511"/>
      <c r="AV643" s="511"/>
      <c r="AW643" s="511"/>
      <c r="AX643" s="511"/>
      <c r="AY643" s="511"/>
      <c r="AZ643" s="511"/>
      <c r="BA643" s="511"/>
      <c r="BB643" s="511"/>
      <c r="BC643" s="511"/>
    </row>
    <row r="644" spans="1:55" ht="16.5" customHeight="1" x14ac:dyDescent="0.3">
      <c r="A644" s="511"/>
      <c r="B644" s="511"/>
      <c r="C644" s="511"/>
      <c r="D644" s="511"/>
      <c r="E644" s="511"/>
      <c r="F644" s="511"/>
      <c r="G644" s="511"/>
      <c r="H644" s="511"/>
      <c r="I644" s="511"/>
      <c r="J644" s="511"/>
      <c r="K644" s="511"/>
      <c r="L644" s="511"/>
      <c r="M644" s="511"/>
      <c r="N644" s="511"/>
      <c r="O644" s="511"/>
      <c r="P644" s="511"/>
      <c r="Q644" s="511"/>
      <c r="R644" s="511"/>
      <c r="S644" s="511"/>
      <c r="T644" s="511"/>
      <c r="U644" s="511"/>
      <c r="V644" s="511"/>
      <c r="W644" s="511"/>
      <c r="X644" s="511"/>
      <c r="Y644" s="511"/>
      <c r="Z644" s="511"/>
      <c r="AA644" s="511"/>
      <c r="AB644" s="511"/>
      <c r="AC644" s="511"/>
      <c r="AD644" s="511"/>
      <c r="AE644" s="511"/>
      <c r="AF644" s="511"/>
      <c r="AG644" s="511"/>
      <c r="AH644" s="511"/>
      <c r="AI644" s="511"/>
      <c r="AJ644" s="511"/>
      <c r="AK644" s="511"/>
      <c r="AL644" s="511"/>
      <c r="AM644" s="511"/>
      <c r="AN644" s="511"/>
      <c r="AO644" s="511"/>
      <c r="AP644" s="511"/>
      <c r="AQ644" s="511"/>
      <c r="AR644" s="511"/>
      <c r="AS644" s="511"/>
      <c r="AT644" s="511"/>
      <c r="AU644" s="511"/>
      <c r="AV644" s="511"/>
      <c r="AW644" s="511"/>
      <c r="AX644" s="511"/>
      <c r="AY644" s="511"/>
      <c r="AZ644" s="511"/>
      <c r="BA644" s="511"/>
      <c r="BB644" s="511"/>
      <c r="BC644" s="511"/>
    </row>
    <row r="645" spans="1:55" ht="16.5" customHeight="1" x14ac:dyDescent="0.3">
      <c r="A645" s="511"/>
      <c r="B645" s="511"/>
      <c r="C645" s="511"/>
      <c r="D645" s="511"/>
      <c r="E645" s="511"/>
      <c r="F645" s="511"/>
      <c r="G645" s="511"/>
      <c r="H645" s="511"/>
      <c r="I645" s="511"/>
      <c r="J645" s="511"/>
      <c r="K645" s="511"/>
      <c r="L645" s="511"/>
      <c r="M645" s="511"/>
      <c r="N645" s="511"/>
      <c r="O645" s="511"/>
      <c r="P645" s="511"/>
      <c r="Q645" s="511"/>
      <c r="R645" s="511"/>
      <c r="S645" s="511"/>
      <c r="T645" s="511"/>
      <c r="U645" s="511"/>
      <c r="V645" s="511"/>
      <c r="W645" s="511"/>
      <c r="X645" s="511"/>
      <c r="Y645" s="511"/>
      <c r="Z645" s="511"/>
      <c r="AA645" s="511"/>
      <c r="AB645" s="511"/>
      <c r="AC645" s="511"/>
      <c r="AD645" s="511"/>
      <c r="AE645" s="511"/>
      <c r="AF645" s="511"/>
      <c r="AG645" s="511"/>
      <c r="AH645" s="511"/>
      <c r="AI645" s="511"/>
      <c r="AJ645" s="511"/>
      <c r="AK645" s="511"/>
      <c r="AL645" s="511"/>
      <c r="AM645" s="511"/>
      <c r="AN645" s="511"/>
      <c r="AO645" s="511"/>
      <c r="AP645" s="511"/>
      <c r="AQ645" s="511"/>
      <c r="AR645" s="511"/>
      <c r="AS645" s="511"/>
      <c r="AT645" s="511"/>
      <c r="AU645" s="511"/>
      <c r="AV645" s="511"/>
      <c r="AW645" s="511"/>
      <c r="AX645" s="511"/>
      <c r="AY645" s="511"/>
      <c r="AZ645" s="511"/>
      <c r="BA645" s="511"/>
      <c r="BB645" s="511"/>
      <c r="BC645" s="511"/>
    </row>
    <row r="646" spans="1:55" ht="16.5" customHeight="1" x14ac:dyDescent="0.3">
      <c r="A646" s="511"/>
      <c r="B646" s="511"/>
      <c r="C646" s="511"/>
      <c r="D646" s="511"/>
      <c r="E646" s="511"/>
      <c r="F646" s="511"/>
      <c r="G646" s="511"/>
      <c r="H646" s="511"/>
      <c r="I646" s="511"/>
      <c r="J646" s="511"/>
      <c r="K646" s="511"/>
      <c r="L646" s="511"/>
      <c r="M646" s="511"/>
      <c r="N646" s="511"/>
      <c r="O646" s="511"/>
      <c r="P646" s="511"/>
      <c r="Q646" s="511"/>
      <c r="R646" s="511"/>
      <c r="S646" s="511"/>
      <c r="T646" s="511"/>
      <c r="U646" s="511"/>
      <c r="V646" s="511"/>
      <c r="W646" s="511"/>
      <c r="X646" s="511"/>
      <c r="Y646" s="511"/>
      <c r="Z646" s="511"/>
      <c r="AA646" s="511"/>
      <c r="AB646" s="511"/>
      <c r="AC646" s="511"/>
      <c r="AD646" s="511"/>
      <c r="AE646" s="511"/>
      <c r="AF646" s="511"/>
      <c r="AG646" s="511"/>
      <c r="AH646" s="511"/>
      <c r="AI646" s="511"/>
      <c r="AJ646" s="511"/>
      <c r="AK646" s="511"/>
      <c r="AL646" s="511"/>
      <c r="AM646" s="511"/>
      <c r="AN646" s="511"/>
      <c r="AO646" s="511"/>
      <c r="AP646" s="511"/>
      <c r="AQ646" s="511"/>
      <c r="AR646" s="511"/>
      <c r="AS646" s="511"/>
      <c r="AT646" s="511"/>
      <c r="AU646" s="511"/>
      <c r="AV646" s="511"/>
      <c r="AW646" s="511"/>
      <c r="AX646" s="511"/>
      <c r="AY646" s="511"/>
      <c r="AZ646" s="511"/>
      <c r="BA646" s="511"/>
      <c r="BB646" s="511"/>
      <c r="BC646" s="511"/>
    </row>
    <row r="647" spans="1:55" ht="16.5" customHeight="1" x14ac:dyDescent="0.3">
      <c r="A647" s="511"/>
      <c r="B647" s="511"/>
      <c r="C647" s="511"/>
      <c r="D647" s="511"/>
      <c r="E647" s="511"/>
      <c r="F647" s="511"/>
      <c r="G647" s="511"/>
      <c r="H647" s="511"/>
      <c r="I647" s="511"/>
      <c r="J647" s="511"/>
      <c r="K647" s="511"/>
      <c r="L647" s="511"/>
      <c r="M647" s="511"/>
      <c r="N647" s="511"/>
      <c r="O647" s="511"/>
      <c r="P647" s="511"/>
      <c r="Q647" s="511"/>
      <c r="R647" s="511"/>
      <c r="S647" s="511"/>
      <c r="T647" s="511"/>
      <c r="U647" s="511"/>
      <c r="V647" s="511"/>
      <c r="W647" s="511"/>
      <c r="X647" s="511"/>
      <c r="Y647" s="511"/>
      <c r="Z647" s="511"/>
      <c r="AA647" s="511"/>
      <c r="AB647" s="511"/>
      <c r="AC647" s="511"/>
      <c r="AD647" s="511"/>
      <c r="AE647" s="511"/>
      <c r="AF647" s="511"/>
      <c r="AG647" s="511"/>
      <c r="AH647" s="511"/>
      <c r="AI647" s="511"/>
      <c r="AJ647" s="511"/>
      <c r="AK647" s="511"/>
      <c r="AL647" s="511"/>
      <c r="AM647" s="511"/>
      <c r="AN647" s="511"/>
      <c r="AO647" s="511"/>
      <c r="AP647" s="511"/>
      <c r="AQ647" s="511"/>
      <c r="AR647" s="511"/>
      <c r="AS647" s="511"/>
      <c r="AT647" s="511"/>
      <c r="AU647" s="511"/>
      <c r="AV647" s="511"/>
      <c r="AW647" s="511"/>
      <c r="AX647" s="511"/>
      <c r="AY647" s="511"/>
      <c r="AZ647" s="511"/>
      <c r="BA647" s="511"/>
      <c r="BB647" s="511"/>
      <c r="BC647" s="511"/>
    </row>
    <row r="648" spans="1:55" ht="16.5" customHeight="1" x14ac:dyDescent="0.3">
      <c r="A648" s="511"/>
      <c r="B648" s="511"/>
      <c r="C648" s="511"/>
      <c r="D648" s="511"/>
      <c r="E648" s="511"/>
      <c r="F648" s="511"/>
      <c r="G648" s="511"/>
      <c r="H648" s="511"/>
      <c r="I648" s="511"/>
      <c r="J648" s="511"/>
      <c r="K648" s="511"/>
      <c r="L648" s="511"/>
      <c r="M648" s="511"/>
      <c r="N648" s="511"/>
      <c r="O648" s="511"/>
      <c r="P648" s="511"/>
      <c r="Q648" s="511"/>
      <c r="R648" s="511"/>
      <c r="S648" s="511"/>
      <c r="T648" s="511"/>
      <c r="U648" s="511"/>
      <c r="V648" s="511"/>
      <c r="W648" s="511"/>
      <c r="X648" s="511"/>
      <c r="Y648" s="511"/>
      <c r="Z648" s="511"/>
      <c r="AA648" s="511"/>
      <c r="AB648" s="511"/>
      <c r="AC648" s="511"/>
      <c r="AD648" s="511"/>
      <c r="AE648" s="511"/>
      <c r="AF648" s="511"/>
      <c r="AG648" s="511"/>
      <c r="AH648" s="511"/>
      <c r="AI648" s="511"/>
      <c r="AJ648" s="511"/>
      <c r="AK648" s="511"/>
      <c r="AL648" s="511"/>
      <c r="AM648" s="511"/>
      <c r="AN648" s="511"/>
      <c r="AO648" s="511"/>
      <c r="AP648" s="511"/>
      <c r="AQ648" s="511"/>
      <c r="AR648" s="511"/>
      <c r="AS648" s="511"/>
      <c r="AT648" s="511"/>
      <c r="AU648" s="511"/>
      <c r="AV648" s="511"/>
      <c r="AW648" s="511"/>
      <c r="AX648" s="511"/>
      <c r="AY648" s="511"/>
      <c r="AZ648" s="511"/>
      <c r="BA648" s="511"/>
      <c r="BB648" s="511"/>
      <c r="BC648" s="511"/>
    </row>
    <row r="649" spans="1:55" ht="16.5" customHeight="1" x14ac:dyDescent="0.3">
      <c r="A649" s="511"/>
      <c r="B649" s="511"/>
      <c r="C649" s="511"/>
      <c r="D649" s="511"/>
      <c r="E649" s="511"/>
      <c r="F649" s="511"/>
      <c r="G649" s="511"/>
      <c r="H649" s="511"/>
      <c r="I649" s="511"/>
      <c r="J649" s="511"/>
      <c r="K649" s="511"/>
      <c r="L649" s="511"/>
      <c r="M649" s="511"/>
      <c r="N649" s="511"/>
      <c r="O649" s="511"/>
      <c r="P649" s="511"/>
      <c r="Q649" s="511"/>
      <c r="R649" s="511"/>
      <c r="S649" s="511"/>
      <c r="T649" s="511"/>
      <c r="U649" s="511"/>
      <c r="V649" s="511"/>
      <c r="W649" s="511"/>
      <c r="X649" s="511"/>
      <c r="Y649" s="511"/>
      <c r="Z649" s="511"/>
      <c r="AA649" s="511"/>
      <c r="AB649" s="511"/>
      <c r="AC649" s="511"/>
      <c r="AD649" s="511"/>
      <c r="AE649" s="511"/>
      <c r="AF649" s="511"/>
      <c r="AG649" s="511"/>
      <c r="AH649" s="511"/>
      <c r="AI649" s="511"/>
      <c r="AJ649" s="511"/>
      <c r="AK649" s="511"/>
      <c r="AL649" s="511"/>
      <c r="AM649" s="511"/>
      <c r="AN649" s="511"/>
      <c r="AO649" s="511"/>
      <c r="AP649" s="511"/>
      <c r="AQ649" s="511"/>
      <c r="AR649" s="511"/>
      <c r="AS649" s="511"/>
      <c r="AT649" s="511"/>
      <c r="AU649" s="511"/>
      <c r="AV649" s="511"/>
      <c r="AW649" s="511"/>
      <c r="AX649" s="511"/>
      <c r="AY649" s="511"/>
      <c r="AZ649" s="511"/>
      <c r="BA649" s="511"/>
      <c r="BB649" s="511"/>
      <c r="BC649" s="511"/>
    </row>
    <row r="650" spans="1:55" ht="16.5" customHeight="1" x14ac:dyDescent="0.3">
      <c r="A650" s="511"/>
      <c r="B650" s="511"/>
      <c r="C650" s="511"/>
      <c r="D650" s="511"/>
      <c r="E650" s="511"/>
      <c r="F650" s="511"/>
      <c r="G650" s="511"/>
      <c r="H650" s="511"/>
      <c r="I650" s="511"/>
      <c r="J650" s="511"/>
      <c r="K650" s="511"/>
      <c r="L650" s="511"/>
      <c r="M650" s="511"/>
      <c r="N650" s="511"/>
      <c r="O650" s="511"/>
      <c r="P650" s="511"/>
      <c r="Q650" s="511"/>
      <c r="R650" s="511"/>
      <c r="S650" s="511"/>
      <c r="T650" s="511"/>
      <c r="U650" s="511"/>
      <c r="V650" s="511"/>
      <c r="W650" s="511"/>
      <c r="X650" s="511"/>
      <c r="Y650" s="511"/>
      <c r="Z650" s="511"/>
      <c r="AA650" s="511"/>
      <c r="AB650" s="511"/>
      <c r="AC650" s="511"/>
      <c r="AD650" s="511"/>
      <c r="AE650" s="511"/>
      <c r="AF650" s="511"/>
      <c r="AG650" s="511"/>
      <c r="AH650" s="511"/>
      <c r="AI650" s="511"/>
      <c r="AJ650" s="511"/>
      <c r="AK650" s="511"/>
      <c r="AL650" s="511"/>
      <c r="AM650" s="511"/>
      <c r="AN650" s="511"/>
      <c r="AO650" s="511"/>
      <c r="AP650" s="511"/>
      <c r="AQ650" s="511"/>
      <c r="AR650" s="511"/>
      <c r="AS650" s="511"/>
      <c r="AT650" s="511"/>
      <c r="AU650" s="511"/>
      <c r="AV650" s="511"/>
      <c r="AW650" s="511"/>
      <c r="AX650" s="511"/>
      <c r="AY650" s="511"/>
      <c r="AZ650" s="511"/>
      <c r="BA650" s="511"/>
      <c r="BB650" s="511"/>
      <c r="BC650" s="511"/>
    </row>
    <row r="651" spans="1:55" ht="16.5" customHeight="1" x14ac:dyDescent="0.3">
      <c r="A651" s="511"/>
      <c r="B651" s="511"/>
      <c r="C651" s="511"/>
      <c r="D651" s="511"/>
      <c r="E651" s="511"/>
      <c r="F651" s="511"/>
      <c r="G651" s="511"/>
      <c r="H651" s="511"/>
      <c r="I651" s="511"/>
      <c r="J651" s="511"/>
      <c r="K651" s="511"/>
      <c r="L651" s="511"/>
      <c r="M651" s="511"/>
      <c r="N651" s="511"/>
      <c r="O651" s="511"/>
      <c r="P651" s="511"/>
      <c r="Q651" s="511"/>
      <c r="R651" s="511"/>
      <c r="S651" s="511"/>
      <c r="T651" s="511"/>
      <c r="U651" s="511"/>
      <c r="V651" s="511"/>
      <c r="W651" s="511"/>
      <c r="X651" s="511"/>
      <c r="Y651" s="511"/>
      <c r="Z651" s="511"/>
      <c r="AA651" s="511"/>
      <c r="AB651" s="511"/>
      <c r="AC651" s="511"/>
      <c r="AD651" s="511"/>
      <c r="AE651" s="511"/>
      <c r="AF651" s="511"/>
      <c r="AG651" s="511"/>
      <c r="AH651" s="511"/>
      <c r="AI651" s="511"/>
      <c r="AJ651" s="511"/>
      <c r="AK651" s="511"/>
      <c r="AL651" s="511"/>
      <c r="AM651" s="511"/>
      <c r="AN651" s="511"/>
      <c r="AO651" s="511"/>
      <c r="AP651" s="511"/>
      <c r="AQ651" s="511"/>
      <c r="AR651" s="511"/>
      <c r="AS651" s="511"/>
      <c r="AT651" s="511"/>
      <c r="AU651" s="511"/>
      <c r="AV651" s="511"/>
      <c r="AW651" s="511"/>
      <c r="AX651" s="511"/>
      <c r="AY651" s="511"/>
      <c r="AZ651" s="511"/>
      <c r="BA651" s="511"/>
      <c r="BB651" s="511"/>
      <c r="BC651" s="511"/>
    </row>
    <row r="652" spans="1:55" ht="16.5" customHeight="1" x14ac:dyDescent="0.3">
      <c r="A652" s="511"/>
      <c r="B652" s="511"/>
      <c r="C652" s="511"/>
      <c r="D652" s="511"/>
      <c r="E652" s="511"/>
      <c r="F652" s="511"/>
      <c r="G652" s="511"/>
      <c r="H652" s="511"/>
      <c r="I652" s="511"/>
      <c r="J652" s="511"/>
      <c r="K652" s="511"/>
      <c r="L652" s="511"/>
      <c r="M652" s="511"/>
      <c r="N652" s="511"/>
      <c r="O652" s="511"/>
      <c r="P652" s="511"/>
      <c r="Q652" s="511"/>
      <c r="R652" s="511"/>
      <c r="S652" s="511"/>
      <c r="T652" s="511"/>
      <c r="U652" s="511"/>
      <c r="V652" s="511"/>
      <c r="W652" s="511"/>
      <c r="X652" s="511"/>
      <c r="Y652" s="511"/>
      <c r="Z652" s="511"/>
      <c r="AA652" s="511"/>
      <c r="AB652" s="511"/>
      <c r="AC652" s="511"/>
      <c r="AD652" s="511"/>
      <c r="AE652" s="511"/>
      <c r="AF652" s="511"/>
      <c r="AG652" s="511"/>
      <c r="AH652" s="511"/>
      <c r="AI652" s="511"/>
      <c r="AJ652" s="511"/>
      <c r="AK652" s="511"/>
      <c r="AL652" s="511"/>
      <c r="AM652" s="511"/>
      <c r="AN652" s="511"/>
      <c r="AO652" s="511"/>
      <c r="AP652" s="511"/>
      <c r="AQ652" s="511"/>
      <c r="AR652" s="511"/>
      <c r="AS652" s="511"/>
      <c r="AT652" s="511"/>
      <c r="AU652" s="511"/>
      <c r="AV652" s="511"/>
      <c r="AW652" s="511"/>
      <c r="AX652" s="511"/>
      <c r="AY652" s="511"/>
      <c r="AZ652" s="511"/>
      <c r="BA652" s="511"/>
      <c r="BB652" s="511"/>
      <c r="BC652" s="511"/>
    </row>
    <row r="653" spans="1:55" ht="16.5" customHeight="1" x14ac:dyDescent="0.3">
      <c r="A653" s="511"/>
      <c r="B653" s="511"/>
      <c r="C653" s="511"/>
      <c r="D653" s="511"/>
      <c r="E653" s="511"/>
      <c r="F653" s="511"/>
      <c r="G653" s="511"/>
      <c r="H653" s="511"/>
      <c r="I653" s="511"/>
      <c r="J653" s="511"/>
      <c r="K653" s="511"/>
      <c r="L653" s="511"/>
      <c r="M653" s="511"/>
      <c r="N653" s="511"/>
      <c r="O653" s="511"/>
      <c r="P653" s="511"/>
      <c r="Q653" s="511"/>
      <c r="R653" s="511"/>
      <c r="S653" s="511"/>
      <c r="T653" s="511"/>
      <c r="U653" s="511"/>
      <c r="V653" s="511"/>
      <c r="W653" s="511"/>
      <c r="X653" s="511"/>
      <c r="Y653" s="511"/>
      <c r="Z653" s="511"/>
      <c r="AA653" s="511"/>
      <c r="AB653" s="511"/>
      <c r="AC653" s="511"/>
      <c r="AD653" s="511"/>
      <c r="AE653" s="511"/>
      <c r="AF653" s="511"/>
      <c r="AG653" s="511"/>
      <c r="AH653" s="511"/>
      <c r="AI653" s="511"/>
      <c r="AJ653" s="511"/>
      <c r="AK653" s="511"/>
      <c r="AL653" s="511"/>
      <c r="AM653" s="511"/>
      <c r="AN653" s="511"/>
      <c r="AO653" s="511"/>
      <c r="AP653" s="511"/>
      <c r="AQ653" s="511"/>
      <c r="AR653" s="511"/>
      <c r="AS653" s="511"/>
      <c r="AT653" s="511"/>
      <c r="AU653" s="511"/>
      <c r="AV653" s="511"/>
      <c r="AW653" s="511"/>
      <c r="AX653" s="511"/>
      <c r="AY653" s="511"/>
      <c r="AZ653" s="511"/>
      <c r="BA653" s="511"/>
      <c r="BB653" s="511"/>
      <c r="BC653" s="511"/>
    </row>
    <row r="654" spans="1:55" ht="16.5" customHeight="1" x14ac:dyDescent="0.3">
      <c r="A654" s="511"/>
      <c r="B654" s="511"/>
      <c r="C654" s="511"/>
      <c r="D654" s="511"/>
      <c r="E654" s="511"/>
      <c r="F654" s="511"/>
      <c r="G654" s="511"/>
      <c r="H654" s="511"/>
      <c r="I654" s="511"/>
      <c r="J654" s="511"/>
      <c r="K654" s="511"/>
      <c r="L654" s="511"/>
      <c r="M654" s="511"/>
      <c r="N654" s="511"/>
      <c r="O654" s="511"/>
      <c r="P654" s="511"/>
      <c r="Q654" s="511"/>
      <c r="R654" s="511"/>
      <c r="S654" s="511"/>
      <c r="T654" s="511"/>
      <c r="U654" s="511"/>
      <c r="V654" s="511"/>
      <c r="W654" s="511"/>
      <c r="X654" s="511"/>
      <c r="Y654" s="511"/>
      <c r="Z654" s="511"/>
      <c r="AA654" s="511"/>
      <c r="AB654" s="511"/>
      <c r="AC654" s="511"/>
      <c r="AD654" s="511"/>
      <c r="AE654" s="511"/>
      <c r="AF654" s="511"/>
      <c r="AG654" s="511"/>
      <c r="AH654" s="511"/>
      <c r="AI654" s="511"/>
      <c r="AJ654" s="511"/>
      <c r="AK654" s="511"/>
      <c r="AL654" s="511"/>
      <c r="AM654" s="511"/>
      <c r="AN654" s="511"/>
      <c r="AO654" s="511"/>
      <c r="AP654" s="511"/>
      <c r="AQ654" s="511"/>
      <c r="AR654" s="511"/>
      <c r="AS654" s="511"/>
      <c r="AT654" s="511"/>
      <c r="AU654" s="511"/>
      <c r="AV654" s="511"/>
      <c r="AW654" s="511"/>
      <c r="AX654" s="511"/>
      <c r="AY654" s="511"/>
      <c r="AZ654" s="511"/>
      <c r="BA654" s="511"/>
      <c r="BB654" s="511"/>
      <c r="BC654" s="511"/>
    </row>
    <row r="655" spans="1:55" ht="16.5" customHeight="1" x14ac:dyDescent="0.3">
      <c r="A655" s="511"/>
      <c r="B655" s="511"/>
      <c r="C655" s="511"/>
      <c r="D655" s="511"/>
      <c r="E655" s="511"/>
      <c r="F655" s="511"/>
      <c r="G655" s="511"/>
      <c r="H655" s="511"/>
      <c r="I655" s="511"/>
      <c r="J655" s="511"/>
      <c r="K655" s="511"/>
      <c r="L655" s="511"/>
      <c r="M655" s="511"/>
      <c r="N655" s="511"/>
      <c r="O655" s="511"/>
      <c r="P655" s="511"/>
      <c r="Q655" s="511"/>
      <c r="R655" s="511"/>
      <c r="S655" s="511"/>
      <c r="T655" s="511"/>
      <c r="U655" s="511"/>
      <c r="V655" s="511"/>
      <c r="W655" s="511"/>
      <c r="X655" s="511"/>
      <c r="Y655" s="511"/>
      <c r="Z655" s="511"/>
      <c r="AA655" s="511"/>
      <c r="AB655" s="511"/>
      <c r="AC655" s="511"/>
      <c r="AD655" s="511"/>
      <c r="AE655" s="511"/>
      <c r="AF655" s="511"/>
      <c r="AG655" s="511"/>
      <c r="AH655" s="511"/>
      <c r="AI655" s="511"/>
      <c r="AJ655" s="511"/>
      <c r="AK655" s="511"/>
      <c r="AL655" s="511"/>
      <c r="AM655" s="511"/>
      <c r="AN655" s="511"/>
      <c r="AO655" s="511"/>
      <c r="AP655" s="511"/>
      <c r="AQ655" s="511"/>
      <c r="AR655" s="511"/>
      <c r="AS655" s="511"/>
      <c r="AT655" s="511"/>
      <c r="AU655" s="511"/>
      <c r="AV655" s="511"/>
      <c r="AW655" s="511"/>
      <c r="AX655" s="511"/>
      <c r="AY655" s="511"/>
      <c r="AZ655" s="511"/>
      <c r="BA655" s="511"/>
      <c r="BB655" s="511"/>
      <c r="BC655" s="511"/>
    </row>
    <row r="656" spans="1:55" ht="16.5" customHeight="1" x14ac:dyDescent="0.3">
      <c r="A656" s="511"/>
      <c r="B656" s="511"/>
      <c r="C656" s="511"/>
      <c r="D656" s="511"/>
      <c r="E656" s="511"/>
      <c r="F656" s="511"/>
      <c r="G656" s="511"/>
      <c r="H656" s="511"/>
      <c r="I656" s="511"/>
      <c r="J656" s="511"/>
      <c r="K656" s="511"/>
      <c r="L656" s="511"/>
      <c r="M656" s="511"/>
      <c r="N656" s="511"/>
      <c r="O656" s="511"/>
      <c r="P656" s="511"/>
      <c r="Q656" s="511"/>
      <c r="R656" s="511"/>
      <c r="S656" s="511"/>
      <c r="T656" s="511"/>
      <c r="U656" s="511"/>
      <c r="V656" s="511"/>
      <c r="W656" s="511"/>
      <c r="X656" s="511"/>
      <c r="Y656" s="511"/>
      <c r="Z656" s="511"/>
      <c r="AA656" s="511"/>
      <c r="AB656" s="511"/>
      <c r="AC656" s="511"/>
      <c r="AD656" s="511"/>
      <c r="AE656" s="511"/>
      <c r="AF656" s="511"/>
      <c r="AG656" s="511"/>
      <c r="AH656" s="511"/>
      <c r="AI656" s="511"/>
      <c r="AJ656" s="511"/>
      <c r="AK656" s="511"/>
      <c r="AL656" s="511"/>
      <c r="AM656" s="511"/>
      <c r="AN656" s="511"/>
      <c r="AO656" s="511"/>
      <c r="AP656" s="511"/>
      <c r="AQ656" s="511"/>
      <c r="AR656" s="511"/>
      <c r="AS656" s="511"/>
      <c r="AT656" s="511"/>
      <c r="AU656" s="511"/>
      <c r="AV656" s="511"/>
      <c r="AW656" s="511"/>
      <c r="AX656" s="511"/>
      <c r="AY656" s="511"/>
      <c r="AZ656" s="511"/>
      <c r="BA656" s="511"/>
      <c r="BB656" s="511"/>
      <c r="BC656" s="511"/>
    </row>
    <row r="657" spans="1:55" ht="16.5" customHeight="1" x14ac:dyDescent="0.3">
      <c r="A657" s="511"/>
      <c r="B657" s="511"/>
      <c r="C657" s="511"/>
      <c r="D657" s="511"/>
      <c r="E657" s="511"/>
      <c r="F657" s="511"/>
      <c r="G657" s="511"/>
      <c r="H657" s="511"/>
      <c r="I657" s="511"/>
      <c r="J657" s="511"/>
      <c r="K657" s="511"/>
      <c r="L657" s="511"/>
      <c r="M657" s="511"/>
      <c r="N657" s="511"/>
      <c r="O657" s="511"/>
      <c r="P657" s="511"/>
      <c r="Q657" s="511"/>
      <c r="R657" s="511"/>
      <c r="S657" s="511"/>
      <c r="T657" s="511"/>
      <c r="U657" s="511"/>
      <c r="V657" s="511"/>
      <c r="W657" s="511"/>
      <c r="X657" s="511"/>
      <c r="Y657" s="511"/>
      <c r="Z657" s="511"/>
      <c r="AA657" s="511"/>
      <c r="AB657" s="511"/>
      <c r="AC657" s="511"/>
      <c r="AD657" s="511"/>
      <c r="AE657" s="511"/>
      <c r="AF657" s="511"/>
      <c r="AG657" s="511"/>
      <c r="AH657" s="511"/>
      <c r="AI657" s="511"/>
      <c r="AJ657" s="511"/>
      <c r="AK657" s="511"/>
      <c r="AL657" s="511"/>
      <c r="AM657" s="511"/>
      <c r="AN657" s="511"/>
      <c r="AO657" s="511"/>
      <c r="AP657" s="511"/>
      <c r="AQ657" s="511"/>
      <c r="AR657" s="511"/>
      <c r="AS657" s="511"/>
      <c r="AT657" s="511"/>
      <c r="AU657" s="511"/>
      <c r="AV657" s="511"/>
      <c r="AW657" s="511"/>
      <c r="AX657" s="511"/>
      <c r="AY657" s="511"/>
      <c r="AZ657" s="511"/>
      <c r="BA657" s="511"/>
      <c r="BB657" s="511"/>
      <c r="BC657" s="511"/>
    </row>
    <row r="658" spans="1:55" ht="16.5" customHeight="1" x14ac:dyDescent="0.3">
      <c r="A658" s="511"/>
      <c r="B658" s="511"/>
      <c r="C658" s="511"/>
      <c r="D658" s="511"/>
      <c r="E658" s="511"/>
      <c r="F658" s="511"/>
      <c r="G658" s="511"/>
      <c r="H658" s="511"/>
      <c r="I658" s="511"/>
      <c r="J658" s="511"/>
      <c r="K658" s="511"/>
      <c r="L658" s="511"/>
      <c r="M658" s="511"/>
      <c r="N658" s="511"/>
      <c r="O658" s="511"/>
      <c r="P658" s="511"/>
      <c r="Q658" s="511"/>
      <c r="R658" s="511"/>
      <c r="S658" s="511"/>
      <c r="T658" s="511"/>
      <c r="U658" s="511"/>
      <c r="V658" s="511"/>
      <c r="W658" s="511"/>
      <c r="X658" s="511"/>
      <c r="Y658" s="511"/>
      <c r="Z658" s="511"/>
      <c r="AA658" s="511"/>
      <c r="AB658" s="511"/>
      <c r="AC658" s="511"/>
      <c r="AD658" s="511"/>
      <c r="AE658" s="511"/>
      <c r="AF658" s="511"/>
      <c r="AG658" s="511"/>
      <c r="AH658" s="511"/>
      <c r="AI658" s="511"/>
      <c r="AJ658" s="511"/>
      <c r="AK658" s="511"/>
      <c r="AL658" s="511"/>
      <c r="AM658" s="511"/>
      <c r="AN658" s="511"/>
      <c r="AO658" s="511"/>
      <c r="AP658" s="511"/>
      <c r="AQ658" s="511"/>
      <c r="AR658" s="511"/>
      <c r="AS658" s="511"/>
      <c r="AT658" s="511"/>
      <c r="AU658" s="511"/>
      <c r="AV658" s="511"/>
      <c r="AW658" s="511"/>
      <c r="AX658" s="511"/>
      <c r="AY658" s="511"/>
      <c r="AZ658" s="511"/>
      <c r="BA658" s="511"/>
      <c r="BB658" s="511"/>
      <c r="BC658" s="511"/>
    </row>
    <row r="659" spans="1:55" ht="16.5" customHeight="1" x14ac:dyDescent="0.3">
      <c r="A659" s="511"/>
      <c r="B659" s="511"/>
      <c r="C659" s="511"/>
      <c r="D659" s="511"/>
      <c r="E659" s="511"/>
      <c r="F659" s="511"/>
      <c r="G659" s="511"/>
      <c r="H659" s="511"/>
      <c r="I659" s="511"/>
      <c r="J659" s="511"/>
      <c r="K659" s="511"/>
      <c r="L659" s="511"/>
      <c r="M659" s="511"/>
      <c r="N659" s="511"/>
      <c r="O659" s="511"/>
      <c r="P659" s="511"/>
      <c r="Q659" s="511"/>
      <c r="R659" s="511"/>
      <c r="S659" s="511"/>
      <c r="T659" s="511"/>
      <c r="U659" s="511"/>
      <c r="V659" s="511"/>
      <c r="W659" s="511"/>
      <c r="X659" s="511"/>
      <c r="Y659" s="511"/>
      <c r="Z659" s="511"/>
      <c r="AA659" s="511"/>
      <c r="AB659" s="511"/>
      <c r="AC659" s="511"/>
      <c r="AD659" s="511"/>
      <c r="AE659" s="511"/>
      <c r="AF659" s="511"/>
      <c r="AG659" s="511"/>
      <c r="AH659" s="511"/>
      <c r="AI659" s="511"/>
      <c r="AJ659" s="511"/>
      <c r="AK659" s="511"/>
      <c r="AL659" s="511"/>
      <c r="AM659" s="511"/>
      <c r="AN659" s="511"/>
      <c r="AO659" s="511"/>
      <c r="AP659" s="511"/>
      <c r="AQ659" s="511"/>
      <c r="AR659" s="511"/>
      <c r="AS659" s="511"/>
      <c r="AT659" s="511"/>
      <c r="AU659" s="511"/>
      <c r="AV659" s="511"/>
      <c r="AW659" s="511"/>
      <c r="AX659" s="511"/>
      <c r="AY659" s="511"/>
      <c r="AZ659" s="511"/>
      <c r="BA659" s="511"/>
      <c r="BB659" s="511"/>
      <c r="BC659" s="511"/>
    </row>
    <row r="660" spans="1:55" ht="16.5" customHeight="1" x14ac:dyDescent="0.3">
      <c r="A660" s="511"/>
      <c r="B660" s="511"/>
      <c r="C660" s="511"/>
      <c r="D660" s="511"/>
      <c r="E660" s="511"/>
      <c r="F660" s="511"/>
      <c r="G660" s="511"/>
      <c r="H660" s="511"/>
      <c r="I660" s="511"/>
      <c r="J660" s="511"/>
      <c r="K660" s="511"/>
      <c r="L660" s="511"/>
      <c r="M660" s="511"/>
      <c r="N660" s="511"/>
      <c r="O660" s="511"/>
      <c r="P660" s="511"/>
      <c r="Q660" s="511"/>
      <c r="R660" s="511"/>
      <c r="S660" s="511"/>
      <c r="T660" s="511"/>
      <c r="U660" s="511"/>
      <c r="V660" s="511"/>
      <c r="W660" s="511"/>
      <c r="X660" s="511"/>
      <c r="Y660" s="511"/>
      <c r="Z660" s="511"/>
      <c r="AA660" s="511"/>
      <c r="AB660" s="511"/>
      <c r="AC660" s="511"/>
      <c r="AD660" s="511"/>
      <c r="AE660" s="511"/>
      <c r="AF660" s="511"/>
      <c r="AG660" s="511"/>
      <c r="AH660" s="511"/>
      <c r="AI660" s="511"/>
      <c r="AJ660" s="511"/>
      <c r="AK660" s="511"/>
      <c r="AL660" s="511"/>
      <c r="AM660" s="511"/>
      <c r="AN660" s="511"/>
      <c r="AO660" s="511"/>
      <c r="AP660" s="511"/>
      <c r="AQ660" s="511"/>
      <c r="AR660" s="511"/>
      <c r="AS660" s="511"/>
      <c r="AT660" s="511"/>
      <c r="AU660" s="511"/>
      <c r="AV660" s="511"/>
      <c r="AW660" s="511"/>
      <c r="AX660" s="511"/>
      <c r="AY660" s="511"/>
      <c r="AZ660" s="511"/>
      <c r="BA660" s="511"/>
      <c r="BB660" s="511"/>
      <c r="BC660" s="511"/>
    </row>
    <row r="661" spans="1:55" ht="16.5" customHeight="1" x14ac:dyDescent="0.3">
      <c r="A661" s="511"/>
      <c r="B661" s="511"/>
      <c r="C661" s="511"/>
      <c r="D661" s="511"/>
      <c r="E661" s="511"/>
      <c r="F661" s="511"/>
      <c r="G661" s="511"/>
      <c r="H661" s="511"/>
      <c r="I661" s="511"/>
      <c r="J661" s="511"/>
      <c r="K661" s="511"/>
      <c r="L661" s="511"/>
      <c r="M661" s="511"/>
      <c r="N661" s="511"/>
      <c r="O661" s="511"/>
      <c r="P661" s="511"/>
      <c r="Q661" s="511"/>
      <c r="R661" s="511"/>
      <c r="S661" s="511"/>
      <c r="T661" s="511"/>
      <c r="U661" s="511"/>
      <c r="V661" s="511"/>
      <c r="W661" s="511"/>
      <c r="X661" s="511"/>
      <c r="Y661" s="511"/>
      <c r="Z661" s="511"/>
      <c r="AA661" s="511"/>
      <c r="AB661" s="511"/>
      <c r="AC661" s="511"/>
      <c r="AD661" s="511"/>
      <c r="AE661" s="511"/>
      <c r="AF661" s="511"/>
      <c r="AG661" s="511"/>
      <c r="AH661" s="511"/>
      <c r="AI661" s="511"/>
      <c r="AJ661" s="511"/>
      <c r="AK661" s="511"/>
      <c r="AL661" s="511"/>
      <c r="AM661" s="511"/>
      <c r="AN661" s="511"/>
      <c r="AO661" s="511"/>
      <c r="AP661" s="511"/>
      <c r="AQ661" s="511"/>
      <c r="AR661" s="511"/>
      <c r="AS661" s="511"/>
      <c r="AT661" s="511"/>
      <c r="AU661" s="511"/>
      <c r="AV661" s="511"/>
      <c r="AW661" s="511"/>
      <c r="AX661" s="511"/>
      <c r="AY661" s="511"/>
      <c r="AZ661" s="511"/>
      <c r="BA661" s="511"/>
      <c r="BB661" s="511"/>
      <c r="BC661" s="511"/>
    </row>
    <row r="662" spans="1:55" ht="16.5" customHeight="1" x14ac:dyDescent="0.3">
      <c r="A662" s="511"/>
      <c r="B662" s="511"/>
      <c r="C662" s="511"/>
      <c r="D662" s="511"/>
      <c r="E662" s="511"/>
      <c r="F662" s="511"/>
      <c r="G662" s="511"/>
      <c r="H662" s="511"/>
      <c r="I662" s="511"/>
      <c r="J662" s="511"/>
      <c r="K662" s="511"/>
      <c r="L662" s="511"/>
      <c r="M662" s="511"/>
      <c r="N662" s="511"/>
      <c r="O662" s="511"/>
      <c r="P662" s="511"/>
      <c r="Q662" s="511"/>
      <c r="R662" s="511"/>
      <c r="S662" s="511"/>
      <c r="T662" s="511"/>
      <c r="U662" s="511"/>
      <c r="V662" s="511"/>
      <c r="W662" s="511"/>
      <c r="X662" s="511"/>
      <c r="Y662" s="511"/>
      <c r="Z662" s="511"/>
      <c r="AA662" s="511"/>
      <c r="AB662" s="511"/>
      <c r="AC662" s="511"/>
      <c r="AD662" s="511"/>
      <c r="AE662" s="511"/>
      <c r="AF662" s="511"/>
      <c r="AG662" s="511"/>
      <c r="AH662" s="511"/>
      <c r="AI662" s="511"/>
      <c r="AJ662" s="511"/>
      <c r="AK662" s="511"/>
      <c r="AL662" s="511"/>
      <c r="AM662" s="511"/>
      <c r="AN662" s="511"/>
      <c r="AO662" s="511"/>
      <c r="AP662" s="511"/>
      <c r="AQ662" s="511"/>
      <c r="AR662" s="511"/>
      <c r="AS662" s="511"/>
      <c r="AT662" s="511"/>
      <c r="AU662" s="511"/>
      <c r="AV662" s="511"/>
      <c r="AW662" s="511"/>
      <c r="AX662" s="511"/>
      <c r="AY662" s="511"/>
      <c r="AZ662" s="511"/>
      <c r="BA662" s="511"/>
      <c r="BB662" s="511"/>
      <c r="BC662" s="511"/>
    </row>
    <row r="663" spans="1:55" ht="16.5" customHeight="1" x14ac:dyDescent="0.3">
      <c r="A663" s="511"/>
      <c r="B663" s="511"/>
      <c r="C663" s="511"/>
      <c r="D663" s="511"/>
      <c r="E663" s="511"/>
      <c r="F663" s="511"/>
      <c r="G663" s="511"/>
      <c r="H663" s="511"/>
      <c r="I663" s="511"/>
      <c r="J663" s="511"/>
      <c r="K663" s="511"/>
      <c r="L663" s="511"/>
      <c r="M663" s="511"/>
      <c r="N663" s="511"/>
      <c r="O663" s="511"/>
      <c r="P663" s="511"/>
      <c r="Q663" s="511"/>
      <c r="R663" s="511"/>
      <c r="S663" s="511"/>
      <c r="T663" s="511"/>
      <c r="U663" s="511"/>
      <c r="V663" s="511"/>
      <c r="W663" s="511"/>
      <c r="X663" s="511"/>
      <c r="Y663" s="511"/>
      <c r="Z663" s="511"/>
      <c r="AA663" s="511"/>
      <c r="AB663" s="511"/>
      <c r="AC663" s="511"/>
      <c r="AD663" s="511"/>
      <c r="AE663" s="511"/>
      <c r="AF663" s="511"/>
      <c r="AG663" s="511"/>
      <c r="AH663" s="511"/>
      <c r="AI663" s="511"/>
      <c r="AJ663" s="511"/>
      <c r="AK663" s="511"/>
      <c r="AL663" s="511"/>
      <c r="AM663" s="511"/>
      <c r="AN663" s="511"/>
      <c r="AO663" s="511"/>
      <c r="AP663" s="511"/>
      <c r="AQ663" s="511"/>
      <c r="AR663" s="511"/>
      <c r="AS663" s="511"/>
      <c r="AT663" s="511"/>
      <c r="AU663" s="511"/>
      <c r="AV663" s="511"/>
      <c r="AW663" s="511"/>
      <c r="AX663" s="511"/>
      <c r="AY663" s="511"/>
      <c r="AZ663" s="511"/>
      <c r="BA663" s="511"/>
      <c r="BB663" s="511"/>
      <c r="BC663" s="511"/>
    </row>
    <row r="664" spans="1:55" ht="16.5" customHeight="1" x14ac:dyDescent="0.3">
      <c r="A664" s="511"/>
      <c r="B664" s="511"/>
      <c r="C664" s="511"/>
      <c r="D664" s="511"/>
      <c r="E664" s="511"/>
      <c r="F664" s="511"/>
      <c r="G664" s="511"/>
      <c r="H664" s="511"/>
      <c r="I664" s="511"/>
      <c r="J664" s="511"/>
      <c r="K664" s="511"/>
      <c r="L664" s="511"/>
      <c r="M664" s="511"/>
      <c r="N664" s="511"/>
      <c r="O664" s="511"/>
      <c r="P664" s="511"/>
      <c r="Q664" s="511"/>
      <c r="R664" s="511"/>
      <c r="S664" s="511"/>
      <c r="T664" s="511"/>
      <c r="U664" s="511"/>
      <c r="V664" s="511"/>
      <c r="W664" s="511"/>
      <c r="X664" s="511"/>
      <c r="Y664" s="511"/>
      <c r="Z664" s="511"/>
      <c r="AA664" s="511"/>
      <c r="AB664" s="511"/>
      <c r="AC664" s="511"/>
      <c r="AD664" s="511"/>
      <c r="AE664" s="511"/>
      <c r="AF664" s="511"/>
      <c r="AG664" s="511"/>
      <c r="AH664" s="511"/>
      <c r="AI664" s="511"/>
      <c r="AJ664" s="511"/>
      <c r="AK664" s="511"/>
      <c r="AL664" s="511"/>
      <c r="AM664" s="511"/>
      <c r="AN664" s="511"/>
      <c r="AO664" s="511"/>
      <c r="AP664" s="511"/>
      <c r="AQ664" s="511"/>
      <c r="AR664" s="511"/>
      <c r="AS664" s="511"/>
      <c r="AT664" s="511"/>
      <c r="AU664" s="511"/>
      <c r="AV664" s="511"/>
      <c r="AW664" s="511"/>
      <c r="AX664" s="511"/>
      <c r="AY664" s="511"/>
      <c r="AZ664" s="511"/>
      <c r="BA664" s="511"/>
      <c r="BB664" s="511"/>
      <c r="BC664" s="511"/>
    </row>
    <row r="665" spans="1:55" ht="16.5" customHeight="1" x14ac:dyDescent="0.3">
      <c r="A665" s="511"/>
      <c r="B665" s="511"/>
      <c r="C665" s="511"/>
      <c r="D665" s="511"/>
      <c r="E665" s="511"/>
      <c r="F665" s="511"/>
      <c r="G665" s="511"/>
      <c r="H665" s="511"/>
      <c r="I665" s="511"/>
      <c r="J665" s="511"/>
      <c r="K665" s="511"/>
      <c r="L665" s="511"/>
      <c r="M665" s="511"/>
      <c r="N665" s="511"/>
      <c r="O665" s="511"/>
      <c r="P665" s="511"/>
      <c r="Q665" s="511"/>
      <c r="R665" s="511"/>
      <c r="S665" s="511"/>
      <c r="T665" s="511"/>
      <c r="U665" s="511"/>
      <c r="V665" s="511"/>
      <c r="W665" s="511"/>
      <c r="X665" s="511"/>
      <c r="Y665" s="511"/>
      <c r="Z665" s="511"/>
      <c r="AA665" s="511"/>
      <c r="AB665" s="511"/>
      <c r="AC665" s="511"/>
      <c r="AD665" s="511"/>
      <c r="AE665" s="511"/>
      <c r="AF665" s="511"/>
      <c r="AG665" s="511"/>
      <c r="AH665" s="511"/>
      <c r="AI665" s="511"/>
      <c r="AJ665" s="511"/>
      <c r="AK665" s="511"/>
      <c r="AL665" s="511"/>
      <c r="AM665" s="511"/>
      <c r="AN665" s="511"/>
      <c r="AO665" s="511"/>
      <c r="AP665" s="511"/>
      <c r="AQ665" s="511"/>
      <c r="AR665" s="511"/>
      <c r="AS665" s="511"/>
      <c r="AT665" s="511"/>
      <c r="AU665" s="511"/>
      <c r="AV665" s="511"/>
      <c r="AW665" s="511"/>
      <c r="AX665" s="511"/>
      <c r="AY665" s="511"/>
      <c r="AZ665" s="511"/>
      <c r="BA665" s="511"/>
      <c r="BB665" s="511"/>
      <c r="BC665" s="511"/>
    </row>
    <row r="666" spans="1:55" ht="16.5" customHeight="1" x14ac:dyDescent="0.3">
      <c r="A666" s="511"/>
      <c r="B666" s="511"/>
      <c r="C666" s="511"/>
      <c r="D666" s="511"/>
      <c r="E666" s="511"/>
      <c r="F666" s="511"/>
      <c r="G666" s="511"/>
      <c r="H666" s="511"/>
      <c r="I666" s="511"/>
      <c r="J666" s="511"/>
      <c r="K666" s="511"/>
      <c r="L666" s="511"/>
      <c r="M666" s="511"/>
      <c r="N666" s="511"/>
      <c r="O666" s="511"/>
      <c r="P666" s="511"/>
      <c r="Q666" s="511"/>
      <c r="R666" s="511"/>
      <c r="S666" s="511"/>
      <c r="T666" s="511"/>
      <c r="U666" s="511"/>
      <c r="V666" s="511"/>
      <c r="W666" s="511"/>
      <c r="X666" s="511"/>
      <c r="Y666" s="511"/>
      <c r="Z666" s="511"/>
      <c r="AA666" s="511"/>
      <c r="AB666" s="511"/>
      <c r="AC666" s="511"/>
      <c r="AD666" s="511"/>
      <c r="AE666" s="511"/>
      <c r="AF666" s="511"/>
      <c r="AG666" s="511"/>
      <c r="AH666" s="511"/>
      <c r="AI666" s="511"/>
      <c r="AJ666" s="511"/>
      <c r="AK666" s="511"/>
      <c r="AL666" s="511"/>
      <c r="AM666" s="511"/>
      <c r="AN666" s="511"/>
      <c r="AO666" s="511"/>
      <c r="AP666" s="511"/>
      <c r="AQ666" s="511"/>
      <c r="AR666" s="511"/>
      <c r="AS666" s="511"/>
      <c r="AT666" s="511"/>
      <c r="AU666" s="511"/>
      <c r="AV666" s="511"/>
      <c r="AW666" s="511"/>
      <c r="AX666" s="511"/>
      <c r="AY666" s="511"/>
      <c r="AZ666" s="511"/>
      <c r="BA666" s="511"/>
      <c r="BB666" s="511"/>
      <c r="BC666" s="511"/>
    </row>
    <row r="667" spans="1:55" ht="16.5" customHeight="1" x14ac:dyDescent="0.3">
      <c r="A667" s="511"/>
      <c r="B667" s="511"/>
      <c r="C667" s="511"/>
      <c r="D667" s="511"/>
      <c r="E667" s="511"/>
      <c r="F667" s="511"/>
      <c r="G667" s="511"/>
      <c r="H667" s="511"/>
      <c r="I667" s="511"/>
      <c r="J667" s="511"/>
      <c r="K667" s="511"/>
      <c r="L667" s="511"/>
      <c r="M667" s="511"/>
      <c r="N667" s="511"/>
      <c r="O667" s="511"/>
      <c r="P667" s="511"/>
      <c r="Q667" s="511"/>
      <c r="R667" s="511"/>
      <c r="S667" s="511"/>
      <c r="T667" s="511"/>
      <c r="U667" s="511"/>
      <c r="V667" s="511"/>
      <c r="W667" s="511"/>
      <c r="X667" s="511"/>
      <c r="Y667" s="511"/>
      <c r="Z667" s="511"/>
      <c r="AA667" s="511"/>
      <c r="AB667" s="511"/>
      <c r="AC667" s="511"/>
      <c r="AD667" s="511"/>
      <c r="AE667" s="511"/>
      <c r="AF667" s="511"/>
      <c r="AG667" s="511"/>
      <c r="AH667" s="511"/>
      <c r="AI667" s="511"/>
      <c r="AJ667" s="511"/>
      <c r="AK667" s="511"/>
      <c r="AL667" s="511"/>
      <c r="AM667" s="511"/>
      <c r="AN667" s="511"/>
      <c r="AO667" s="511"/>
      <c r="AP667" s="511"/>
      <c r="AQ667" s="511"/>
      <c r="AR667" s="511"/>
      <c r="AS667" s="511"/>
      <c r="AT667" s="511"/>
      <c r="AU667" s="511"/>
      <c r="AV667" s="511"/>
      <c r="AW667" s="511"/>
      <c r="AX667" s="511"/>
      <c r="AY667" s="511"/>
      <c r="AZ667" s="511"/>
      <c r="BA667" s="511"/>
      <c r="BB667" s="511"/>
      <c r="BC667" s="511"/>
    </row>
    <row r="668" spans="1:55" ht="16.5" customHeight="1" x14ac:dyDescent="0.3">
      <c r="A668" s="511"/>
      <c r="B668" s="511"/>
      <c r="C668" s="511"/>
      <c r="D668" s="511"/>
      <c r="E668" s="511"/>
      <c r="F668" s="511"/>
      <c r="G668" s="511"/>
      <c r="H668" s="511"/>
      <c r="I668" s="511"/>
      <c r="J668" s="511"/>
      <c r="K668" s="511"/>
      <c r="L668" s="511"/>
      <c r="M668" s="511"/>
      <c r="N668" s="511"/>
      <c r="O668" s="511"/>
      <c r="P668" s="511"/>
      <c r="Q668" s="511"/>
      <c r="R668" s="511"/>
      <c r="S668" s="511"/>
      <c r="T668" s="511"/>
      <c r="U668" s="511"/>
      <c r="V668" s="511"/>
      <c r="W668" s="511"/>
      <c r="X668" s="511"/>
      <c r="Y668" s="511"/>
      <c r="Z668" s="511"/>
      <c r="AA668" s="511"/>
      <c r="AB668" s="511"/>
      <c r="AC668" s="511"/>
      <c r="AD668" s="511"/>
      <c r="AE668" s="511"/>
      <c r="AF668" s="511"/>
      <c r="AG668" s="511"/>
      <c r="AH668" s="511"/>
      <c r="AI668" s="511"/>
      <c r="AJ668" s="511"/>
      <c r="AK668" s="511"/>
      <c r="AL668" s="511"/>
      <c r="AM668" s="511"/>
      <c r="AN668" s="511"/>
      <c r="AO668" s="511"/>
      <c r="AP668" s="511"/>
      <c r="AQ668" s="511"/>
      <c r="AR668" s="511"/>
      <c r="AS668" s="511"/>
      <c r="AT668" s="511"/>
      <c r="AU668" s="511"/>
      <c r="AV668" s="511"/>
      <c r="AW668" s="511"/>
      <c r="AX668" s="511"/>
      <c r="AY668" s="511"/>
      <c r="AZ668" s="511"/>
      <c r="BA668" s="511"/>
      <c r="BB668" s="511"/>
      <c r="BC668" s="511"/>
    </row>
    <row r="669" spans="1:55" ht="16.5" customHeight="1" x14ac:dyDescent="0.3">
      <c r="A669" s="511"/>
      <c r="B669" s="511"/>
      <c r="C669" s="511"/>
      <c r="D669" s="511"/>
      <c r="E669" s="511"/>
      <c r="F669" s="511"/>
      <c r="G669" s="511"/>
      <c r="H669" s="511"/>
      <c r="I669" s="511"/>
      <c r="J669" s="511"/>
      <c r="K669" s="511"/>
      <c r="L669" s="511"/>
      <c r="M669" s="511"/>
      <c r="N669" s="511"/>
      <c r="O669" s="511"/>
      <c r="P669" s="511"/>
      <c r="Q669" s="511"/>
      <c r="R669" s="511"/>
      <c r="S669" s="511"/>
      <c r="T669" s="511"/>
      <c r="U669" s="511"/>
      <c r="V669" s="511"/>
      <c r="W669" s="511"/>
      <c r="X669" s="511"/>
      <c r="Y669" s="511"/>
      <c r="Z669" s="511"/>
      <c r="AA669" s="511"/>
      <c r="AB669" s="511"/>
      <c r="AC669" s="511"/>
      <c r="AD669" s="511"/>
      <c r="AE669" s="511"/>
      <c r="AF669" s="511"/>
      <c r="AG669" s="511"/>
      <c r="AH669" s="511"/>
      <c r="AI669" s="511"/>
      <c r="AJ669" s="511"/>
      <c r="AK669" s="511"/>
      <c r="AL669" s="511"/>
      <c r="AM669" s="511"/>
      <c r="AN669" s="511"/>
      <c r="AO669" s="511"/>
      <c r="AP669" s="511"/>
      <c r="AQ669" s="511"/>
      <c r="AR669" s="511"/>
      <c r="AS669" s="511"/>
      <c r="AT669" s="511"/>
      <c r="AU669" s="511"/>
      <c r="AV669" s="511"/>
      <c r="AW669" s="511"/>
      <c r="AX669" s="511"/>
      <c r="AY669" s="511"/>
      <c r="AZ669" s="511"/>
      <c r="BA669" s="511"/>
      <c r="BB669" s="511"/>
      <c r="BC669" s="511"/>
    </row>
    <row r="670" spans="1:55" ht="16.5" customHeight="1" x14ac:dyDescent="0.3">
      <c r="A670" s="511"/>
      <c r="B670" s="511"/>
      <c r="C670" s="511"/>
      <c r="D670" s="511"/>
      <c r="E670" s="511"/>
      <c r="F670" s="511"/>
      <c r="G670" s="511"/>
      <c r="H670" s="511"/>
      <c r="I670" s="511"/>
      <c r="J670" s="511"/>
      <c r="K670" s="511"/>
      <c r="L670" s="511"/>
      <c r="M670" s="511"/>
      <c r="N670" s="511"/>
      <c r="O670" s="511"/>
      <c r="P670" s="511"/>
      <c r="Q670" s="511"/>
      <c r="R670" s="511"/>
      <c r="S670" s="511"/>
      <c r="T670" s="511"/>
      <c r="U670" s="511"/>
      <c r="V670" s="511"/>
      <c r="W670" s="511"/>
      <c r="X670" s="511"/>
      <c r="Y670" s="511"/>
      <c r="Z670" s="511"/>
      <c r="AA670" s="511"/>
      <c r="AB670" s="511"/>
      <c r="AC670" s="511"/>
      <c r="AD670" s="511"/>
      <c r="AE670" s="511"/>
      <c r="AF670" s="511"/>
      <c r="AG670" s="511"/>
      <c r="AH670" s="511"/>
      <c r="AI670" s="511"/>
      <c r="AJ670" s="511"/>
      <c r="AK670" s="511"/>
      <c r="AL670" s="511"/>
      <c r="AM670" s="511"/>
      <c r="AN670" s="511"/>
      <c r="AO670" s="511"/>
      <c r="AP670" s="511"/>
      <c r="AQ670" s="511"/>
      <c r="AR670" s="511"/>
      <c r="AS670" s="511"/>
      <c r="AT670" s="511"/>
      <c r="AU670" s="511"/>
      <c r="AV670" s="511"/>
      <c r="AW670" s="511"/>
      <c r="AX670" s="511"/>
      <c r="AY670" s="511"/>
      <c r="AZ670" s="511"/>
      <c r="BA670" s="511"/>
      <c r="BB670" s="511"/>
      <c r="BC670" s="511"/>
    </row>
    <row r="671" spans="1:55" ht="16.5" customHeight="1" x14ac:dyDescent="0.3">
      <c r="A671" s="511"/>
      <c r="B671" s="511"/>
      <c r="C671" s="511"/>
      <c r="D671" s="511"/>
      <c r="E671" s="511"/>
      <c r="F671" s="511"/>
      <c r="G671" s="511"/>
      <c r="H671" s="511"/>
      <c r="I671" s="511"/>
      <c r="J671" s="511"/>
      <c r="K671" s="511"/>
      <c r="L671" s="511"/>
      <c r="M671" s="511"/>
      <c r="N671" s="511"/>
      <c r="O671" s="511"/>
      <c r="P671" s="511"/>
      <c r="Q671" s="511"/>
      <c r="R671" s="511"/>
      <c r="S671" s="511"/>
      <c r="T671" s="511"/>
      <c r="U671" s="511"/>
      <c r="V671" s="511"/>
      <c r="W671" s="511"/>
      <c r="X671" s="511"/>
      <c r="Y671" s="511"/>
      <c r="Z671" s="511"/>
      <c r="AA671" s="511"/>
      <c r="AB671" s="511"/>
      <c r="AC671" s="511"/>
      <c r="AD671" s="511"/>
      <c r="AE671" s="511"/>
      <c r="AF671" s="511"/>
      <c r="AG671" s="511"/>
      <c r="AH671" s="511"/>
      <c r="AI671" s="511"/>
      <c r="AJ671" s="511"/>
      <c r="AK671" s="511"/>
      <c r="AL671" s="511"/>
      <c r="AM671" s="511"/>
      <c r="AN671" s="511"/>
      <c r="AO671" s="511"/>
      <c r="AP671" s="511"/>
      <c r="AQ671" s="511"/>
      <c r="AR671" s="511"/>
      <c r="AS671" s="511"/>
      <c r="AT671" s="511"/>
      <c r="AU671" s="511"/>
      <c r="AV671" s="511"/>
      <c r="AW671" s="511"/>
      <c r="AX671" s="511"/>
      <c r="AY671" s="511"/>
      <c r="AZ671" s="511"/>
      <c r="BA671" s="511"/>
      <c r="BB671" s="511"/>
      <c r="BC671" s="511"/>
    </row>
    <row r="672" spans="1:55" ht="16.5" customHeight="1" x14ac:dyDescent="0.3">
      <c r="A672" s="511"/>
      <c r="B672" s="511"/>
      <c r="C672" s="511"/>
      <c r="D672" s="511"/>
      <c r="E672" s="511"/>
      <c r="F672" s="511"/>
      <c r="G672" s="511"/>
      <c r="H672" s="511"/>
      <c r="I672" s="511"/>
      <c r="J672" s="511"/>
      <c r="K672" s="511"/>
      <c r="L672" s="511"/>
      <c r="M672" s="511"/>
      <c r="N672" s="511"/>
      <c r="O672" s="511"/>
      <c r="P672" s="511"/>
      <c r="Q672" s="511"/>
      <c r="R672" s="511"/>
      <c r="S672" s="511"/>
      <c r="T672" s="511"/>
      <c r="U672" s="511"/>
      <c r="V672" s="511"/>
      <c r="W672" s="511"/>
      <c r="X672" s="511"/>
      <c r="Y672" s="511"/>
      <c r="Z672" s="511"/>
      <c r="AA672" s="511"/>
      <c r="AB672" s="511"/>
      <c r="AC672" s="511"/>
      <c r="AD672" s="511"/>
      <c r="AE672" s="511"/>
      <c r="AF672" s="511"/>
      <c r="AG672" s="511"/>
      <c r="AH672" s="511"/>
      <c r="AI672" s="511"/>
      <c r="AJ672" s="511"/>
      <c r="AK672" s="511"/>
      <c r="AL672" s="511"/>
      <c r="AM672" s="511"/>
      <c r="AN672" s="511"/>
      <c r="AO672" s="511"/>
      <c r="AP672" s="511"/>
      <c r="AQ672" s="511"/>
      <c r="AR672" s="511"/>
      <c r="AS672" s="511"/>
      <c r="AT672" s="511"/>
      <c r="AU672" s="511"/>
      <c r="AV672" s="511"/>
      <c r="AW672" s="511"/>
      <c r="AX672" s="511"/>
      <c r="AY672" s="511"/>
      <c r="AZ672" s="511"/>
      <c r="BA672" s="511"/>
      <c r="BB672" s="511"/>
      <c r="BC672" s="511"/>
    </row>
    <row r="673" spans="1:55" ht="16.5" customHeight="1" x14ac:dyDescent="0.3">
      <c r="A673" s="511"/>
      <c r="B673" s="511"/>
      <c r="C673" s="511"/>
      <c r="D673" s="511"/>
      <c r="E673" s="511"/>
      <c r="F673" s="511"/>
      <c r="G673" s="511"/>
      <c r="H673" s="511"/>
      <c r="I673" s="511"/>
      <c r="J673" s="511"/>
      <c r="K673" s="511"/>
      <c r="L673" s="511"/>
      <c r="M673" s="511"/>
      <c r="N673" s="511"/>
      <c r="O673" s="511"/>
      <c r="P673" s="511"/>
      <c r="Q673" s="511"/>
      <c r="R673" s="511"/>
      <c r="S673" s="511"/>
      <c r="T673" s="511"/>
      <c r="U673" s="511"/>
      <c r="V673" s="511"/>
      <c r="W673" s="511"/>
      <c r="X673" s="511"/>
      <c r="Y673" s="511"/>
      <c r="Z673" s="511"/>
      <c r="AA673" s="511"/>
      <c r="AB673" s="511"/>
      <c r="AC673" s="511"/>
      <c r="AD673" s="511"/>
      <c r="AE673" s="511"/>
      <c r="AF673" s="511"/>
      <c r="AG673" s="511"/>
      <c r="AH673" s="511"/>
      <c r="AI673" s="511"/>
      <c r="AJ673" s="511"/>
      <c r="AK673" s="511"/>
      <c r="AL673" s="511"/>
      <c r="AM673" s="511"/>
      <c r="AN673" s="511"/>
      <c r="AO673" s="511"/>
      <c r="AP673" s="511"/>
      <c r="AQ673" s="511"/>
      <c r="AR673" s="511"/>
      <c r="AS673" s="511"/>
      <c r="AT673" s="511"/>
      <c r="AU673" s="511"/>
      <c r="AV673" s="511"/>
      <c r="AW673" s="511"/>
      <c r="AX673" s="511"/>
      <c r="AY673" s="511"/>
      <c r="AZ673" s="511"/>
      <c r="BA673" s="511"/>
      <c r="BB673" s="511"/>
      <c r="BC673" s="511"/>
    </row>
    <row r="674" spans="1:55" ht="16.5" customHeight="1" x14ac:dyDescent="0.3">
      <c r="A674" s="511"/>
      <c r="B674" s="511"/>
      <c r="C674" s="511"/>
      <c r="D674" s="511"/>
      <c r="E674" s="511"/>
      <c r="F674" s="511"/>
      <c r="G674" s="511"/>
      <c r="H674" s="511"/>
      <c r="I674" s="511"/>
      <c r="J674" s="511"/>
      <c r="K674" s="511"/>
      <c r="L674" s="511"/>
      <c r="M674" s="511"/>
      <c r="N674" s="511"/>
      <c r="O674" s="511"/>
      <c r="P674" s="511"/>
      <c r="Q674" s="511"/>
      <c r="R674" s="511"/>
      <c r="S674" s="511"/>
      <c r="T674" s="511"/>
      <c r="U674" s="511"/>
      <c r="V674" s="511"/>
      <c r="W674" s="511"/>
      <c r="X674" s="511"/>
      <c r="Y674" s="511"/>
      <c r="Z674" s="511"/>
      <c r="AA674" s="511"/>
      <c r="AB674" s="511"/>
      <c r="AC674" s="511"/>
      <c r="AD674" s="511"/>
      <c r="AE674" s="511"/>
      <c r="AF674" s="511"/>
      <c r="AG674" s="511"/>
      <c r="AH674" s="511"/>
      <c r="AI674" s="511"/>
      <c r="AJ674" s="511"/>
      <c r="AK674" s="511"/>
      <c r="AL674" s="511"/>
      <c r="AM674" s="511"/>
      <c r="AN674" s="511"/>
      <c r="AO674" s="511"/>
      <c r="AP674" s="511"/>
      <c r="AQ674" s="511"/>
      <c r="AR674" s="511"/>
      <c r="AS674" s="511"/>
      <c r="AT674" s="511"/>
      <c r="AU674" s="511"/>
      <c r="AV674" s="511"/>
      <c r="AW674" s="511"/>
      <c r="AX674" s="511"/>
      <c r="AY674" s="511"/>
      <c r="AZ674" s="511"/>
      <c r="BA674" s="511"/>
      <c r="BB674" s="511"/>
      <c r="BC674" s="511"/>
    </row>
    <row r="675" spans="1:55" ht="16.5" customHeight="1" x14ac:dyDescent="0.3">
      <c r="A675" s="511"/>
      <c r="B675" s="511"/>
      <c r="C675" s="511"/>
      <c r="D675" s="511"/>
      <c r="E675" s="511"/>
      <c r="F675" s="511"/>
      <c r="G675" s="511"/>
      <c r="H675" s="511"/>
      <c r="I675" s="511"/>
      <c r="J675" s="511"/>
      <c r="K675" s="511"/>
      <c r="L675" s="511"/>
      <c r="M675" s="511"/>
      <c r="N675" s="511"/>
      <c r="O675" s="511"/>
      <c r="P675" s="511"/>
      <c r="Q675" s="511"/>
      <c r="R675" s="511"/>
      <c r="S675" s="511"/>
      <c r="T675" s="511"/>
      <c r="U675" s="511"/>
      <c r="V675" s="511"/>
      <c r="W675" s="511"/>
      <c r="X675" s="511"/>
      <c r="Y675" s="511"/>
      <c r="Z675" s="511"/>
      <c r="AA675" s="511"/>
      <c r="AB675" s="511"/>
      <c r="AC675" s="511"/>
      <c r="AD675" s="511"/>
      <c r="AE675" s="511"/>
      <c r="AF675" s="511"/>
      <c r="AG675" s="511"/>
      <c r="AH675" s="511"/>
      <c r="AI675" s="511"/>
      <c r="AJ675" s="511"/>
      <c r="AK675" s="511"/>
      <c r="AL675" s="511"/>
      <c r="AM675" s="511"/>
      <c r="AN675" s="511"/>
      <c r="AO675" s="511"/>
      <c r="AP675" s="511"/>
      <c r="AQ675" s="511"/>
      <c r="AR675" s="511"/>
      <c r="AS675" s="511"/>
      <c r="AT675" s="511"/>
      <c r="AU675" s="511"/>
      <c r="AV675" s="511"/>
      <c r="AW675" s="511"/>
      <c r="AX675" s="511"/>
      <c r="AY675" s="511"/>
      <c r="AZ675" s="511"/>
      <c r="BA675" s="511"/>
      <c r="BB675" s="511"/>
      <c r="BC675" s="511"/>
    </row>
    <row r="676" spans="1:55" ht="16.5" customHeight="1" x14ac:dyDescent="0.3">
      <c r="A676" s="511"/>
      <c r="B676" s="511"/>
      <c r="C676" s="511"/>
      <c r="D676" s="511"/>
      <c r="E676" s="511"/>
      <c r="F676" s="511"/>
      <c r="G676" s="511"/>
      <c r="H676" s="511"/>
      <c r="I676" s="511"/>
      <c r="J676" s="511"/>
      <c r="K676" s="511"/>
      <c r="L676" s="511"/>
      <c r="M676" s="511"/>
      <c r="N676" s="511"/>
      <c r="O676" s="511"/>
      <c r="P676" s="511"/>
      <c r="Q676" s="511"/>
      <c r="R676" s="511"/>
      <c r="S676" s="511"/>
      <c r="T676" s="511"/>
      <c r="U676" s="511"/>
      <c r="V676" s="511"/>
      <c r="W676" s="511"/>
      <c r="X676" s="511"/>
      <c r="Y676" s="511"/>
      <c r="Z676" s="511"/>
      <c r="AA676" s="511"/>
      <c r="AB676" s="511"/>
      <c r="AC676" s="511"/>
      <c r="AD676" s="511"/>
      <c r="AE676" s="511"/>
      <c r="AF676" s="511"/>
      <c r="AG676" s="511"/>
      <c r="AH676" s="511"/>
      <c r="AI676" s="511"/>
      <c r="AJ676" s="511"/>
      <c r="AK676" s="511"/>
      <c r="AL676" s="511"/>
      <c r="AM676" s="511"/>
      <c r="AN676" s="511"/>
      <c r="AO676" s="511"/>
      <c r="AP676" s="511"/>
      <c r="AQ676" s="511"/>
      <c r="AR676" s="511"/>
      <c r="AS676" s="511"/>
      <c r="AT676" s="511"/>
      <c r="AU676" s="511"/>
      <c r="AV676" s="511"/>
      <c r="AW676" s="511"/>
      <c r="AX676" s="511"/>
      <c r="AY676" s="511"/>
      <c r="AZ676" s="511"/>
      <c r="BA676" s="511"/>
      <c r="BB676" s="511"/>
      <c r="BC676" s="511"/>
    </row>
    <row r="677" spans="1:55" ht="16.5" customHeight="1" x14ac:dyDescent="0.3">
      <c r="A677" s="511"/>
      <c r="B677" s="511"/>
      <c r="C677" s="511"/>
      <c r="D677" s="511"/>
      <c r="E677" s="511"/>
      <c r="F677" s="511"/>
      <c r="G677" s="511"/>
      <c r="H677" s="511"/>
      <c r="I677" s="511"/>
      <c r="J677" s="511"/>
      <c r="K677" s="511"/>
      <c r="L677" s="511"/>
      <c r="M677" s="511"/>
      <c r="N677" s="511"/>
      <c r="O677" s="511"/>
      <c r="P677" s="511"/>
      <c r="Q677" s="511"/>
      <c r="R677" s="511"/>
      <c r="S677" s="511"/>
      <c r="T677" s="511"/>
      <c r="U677" s="511"/>
      <c r="V677" s="511"/>
      <c r="W677" s="511"/>
      <c r="X677" s="511"/>
      <c r="Y677" s="511"/>
      <c r="Z677" s="511"/>
      <c r="AA677" s="511"/>
      <c r="AB677" s="511"/>
      <c r="AC677" s="511"/>
      <c r="AD677" s="511"/>
      <c r="AE677" s="511"/>
      <c r="AF677" s="511"/>
      <c r="AG677" s="511"/>
      <c r="AH677" s="511"/>
      <c r="AI677" s="511"/>
      <c r="AJ677" s="511"/>
      <c r="AK677" s="511"/>
      <c r="AL677" s="511"/>
      <c r="AM677" s="511"/>
      <c r="AN677" s="511"/>
      <c r="AO677" s="511"/>
      <c r="AP677" s="511"/>
      <c r="AQ677" s="511"/>
      <c r="AR677" s="511"/>
      <c r="AS677" s="511"/>
      <c r="AT677" s="511"/>
      <c r="AU677" s="511"/>
      <c r="AV677" s="511"/>
      <c r="AW677" s="511"/>
      <c r="AX677" s="511"/>
      <c r="AY677" s="511"/>
      <c r="AZ677" s="511"/>
      <c r="BA677" s="511"/>
      <c r="BB677" s="511"/>
      <c r="BC677" s="511"/>
    </row>
    <row r="678" spans="1:55" ht="16.5" customHeight="1" x14ac:dyDescent="0.3">
      <c r="A678" s="511"/>
      <c r="B678" s="511"/>
      <c r="C678" s="511"/>
      <c r="D678" s="511"/>
      <c r="E678" s="511"/>
      <c r="F678" s="511"/>
      <c r="G678" s="511"/>
      <c r="H678" s="511"/>
      <c r="I678" s="511"/>
      <c r="J678" s="511"/>
      <c r="K678" s="511"/>
      <c r="L678" s="511"/>
      <c r="M678" s="511"/>
      <c r="N678" s="511"/>
      <c r="O678" s="511"/>
      <c r="P678" s="511"/>
      <c r="Q678" s="511"/>
      <c r="R678" s="511"/>
      <c r="S678" s="511"/>
      <c r="T678" s="511"/>
      <c r="U678" s="511"/>
      <c r="V678" s="511"/>
      <c r="W678" s="511"/>
      <c r="X678" s="511"/>
      <c r="Y678" s="511"/>
      <c r="Z678" s="511"/>
      <c r="AA678" s="511"/>
      <c r="AB678" s="511"/>
      <c r="AC678" s="511"/>
      <c r="AD678" s="511"/>
      <c r="AE678" s="511"/>
      <c r="AF678" s="511"/>
      <c r="AG678" s="511"/>
      <c r="AH678" s="511"/>
      <c r="AI678" s="511"/>
      <c r="AJ678" s="511"/>
      <c r="AK678" s="511"/>
      <c r="AL678" s="511"/>
      <c r="AM678" s="511"/>
      <c r="AN678" s="511"/>
      <c r="AO678" s="511"/>
      <c r="AP678" s="511"/>
      <c r="AQ678" s="511"/>
      <c r="AR678" s="511"/>
      <c r="AS678" s="511"/>
      <c r="AT678" s="511"/>
      <c r="AU678" s="511"/>
      <c r="AV678" s="511"/>
      <c r="AW678" s="511"/>
      <c r="AX678" s="511"/>
      <c r="AY678" s="511"/>
      <c r="AZ678" s="511"/>
      <c r="BA678" s="511"/>
      <c r="BB678" s="511"/>
      <c r="BC678" s="511"/>
    </row>
    <row r="679" spans="1:55" ht="16.5" customHeight="1" x14ac:dyDescent="0.3">
      <c r="A679" s="511"/>
      <c r="B679" s="511"/>
      <c r="C679" s="511"/>
      <c r="D679" s="511"/>
      <c r="E679" s="511"/>
      <c r="F679" s="511"/>
      <c r="G679" s="511"/>
      <c r="H679" s="511"/>
      <c r="I679" s="511"/>
      <c r="J679" s="511"/>
      <c r="K679" s="511"/>
      <c r="L679" s="511"/>
      <c r="M679" s="511"/>
      <c r="N679" s="511"/>
      <c r="O679" s="511"/>
      <c r="P679" s="511"/>
      <c r="Q679" s="511"/>
      <c r="R679" s="511"/>
      <c r="S679" s="511"/>
      <c r="T679" s="511"/>
      <c r="U679" s="511"/>
      <c r="V679" s="511"/>
      <c r="W679" s="511"/>
      <c r="X679" s="511"/>
      <c r="Y679" s="511"/>
      <c r="Z679" s="511"/>
      <c r="AA679" s="511"/>
      <c r="AB679" s="511"/>
      <c r="AC679" s="511"/>
      <c r="AD679" s="511"/>
      <c r="AE679" s="511"/>
      <c r="AF679" s="511"/>
      <c r="AG679" s="511"/>
      <c r="AH679" s="511"/>
      <c r="AI679" s="511"/>
      <c r="AJ679" s="511"/>
      <c r="AK679" s="511"/>
      <c r="AL679" s="511"/>
      <c r="AM679" s="511"/>
      <c r="AN679" s="511"/>
      <c r="AO679" s="511"/>
      <c r="AP679" s="511"/>
      <c r="AQ679" s="511"/>
      <c r="AR679" s="511"/>
      <c r="AS679" s="511"/>
      <c r="AT679" s="511"/>
      <c r="AU679" s="511"/>
      <c r="AV679" s="511"/>
      <c r="AW679" s="511"/>
      <c r="AX679" s="511"/>
      <c r="AY679" s="511"/>
      <c r="AZ679" s="511"/>
      <c r="BA679" s="511"/>
      <c r="BB679" s="511"/>
      <c r="BC679" s="511"/>
    </row>
    <row r="680" spans="1:55" ht="16.5" customHeight="1" x14ac:dyDescent="0.3">
      <c r="A680" s="511"/>
      <c r="B680" s="511"/>
      <c r="C680" s="511"/>
      <c r="D680" s="511"/>
      <c r="E680" s="511"/>
      <c r="F680" s="511"/>
      <c r="G680" s="511"/>
      <c r="H680" s="511"/>
      <c r="I680" s="511"/>
      <c r="J680" s="511"/>
      <c r="K680" s="511"/>
      <c r="L680" s="511"/>
      <c r="M680" s="511"/>
      <c r="N680" s="511"/>
      <c r="O680" s="511"/>
      <c r="P680" s="511"/>
      <c r="Q680" s="511"/>
      <c r="R680" s="511"/>
      <c r="S680" s="511"/>
      <c r="T680" s="511"/>
      <c r="U680" s="511"/>
      <c r="V680" s="511"/>
      <c r="W680" s="511"/>
      <c r="X680" s="511"/>
      <c r="Y680" s="511"/>
      <c r="Z680" s="511"/>
      <c r="AA680" s="511"/>
      <c r="AB680" s="511"/>
      <c r="AC680" s="511"/>
      <c r="AD680" s="511"/>
      <c r="AE680" s="511"/>
      <c r="AF680" s="511"/>
      <c r="AG680" s="511"/>
      <c r="AH680" s="511"/>
      <c r="AI680" s="511"/>
      <c r="AJ680" s="511"/>
      <c r="AK680" s="511"/>
      <c r="AL680" s="511"/>
      <c r="AM680" s="511"/>
      <c r="AN680" s="511"/>
      <c r="AO680" s="511"/>
      <c r="AP680" s="511"/>
      <c r="AQ680" s="511"/>
      <c r="AR680" s="511"/>
      <c r="AS680" s="511"/>
      <c r="AT680" s="511"/>
      <c r="AU680" s="511"/>
      <c r="AV680" s="511"/>
      <c r="AW680" s="511"/>
      <c r="AX680" s="511"/>
      <c r="AY680" s="511"/>
      <c r="AZ680" s="511"/>
      <c r="BA680" s="511"/>
      <c r="BB680" s="511"/>
      <c r="BC680" s="511"/>
    </row>
    <row r="681" spans="1:55" ht="16.5" customHeight="1" x14ac:dyDescent="0.3">
      <c r="A681" s="511"/>
      <c r="B681" s="511"/>
      <c r="C681" s="511"/>
      <c r="D681" s="511"/>
      <c r="E681" s="511"/>
      <c r="F681" s="511"/>
      <c r="G681" s="511"/>
      <c r="H681" s="511"/>
      <c r="I681" s="511"/>
      <c r="J681" s="511"/>
      <c r="K681" s="511"/>
      <c r="L681" s="511"/>
      <c r="M681" s="511"/>
      <c r="N681" s="511"/>
      <c r="O681" s="511"/>
      <c r="P681" s="511"/>
      <c r="Q681" s="511"/>
      <c r="R681" s="511"/>
      <c r="S681" s="511"/>
      <c r="T681" s="511"/>
      <c r="U681" s="511"/>
      <c r="V681" s="511"/>
      <c r="W681" s="511"/>
      <c r="X681" s="511"/>
      <c r="Y681" s="511"/>
      <c r="Z681" s="511"/>
      <c r="AA681" s="511"/>
      <c r="AB681" s="511"/>
      <c r="AC681" s="511"/>
      <c r="AD681" s="511"/>
      <c r="AE681" s="511"/>
      <c r="AF681" s="511"/>
      <c r="AG681" s="511"/>
      <c r="AH681" s="511"/>
      <c r="AI681" s="511"/>
      <c r="AJ681" s="511"/>
      <c r="AK681" s="511"/>
      <c r="AL681" s="511"/>
      <c r="AM681" s="511"/>
      <c r="AN681" s="511"/>
      <c r="AO681" s="511"/>
      <c r="AP681" s="511"/>
      <c r="AQ681" s="511"/>
      <c r="AR681" s="511"/>
      <c r="AS681" s="511"/>
      <c r="AT681" s="511"/>
      <c r="AU681" s="511"/>
      <c r="AV681" s="511"/>
      <c r="AW681" s="511"/>
      <c r="AX681" s="511"/>
      <c r="AY681" s="511"/>
      <c r="AZ681" s="511"/>
      <c r="BA681" s="511"/>
      <c r="BB681" s="511"/>
      <c r="BC681" s="511"/>
    </row>
    <row r="682" spans="1:55" ht="16.5" customHeight="1" x14ac:dyDescent="0.3">
      <c r="A682" s="511"/>
      <c r="B682" s="511"/>
      <c r="C682" s="511"/>
      <c r="D682" s="511"/>
      <c r="E682" s="511"/>
      <c r="F682" s="511"/>
      <c r="G682" s="511"/>
      <c r="H682" s="511"/>
      <c r="I682" s="511"/>
      <c r="J682" s="511"/>
      <c r="K682" s="511"/>
      <c r="L682" s="511"/>
      <c r="M682" s="511"/>
      <c r="N682" s="511"/>
      <c r="O682" s="511"/>
      <c r="P682" s="511"/>
      <c r="Q682" s="511"/>
      <c r="R682" s="511"/>
      <c r="S682" s="511"/>
      <c r="T682" s="511"/>
      <c r="U682" s="511"/>
      <c r="V682" s="511"/>
      <c r="W682" s="511"/>
      <c r="X682" s="511"/>
      <c r="Y682" s="511"/>
      <c r="Z682" s="511"/>
      <c r="AA682" s="511"/>
      <c r="AB682" s="511"/>
      <c r="AC682" s="511"/>
      <c r="AD682" s="511"/>
      <c r="AE682" s="511"/>
      <c r="AF682" s="511"/>
      <c r="AG682" s="511"/>
      <c r="AH682" s="511"/>
      <c r="AI682" s="511"/>
      <c r="AJ682" s="511"/>
      <c r="AK682" s="511"/>
      <c r="AL682" s="511"/>
      <c r="AM682" s="511"/>
      <c r="AN682" s="511"/>
      <c r="AO682" s="511"/>
      <c r="AP682" s="511"/>
      <c r="AQ682" s="511"/>
      <c r="AR682" s="511"/>
      <c r="AS682" s="511"/>
      <c r="AT682" s="511"/>
      <c r="AU682" s="511"/>
      <c r="AV682" s="511"/>
      <c r="AW682" s="511"/>
      <c r="AX682" s="511"/>
      <c r="AY682" s="511"/>
      <c r="AZ682" s="511"/>
      <c r="BA682" s="511"/>
      <c r="BB682" s="511"/>
      <c r="BC682" s="511"/>
    </row>
    <row r="683" spans="1:55" ht="16.5" customHeight="1" x14ac:dyDescent="0.3">
      <c r="A683" s="511"/>
      <c r="B683" s="511"/>
      <c r="C683" s="511"/>
      <c r="D683" s="511"/>
      <c r="E683" s="511"/>
      <c r="F683" s="511"/>
      <c r="G683" s="511"/>
      <c r="H683" s="511"/>
      <c r="I683" s="511"/>
      <c r="J683" s="511"/>
      <c r="K683" s="511"/>
      <c r="L683" s="511"/>
      <c r="M683" s="511"/>
      <c r="N683" s="511"/>
      <c r="O683" s="511"/>
      <c r="P683" s="511"/>
      <c r="Q683" s="511"/>
      <c r="R683" s="511"/>
      <c r="S683" s="511"/>
      <c r="T683" s="511"/>
      <c r="U683" s="511"/>
      <c r="V683" s="511"/>
      <c r="W683" s="511"/>
      <c r="X683" s="511"/>
      <c r="Y683" s="511"/>
      <c r="Z683" s="511"/>
      <c r="AA683" s="511"/>
      <c r="AB683" s="511"/>
      <c r="AC683" s="511"/>
      <c r="AD683" s="511"/>
      <c r="AE683" s="511"/>
      <c r="AF683" s="511"/>
      <c r="AG683" s="511"/>
      <c r="AH683" s="511"/>
      <c r="AI683" s="511"/>
      <c r="AJ683" s="511"/>
      <c r="AK683" s="511"/>
      <c r="AL683" s="511"/>
      <c r="AM683" s="511"/>
      <c r="AN683" s="511"/>
      <c r="AO683" s="511"/>
      <c r="AP683" s="511"/>
      <c r="AQ683" s="511"/>
      <c r="AR683" s="511"/>
      <c r="AS683" s="511"/>
      <c r="AT683" s="511"/>
      <c r="AU683" s="511"/>
      <c r="AV683" s="511"/>
      <c r="AW683" s="511"/>
      <c r="AX683" s="511"/>
      <c r="AY683" s="511"/>
      <c r="AZ683" s="511"/>
      <c r="BA683" s="511"/>
      <c r="BB683" s="511"/>
      <c r="BC683" s="511"/>
    </row>
    <row r="684" spans="1:55" ht="16.5" customHeight="1" x14ac:dyDescent="0.3">
      <c r="A684" s="511"/>
      <c r="B684" s="511"/>
      <c r="C684" s="511"/>
      <c r="D684" s="511"/>
      <c r="E684" s="511"/>
      <c r="F684" s="511"/>
      <c r="G684" s="511"/>
      <c r="H684" s="511"/>
      <c r="I684" s="511"/>
      <c r="J684" s="511"/>
      <c r="K684" s="511"/>
      <c r="L684" s="511"/>
      <c r="M684" s="511"/>
      <c r="N684" s="511"/>
      <c r="O684" s="511"/>
      <c r="P684" s="511"/>
      <c r="Q684" s="511"/>
      <c r="R684" s="511"/>
      <c r="S684" s="511"/>
      <c r="T684" s="511"/>
      <c r="U684" s="511"/>
      <c r="V684" s="511"/>
      <c r="W684" s="511"/>
      <c r="X684" s="511"/>
      <c r="Y684" s="511"/>
      <c r="Z684" s="511"/>
      <c r="AA684" s="511"/>
      <c r="AB684" s="511"/>
      <c r="AC684" s="511"/>
      <c r="AD684" s="511"/>
      <c r="AE684" s="511"/>
      <c r="AF684" s="511"/>
      <c r="AG684" s="511"/>
      <c r="AH684" s="511"/>
      <c r="AI684" s="511"/>
      <c r="AJ684" s="511"/>
      <c r="AK684" s="511"/>
      <c r="AL684" s="511"/>
      <c r="AM684" s="511"/>
      <c r="AN684" s="511"/>
      <c r="AO684" s="511"/>
      <c r="AP684" s="511"/>
      <c r="AQ684" s="511"/>
      <c r="AR684" s="511"/>
      <c r="AS684" s="511"/>
      <c r="AT684" s="511"/>
      <c r="AU684" s="511"/>
      <c r="AV684" s="511"/>
      <c r="AW684" s="511"/>
      <c r="AX684" s="511"/>
      <c r="AY684" s="511"/>
      <c r="AZ684" s="511"/>
      <c r="BA684" s="511"/>
      <c r="BB684" s="511"/>
      <c r="BC684" s="511"/>
    </row>
    <row r="685" spans="1:55" ht="16.5" customHeight="1" x14ac:dyDescent="0.3">
      <c r="A685" s="511"/>
      <c r="B685" s="511"/>
      <c r="C685" s="511"/>
      <c r="D685" s="511"/>
      <c r="E685" s="511"/>
      <c r="F685" s="511"/>
      <c r="G685" s="511"/>
      <c r="H685" s="511"/>
      <c r="I685" s="511"/>
      <c r="J685" s="511"/>
      <c r="K685" s="511"/>
      <c r="L685" s="511"/>
      <c r="M685" s="511"/>
      <c r="N685" s="511"/>
      <c r="O685" s="511"/>
      <c r="P685" s="511"/>
      <c r="Q685" s="511"/>
      <c r="R685" s="511"/>
      <c r="S685" s="511"/>
      <c r="T685" s="511"/>
      <c r="U685" s="511"/>
      <c r="V685" s="511"/>
      <c r="W685" s="511"/>
      <c r="X685" s="511"/>
      <c r="Y685" s="511"/>
      <c r="Z685" s="511"/>
      <c r="AA685" s="511"/>
      <c r="AB685" s="511"/>
      <c r="AC685" s="511"/>
      <c r="AD685" s="511"/>
      <c r="AE685" s="511"/>
      <c r="AF685" s="511"/>
      <c r="AG685" s="511"/>
      <c r="AH685" s="511"/>
      <c r="AI685" s="511"/>
      <c r="AJ685" s="511"/>
      <c r="AK685" s="511"/>
      <c r="AL685" s="511"/>
      <c r="AM685" s="511"/>
      <c r="AN685" s="511"/>
      <c r="AO685" s="511"/>
      <c r="AP685" s="511"/>
      <c r="AQ685" s="511"/>
      <c r="AR685" s="511"/>
      <c r="AS685" s="511"/>
      <c r="AT685" s="511"/>
      <c r="AU685" s="511"/>
      <c r="AV685" s="511"/>
      <c r="AW685" s="511"/>
      <c r="AX685" s="511"/>
      <c r="AY685" s="511"/>
      <c r="AZ685" s="511"/>
      <c r="BA685" s="511"/>
      <c r="BB685" s="511"/>
      <c r="BC685" s="511"/>
    </row>
    <row r="686" spans="1:55" ht="16.5" customHeight="1" x14ac:dyDescent="0.3">
      <c r="A686" s="511"/>
      <c r="B686" s="511"/>
      <c r="C686" s="511"/>
      <c r="D686" s="511"/>
      <c r="E686" s="511"/>
      <c r="F686" s="511"/>
      <c r="G686" s="511"/>
      <c r="H686" s="511"/>
      <c r="I686" s="511"/>
      <c r="J686" s="511"/>
      <c r="K686" s="511"/>
      <c r="L686" s="511"/>
      <c r="M686" s="511"/>
      <c r="N686" s="511"/>
      <c r="O686" s="511"/>
      <c r="P686" s="511"/>
      <c r="Q686" s="511"/>
      <c r="R686" s="511"/>
      <c r="S686" s="511"/>
      <c r="T686" s="511"/>
      <c r="U686" s="511"/>
      <c r="V686" s="511"/>
      <c r="W686" s="511"/>
      <c r="X686" s="511"/>
      <c r="Y686" s="511"/>
      <c r="Z686" s="511"/>
      <c r="AA686" s="511"/>
      <c r="AB686" s="511"/>
      <c r="AC686" s="511"/>
      <c r="AD686" s="511"/>
      <c r="AE686" s="511"/>
      <c r="AF686" s="511"/>
      <c r="AG686" s="511"/>
      <c r="AH686" s="511"/>
      <c r="AI686" s="511"/>
      <c r="AJ686" s="511"/>
      <c r="AK686" s="511"/>
      <c r="AL686" s="511"/>
      <c r="AM686" s="511"/>
      <c r="AN686" s="511"/>
      <c r="AO686" s="511"/>
      <c r="AP686" s="511"/>
      <c r="AQ686" s="511"/>
      <c r="AR686" s="511"/>
      <c r="AS686" s="511"/>
      <c r="AT686" s="511"/>
      <c r="AU686" s="511"/>
      <c r="AV686" s="511"/>
      <c r="AW686" s="511"/>
      <c r="AX686" s="511"/>
      <c r="AY686" s="511"/>
      <c r="AZ686" s="511"/>
      <c r="BA686" s="511"/>
      <c r="BB686" s="511"/>
      <c r="BC686" s="511"/>
    </row>
    <row r="687" spans="1:55" ht="16.5" customHeight="1" x14ac:dyDescent="0.3">
      <c r="A687" s="511"/>
      <c r="B687" s="511"/>
      <c r="C687" s="511"/>
      <c r="D687" s="511"/>
      <c r="E687" s="511"/>
      <c r="F687" s="511"/>
      <c r="G687" s="511"/>
      <c r="H687" s="511"/>
      <c r="I687" s="511"/>
      <c r="J687" s="511"/>
      <c r="K687" s="511"/>
      <c r="L687" s="511"/>
      <c r="M687" s="511"/>
      <c r="N687" s="511"/>
      <c r="O687" s="511"/>
      <c r="P687" s="511"/>
      <c r="Q687" s="511"/>
      <c r="R687" s="511"/>
      <c r="S687" s="511"/>
      <c r="T687" s="511"/>
      <c r="U687" s="511"/>
      <c r="V687" s="511"/>
      <c r="W687" s="511"/>
      <c r="X687" s="511"/>
      <c r="Y687" s="511"/>
      <c r="Z687" s="511"/>
      <c r="AA687" s="511"/>
      <c r="AB687" s="511"/>
      <c r="AC687" s="511"/>
      <c r="AD687" s="511"/>
      <c r="AE687" s="511"/>
      <c r="AF687" s="511"/>
      <c r="AG687" s="511"/>
      <c r="AH687" s="511"/>
      <c r="AI687" s="511"/>
      <c r="AJ687" s="511"/>
      <c r="AK687" s="511"/>
      <c r="AL687" s="511"/>
      <c r="AM687" s="511"/>
      <c r="AN687" s="511"/>
      <c r="AO687" s="511"/>
      <c r="AP687" s="511"/>
      <c r="AQ687" s="511"/>
      <c r="AR687" s="511"/>
      <c r="AS687" s="511"/>
      <c r="AT687" s="511"/>
      <c r="AU687" s="511"/>
      <c r="AV687" s="511"/>
      <c r="AW687" s="511"/>
      <c r="AX687" s="511"/>
      <c r="AY687" s="511"/>
      <c r="AZ687" s="511"/>
      <c r="BA687" s="511"/>
      <c r="BB687" s="511"/>
      <c r="BC687" s="511"/>
    </row>
    <row r="688" spans="1:55" ht="16.5" customHeight="1" x14ac:dyDescent="0.3">
      <c r="A688" s="511"/>
      <c r="B688" s="511"/>
      <c r="C688" s="511"/>
      <c r="D688" s="511"/>
      <c r="E688" s="511"/>
      <c r="F688" s="511"/>
      <c r="G688" s="511"/>
      <c r="H688" s="511"/>
      <c r="I688" s="511"/>
      <c r="J688" s="511"/>
      <c r="K688" s="511"/>
      <c r="L688" s="511"/>
      <c r="M688" s="511"/>
      <c r="N688" s="511"/>
      <c r="O688" s="511"/>
      <c r="P688" s="511"/>
      <c r="Q688" s="511"/>
      <c r="R688" s="511"/>
      <c r="S688" s="511"/>
      <c r="T688" s="511"/>
      <c r="U688" s="511"/>
      <c r="V688" s="511"/>
      <c r="W688" s="511"/>
      <c r="X688" s="511"/>
      <c r="Y688" s="511"/>
      <c r="Z688" s="511"/>
      <c r="AA688" s="511"/>
      <c r="AB688" s="511"/>
      <c r="AC688" s="511"/>
      <c r="AD688" s="511"/>
      <c r="AE688" s="511"/>
      <c r="AF688" s="511"/>
      <c r="AG688" s="511"/>
      <c r="AH688" s="511"/>
      <c r="AI688" s="511"/>
      <c r="AJ688" s="511"/>
      <c r="AK688" s="511"/>
      <c r="AL688" s="511"/>
      <c r="AM688" s="511"/>
      <c r="AN688" s="511"/>
      <c r="AO688" s="511"/>
      <c r="AP688" s="511"/>
      <c r="AQ688" s="511"/>
      <c r="AR688" s="511"/>
      <c r="AS688" s="511"/>
      <c r="AT688" s="511"/>
      <c r="AU688" s="511"/>
      <c r="AV688" s="511"/>
      <c r="AW688" s="511"/>
      <c r="AX688" s="511"/>
      <c r="AY688" s="511"/>
      <c r="AZ688" s="511"/>
      <c r="BA688" s="511"/>
      <c r="BB688" s="511"/>
      <c r="BC688" s="511"/>
    </row>
    <row r="689" spans="1:55" ht="16.5" customHeight="1" x14ac:dyDescent="0.3">
      <c r="A689" s="511"/>
      <c r="B689" s="511"/>
      <c r="C689" s="511"/>
      <c r="D689" s="511"/>
      <c r="E689" s="511"/>
      <c r="F689" s="511"/>
      <c r="G689" s="511"/>
      <c r="H689" s="511"/>
      <c r="I689" s="511"/>
      <c r="J689" s="511"/>
      <c r="K689" s="511"/>
      <c r="L689" s="511"/>
      <c r="M689" s="511"/>
      <c r="N689" s="511"/>
      <c r="O689" s="511"/>
      <c r="P689" s="511"/>
      <c r="Q689" s="511"/>
      <c r="R689" s="511"/>
      <c r="S689" s="511"/>
      <c r="T689" s="511"/>
      <c r="U689" s="511"/>
      <c r="V689" s="511"/>
      <c r="W689" s="511"/>
      <c r="X689" s="511"/>
      <c r="Y689" s="511"/>
      <c r="Z689" s="511"/>
      <c r="AA689" s="511"/>
      <c r="AB689" s="511"/>
      <c r="AC689" s="511"/>
      <c r="AD689" s="511"/>
      <c r="AE689" s="511"/>
      <c r="AF689" s="511"/>
      <c r="AG689" s="511"/>
      <c r="AH689" s="511"/>
      <c r="AI689" s="511"/>
      <c r="AJ689" s="511"/>
      <c r="AK689" s="511"/>
      <c r="AL689" s="511"/>
      <c r="AM689" s="511"/>
      <c r="AN689" s="511"/>
      <c r="AO689" s="511"/>
      <c r="AP689" s="511"/>
      <c r="AQ689" s="511"/>
      <c r="AR689" s="511"/>
      <c r="AS689" s="511"/>
      <c r="AT689" s="511"/>
      <c r="AU689" s="511"/>
      <c r="AV689" s="511"/>
      <c r="AW689" s="511"/>
      <c r="AX689" s="511"/>
      <c r="AY689" s="511"/>
      <c r="AZ689" s="511"/>
      <c r="BA689" s="511"/>
      <c r="BB689" s="511"/>
      <c r="BC689" s="511"/>
    </row>
    <row r="690" spans="1:55" ht="16.5" customHeight="1" x14ac:dyDescent="0.3">
      <c r="A690" s="511"/>
      <c r="B690" s="511"/>
      <c r="C690" s="511"/>
      <c r="D690" s="511"/>
      <c r="E690" s="511"/>
      <c r="F690" s="511"/>
      <c r="G690" s="511"/>
      <c r="H690" s="511"/>
      <c r="I690" s="511"/>
      <c r="J690" s="511"/>
      <c r="K690" s="511"/>
      <c r="L690" s="511"/>
      <c r="M690" s="511"/>
      <c r="N690" s="511"/>
      <c r="O690" s="511"/>
      <c r="P690" s="511"/>
      <c r="Q690" s="511"/>
      <c r="R690" s="511"/>
      <c r="S690" s="511"/>
      <c r="T690" s="511"/>
      <c r="U690" s="511"/>
      <c r="V690" s="511"/>
      <c r="W690" s="511"/>
      <c r="X690" s="511"/>
      <c r="Y690" s="511"/>
      <c r="Z690" s="511"/>
      <c r="AA690" s="511"/>
      <c r="AB690" s="511"/>
      <c r="AC690" s="511"/>
      <c r="AD690" s="511"/>
      <c r="AE690" s="511"/>
      <c r="AF690" s="511"/>
      <c r="AG690" s="511"/>
      <c r="AH690" s="511"/>
      <c r="AI690" s="511"/>
      <c r="AJ690" s="511"/>
      <c r="AK690" s="511"/>
      <c r="AL690" s="511"/>
      <c r="AM690" s="511"/>
      <c r="AN690" s="511"/>
      <c r="AO690" s="511"/>
      <c r="AP690" s="511"/>
      <c r="AQ690" s="511"/>
      <c r="AR690" s="511"/>
      <c r="AS690" s="511"/>
      <c r="AT690" s="511"/>
      <c r="AU690" s="511"/>
      <c r="AV690" s="511"/>
      <c r="AW690" s="511"/>
      <c r="AX690" s="511"/>
      <c r="AY690" s="511"/>
      <c r="AZ690" s="511"/>
      <c r="BA690" s="511"/>
      <c r="BB690" s="511"/>
      <c r="BC690" s="511"/>
    </row>
    <row r="691" spans="1:55" ht="16.5" customHeight="1" x14ac:dyDescent="0.3">
      <c r="A691" s="511"/>
      <c r="B691" s="511"/>
      <c r="C691" s="511"/>
      <c r="D691" s="511"/>
      <c r="E691" s="511"/>
      <c r="F691" s="511"/>
      <c r="G691" s="511"/>
      <c r="H691" s="511"/>
      <c r="I691" s="511"/>
      <c r="J691" s="511"/>
      <c r="K691" s="511"/>
      <c r="L691" s="511"/>
      <c r="M691" s="511"/>
      <c r="N691" s="511"/>
      <c r="O691" s="511"/>
      <c r="P691" s="511"/>
      <c r="Q691" s="511"/>
      <c r="R691" s="511"/>
      <c r="S691" s="511"/>
      <c r="T691" s="511"/>
      <c r="U691" s="511"/>
      <c r="V691" s="511"/>
      <c r="W691" s="511"/>
      <c r="X691" s="511"/>
      <c r="Y691" s="511"/>
      <c r="Z691" s="511"/>
      <c r="AA691" s="511"/>
      <c r="AB691" s="511"/>
      <c r="AC691" s="511"/>
      <c r="AD691" s="511"/>
      <c r="AE691" s="511"/>
      <c r="AF691" s="511"/>
      <c r="AG691" s="511"/>
      <c r="AH691" s="511"/>
      <c r="AI691" s="511"/>
      <c r="AJ691" s="511"/>
      <c r="AK691" s="511"/>
      <c r="AL691" s="511"/>
      <c r="AM691" s="511"/>
      <c r="AN691" s="511"/>
      <c r="AO691" s="511"/>
      <c r="AP691" s="511"/>
      <c r="AQ691" s="511"/>
      <c r="AR691" s="511"/>
      <c r="AS691" s="511"/>
      <c r="AT691" s="511"/>
      <c r="AU691" s="511"/>
      <c r="AV691" s="511"/>
      <c r="AW691" s="511"/>
      <c r="AX691" s="511"/>
      <c r="AY691" s="511"/>
      <c r="AZ691" s="511"/>
      <c r="BA691" s="511"/>
      <c r="BB691" s="511"/>
      <c r="BC691" s="511"/>
    </row>
    <row r="692" spans="1:55" ht="16.5" customHeight="1" x14ac:dyDescent="0.3">
      <c r="A692" s="511"/>
      <c r="B692" s="511"/>
      <c r="C692" s="511"/>
      <c r="D692" s="511"/>
      <c r="E692" s="511"/>
      <c r="F692" s="511"/>
      <c r="G692" s="511"/>
      <c r="H692" s="511"/>
      <c r="I692" s="511"/>
      <c r="J692" s="511"/>
      <c r="K692" s="511"/>
      <c r="L692" s="511"/>
      <c r="M692" s="511"/>
      <c r="N692" s="511"/>
      <c r="O692" s="511"/>
      <c r="P692" s="511"/>
      <c r="Q692" s="511"/>
      <c r="R692" s="511"/>
      <c r="S692" s="511"/>
      <c r="T692" s="511"/>
      <c r="U692" s="511"/>
      <c r="V692" s="511"/>
      <c r="W692" s="511"/>
      <c r="X692" s="511"/>
      <c r="Y692" s="511"/>
      <c r="Z692" s="511"/>
      <c r="AA692" s="511"/>
      <c r="AB692" s="511"/>
      <c r="AC692" s="511"/>
      <c r="AD692" s="511"/>
      <c r="AE692" s="511"/>
      <c r="AF692" s="511"/>
      <c r="AG692" s="511"/>
      <c r="AH692" s="511"/>
      <c r="AI692" s="511"/>
      <c r="AJ692" s="511"/>
      <c r="AK692" s="511"/>
      <c r="AL692" s="511"/>
      <c r="AM692" s="511"/>
      <c r="AN692" s="511"/>
      <c r="AO692" s="511"/>
      <c r="AP692" s="511"/>
      <c r="AQ692" s="511"/>
      <c r="AR692" s="511"/>
      <c r="AS692" s="511"/>
      <c r="AT692" s="511"/>
      <c r="AU692" s="511"/>
      <c r="AV692" s="511"/>
      <c r="AW692" s="511"/>
      <c r="AX692" s="511"/>
      <c r="AY692" s="511"/>
      <c r="AZ692" s="511"/>
      <c r="BA692" s="511"/>
      <c r="BB692" s="511"/>
      <c r="BC692" s="511"/>
    </row>
    <row r="693" spans="1:55" ht="16.5" customHeight="1" x14ac:dyDescent="0.3">
      <c r="A693" s="511"/>
      <c r="B693" s="511"/>
      <c r="C693" s="511"/>
      <c r="D693" s="511"/>
      <c r="E693" s="511"/>
      <c r="F693" s="511"/>
      <c r="G693" s="511"/>
      <c r="H693" s="511"/>
      <c r="I693" s="511"/>
      <c r="J693" s="511"/>
      <c r="K693" s="511"/>
      <c r="L693" s="511"/>
      <c r="M693" s="511"/>
      <c r="N693" s="511"/>
      <c r="O693" s="511"/>
      <c r="P693" s="511"/>
      <c r="Q693" s="511"/>
      <c r="R693" s="511"/>
      <c r="S693" s="511"/>
      <c r="T693" s="511"/>
      <c r="U693" s="511"/>
      <c r="V693" s="511"/>
      <c r="W693" s="511"/>
      <c r="X693" s="511"/>
      <c r="Y693" s="511"/>
      <c r="Z693" s="511"/>
      <c r="AA693" s="511"/>
      <c r="AB693" s="511"/>
      <c r="AC693" s="511"/>
      <c r="AD693" s="511"/>
      <c r="AE693" s="511"/>
      <c r="AF693" s="511"/>
      <c r="AG693" s="511"/>
      <c r="AH693" s="511"/>
      <c r="AI693" s="511"/>
      <c r="AJ693" s="511"/>
      <c r="AK693" s="511"/>
      <c r="AL693" s="511"/>
      <c r="AM693" s="511"/>
      <c r="AN693" s="511"/>
      <c r="AO693" s="511"/>
      <c r="AP693" s="511"/>
      <c r="AQ693" s="511"/>
      <c r="AR693" s="511"/>
      <c r="AS693" s="511"/>
      <c r="AT693" s="511"/>
      <c r="AU693" s="511"/>
      <c r="AV693" s="511"/>
      <c r="AW693" s="511"/>
      <c r="AX693" s="511"/>
      <c r="AY693" s="511"/>
      <c r="AZ693" s="511"/>
      <c r="BA693" s="511"/>
      <c r="BB693" s="511"/>
      <c r="BC693" s="511"/>
    </row>
    <row r="694" spans="1:55" ht="16.5" customHeight="1" x14ac:dyDescent="0.3">
      <c r="A694" s="511"/>
      <c r="B694" s="511"/>
      <c r="C694" s="511"/>
      <c r="D694" s="511"/>
      <c r="E694" s="511"/>
      <c r="F694" s="511"/>
      <c r="G694" s="511"/>
      <c r="H694" s="511"/>
      <c r="I694" s="511"/>
      <c r="J694" s="511"/>
      <c r="K694" s="511"/>
      <c r="L694" s="511"/>
      <c r="M694" s="511"/>
      <c r="N694" s="511"/>
      <c r="O694" s="511"/>
      <c r="P694" s="511"/>
      <c r="Q694" s="511"/>
      <c r="R694" s="511"/>
      <c r="S694" s="511"/>
      <c r="T694" s="511"/>
      <c r="U694" s="511"/>
      <c r="V694" s="511"/>
      <c r="W694" s="511"/>
      <c r="X694" s="511"/>
      <c r="Y694" s="511"/>
      <c r="Z694" s="511"/>
      <c r="AA694" s="511"/>
      <c r="AB694" s="511"/>
      <c r="AC694" s="511"/>
      <c r="AD694" s="511"/>
      <c r="AE694" s="511"/>
      <c r="AF694" s="511"/>
      <c r="AG694" s="511"/>
      <c r="AH694" s="511"/>
      <c r="AI694" s="511"/>
      <c r="AJ694" s="511"/>
      <c r="AK694" s="511"/>
      <c r="AL694" s="511"/>
      <c r="AM694" s="511"/>
      <c r="AN694" s="511"/>
      <c r="AO694" s="511"/>
      <c r="AP694" s="511"/>
      <c r="AQ694" s="511"/>
      <c r="AR694" s="511"/>
      <c r="AS694" s="511"/>
      <c r="AT694" s="511"/>
      <c r="AU694" s="511"/>
      <c r="AV694" s="511"/>
      <c r="AW694" s="511"/>
      <c r="AX694" s="511"/>
      <c r="AY694" s="511"/>
      <c r="AZ694" s="511"/>
      <c r="BA694" s="511"/>
      <c r="BB694" s="511"/>
      <c r="BC694" s="511"/>
    </row>
    <row r="695" spans="1:55" ht="16.5" customHeight="1" x14ac:dyDescent="0.3">
      <c r="A695" s="511"/>
      <c r="B695" s="511"/>
      <c r="C695" s="511"/>
      <c r="D695" s="511"/>
      <c r="E695" s="511"/>
      <c r="F695" s="511"/>
      <c r="G695" s="511"/>
      <c r="H695" s="511"/>
      <c r="I695" s="511"/>
      <c r="J695" s="511"/>
      <c r="K695" s="511"/>
      <c r="L695" s="511"/>
      <c r="M695" s="511"/>
      <c r="N695" s="511"/>
      <c r="O695" s="511"/>
      <c r="P695" s="511"/>
      <c r="Q695" s="511"/>
      <c r="R695" s="511"/>
      <c r="S695" s="511"/>
      <c r="T695" s="511"/>
      <c r="U695" s="511"/>
      <c r="V695" s="511"/>
      <c r="W695" s="511"/>
      <c r="X695" s="511"/>
      <c r="Y695" s="511"/>
      <c r="Z695" s="511"/>
      <c r="AA695" s="511"/>
      <c r="AB695" s="511"/>
      <c r="AC695" s="511"/>
      <c r="AD695" s="511"/>
      <c r="AE695" s="511"/>
      <c r="AF695" s="511"/>
      <c r="AG695" s="511"/>
      <c r="AH695" s="511"/>
      <c r="AI695" s="511"/>
      <c r="AJ695" s="511"/>
      <c r="AK695" s="511"/>
      <c r="AL695" s="511"/>
      <c r="AM695" s="511"/>
      <c r="AN695" s="511"/>
      <c r="AO695" s="511"/>
      <c r="AP695" s="511"/>
      <c r="AQ695" s="511"/>
      <c r="AR695" s="511"/>
      <c r="AS695" s="511"/>
      <c r="AT695" s="511"/>
      <c r="AU695" s="511"/>
      <c r="AV695" s="511"/>
      <c r="AW695" s="511"/>
      <c r="AX695" s="511"/>
      <c r="AY695" s="511"/>
      <c r="AZ695" s="511"/>
      <c r="BA695" s="511"/>
      <c r="BB695" s="511"/>
      <c r="BC695" s="511"/>
    </row>
    <row r="696" spans="1:55" ht="16.5" customHeight="1" x14ac:dyDescent="0.3">
      <c r="A696" s="511"/>
      <c r="B696" s="511"/>
      <c r="C696" s="511"/>
      <c r="D696" s="511"/>
      <c r="E696" s="511"/>
      <c r="F696" s="511"/>
      <c r="G696" s="511"/>
      <c r="H696" s="511"/>
      <c r="I696" s="511"/>
      <c r="J696" s="511"/>
      <c r="K696" s="511"/>
      <c r="L696" s="511"/>
      <c r="M696" s="511"/>
      <c r="N696" s="511"/>
      <c r="O696" s="511"/>
      <c r="P696" s="511"/>
      <c r="Q696" s="511"/>
      <c r="R696" s="511"/>
      <c r="S696" s="511"/>
      <c r="T696" s="511"/>
      <c r="U696" s="511"/>
      <c r="V696" s="511"/>
      <c r="W696" s="511"/>
      <c r="X696" s="511"/>
      <c r="Y696" s="511"/>
      <c r="Z696" s="511"/>
      <c r="AA696" s="511"/>
      <c r="AB696" s="511"/>
      <c r="AC696" s="511"/>
      <c r="AD696" s="511"/>
      <c r="AE696" s="511"/>
      <c r="AF696" s="511"/>
      <c r="AG696" s="511"/>
      <c r="AH696" s="511"/>
      <c r="AI696" s="511"/>
      <c r="AJ696" s="511"/>
      <c r="AK696" s="511"/>
      <c r="AL696" s="511"/>
      <c r="AM696" s="511"/>
      <c r="AN696" s="511"/>
      <c r="AO696" s="511"/>
      <c r="AP696" s="511"/>
      <c r="AQ696" s="511"/>
      <c r="AR696" s="511"/>
      <c r="AS696" s="511"/>
      <c r="AT696" s="511"/>
      <c r="AU696" s="511"/>
      <c r="AV696" s="511"/>
      <c r="AW696" s="511"/>
      <c r="AX696" s="511"/>
      <c r="AY696" s="511"/>
      <c r="AZ696" s="511"/>
      <c r="BA696" s="511"/>
      <c r="BB696" s="511"/>
      <c r="BC696" s="511"/>
    </row>
    <row r="697" spans="1:55" ht="16.5" customHeight="1" x14ac:dyDescent="0.3">
      <c r="A697" s="511"/>
      <c r="B697" s="511"/>
      <c r="C697" s="511"/>
      <c r="D697" s="511"/>
      <c r="E697" s="511"/>
      <c r="F697" s="511"/>
      <c r="G697" s="511"/>
      <c r="H697" s="511"/>
      <c r="I697" s="511"/>
      <c r="J697" s="511"/>
      <c r="K697" s="511"/>
      <c r="L697" s="511"/>
      <c r="M697" s="511"/>
      <c r="N697" s="511"/>
      <c r="O697" s="511"/>
      <c r="P697" s="511"/>
      <c r="Q697" s="511"/>
      <c r="R697" s="511"/>
      <c r="S697" s="511"/>
      <c r="T697" s="511"/>
      <c r="U697" s="511"/>
      <c r="V697" s="511"/>
      <c r="W697" s="511"/>
      <c r="X697" s="511"/>
      <c r="Y697" s="511"/>
      <c r="Z697" s="511"/>
      <c r="AA697" s="511"/>
      <c r="AB697" s="511"/>
      <c r="AC697" s="511"/>
      <c r="AD697" s="511"/>
      <c r="AE697" s="511"/>
      <c r="AF697" s="511"/>
      <c r="AG697" s="511"/>
      <c r="AH697" s="511"/>
      <c r="AI697" s="511"/>
      <c r="AJ697" s="511"/>
      <c r="AK697" s="511"/>
      <c r="AL697" s="511"/>
      <c r="AM697" s="511"/>
      <c r="AN697" s="511"/>
      <c r="AO697" s="511"/>
      <c r="AP697" s="511"/>
      <c r="AQ697" s="511"/>
      <c r="AR697" s="511"/>
      <c r="AS697" s="511"/>
      <c r="AT697" s="511"/>
      <c r="AU697" s="511"/>
      <c r="AV697" s="511"/>
      <c r="AW697" s="511"/>
      <c r="AX697" s="511"/>
      <c r="AY697" s="511"/>
      <c r="AZ697" s="511"/>
      <c r="BA697" s="511"/>
      <c r="BB697" s="511"/>
      <c r="BC697" s="511"/>
    </row>
    <row r="698" spans="1:55" ht="16.5" customHeight="1" x14ac:dyDescent="0.3">
      <c r="A698" s="511"/>
      <c r="B698" s="511"/>
      <c r="C698" s="511"/>
      <c r="D698" s="511"/>
      <c r="E698" s="511"/>
      <c r="F698" s="511"/>
      <c r="G698" s="511"/>
      <c r="H698" s="511"/>
      <c r="I698" s="511"/>
      <c r="J698" s="511"/>
      <c r="K698" s="511"/>
      <c r="L698" s="511"/>
      <c r="M698" s="511"/>
      <c r="N698" s="511"/>
      <c r="O698" s="511"/>
      <c r="P698" s="511"/>
      <c r="Q698" s="511"/>
      <c r="R698" s="511"/>
      <c r="S698" s="511"/>
      <c r="T698" s="511"/>
      <c r="U698" s="511"/>
      <c r="V698" s="511"/>
      <c r="W698" s="511"/>
      <c r="X698" s="511"/>
      <c r="Y698" s="511"/>
      <c r="Z698" s="511"/>
      <c r="AA698" s="511"/>
      <c r="AB698" s="511"/>
      <c r="AC698" s="511"/>
      <c r="AD698" s="511"/>
      <c r="AE698" s="511"/>
      <c r="AF698" s="511"/>
      <c r="AG698" s="511"/>
      <c r="AH698" s="511"/>
      <c r="AI698" s="511"/>
      <c r="AJ698" s="511"/>
      <c r="AK698" s="511"/>
      <c r="AL698" s="511"/>
      <c r="AM698" s="511"/>
      <c r="AN698" s="511"/>
      <c r="AO698" s="511"/>
      <c r="AP698" s="511"/>
      <c r="AQ698" s="511"/>
      <c r="AR698" s="511"/>
      <c r="AS698" s="511"/>
      <c r="AT698" s="511"/>
      <c r="AU698" s="511"/>
      <c r="AV698" s="511"/>
      <c r="AW698" s="511"/>
      <c r="AX698" s="511"/>
      <c r="AY698" s="511"/>
      <c r="AZ698" s="511"/>
      <c r="BA698" s="511"/>
      <c r="BB698" s="511"/>
      <c r="BC698" s="511"/>
    </row>
    <row r="699" spans="1:55" ht="16.5" customHeight="1" x14ac:dyDescent="0.3">
      <c r="A699" s="511"/>
      <c r="B699" s="511"/>
      <c r="C699" s="511"/>
      <c r="D699" s="511"/>
      <c r="E699" s="511"/>
      <c r="F699" s="511"/>
      <c r="G699" s="511"/>
      <c r="H699" s="511"/>
      <c r="I699" s="511"/>
      <c r="J699" s="511"/>
      <c r="K699" s="511"/>
      <c r="L699" s="511"/>
      <c r="M699" s="511"/>
      <c r="N699" s="511"/>
      <c r="O699" s="511"/>
      <c r="P699" s="511"/>
      <c r="Q699" s="511"/>
      <c r="R699" s="511"/>
      <c r="S699" s="511"/>
      <c r="T699" s="511"/>
      <c r="U699" s="511"/>
      <c r="V699" s="511"/>
      <c r="W699" s="511"/>
      <c r="X699" s="511"/>
      <c r="Y699" s="511"/>
      <c r="Z699" s="511"/>
      <c r="AA699" s="511"/>
      <c r="AB699" s="511"/>
      <c r="AC699" s="511"/>
      <c r="AD699" s="511"/>
      <c r="AE699" s="511"/>
      <c r="AF699" s="511"/>
      <c r="AG699" s="511"/>
      <c r="AH699" s="511"/>
      <c r="AI699" s="511"/>
      <c r="AJ699" s="511"/>
      <c r="AK699" s="511"/>
      <c r="AL699" s="511"/>
      <c r="AM699" s="511"/>
      <c r="AN699" s="511"/>
      <c r="AO699" s="511"/>
      <c r="AP699" s="511"/>
      <c r="AQ699" s="511"/>
      <c r="AR699" s="511"/>
      <c r="AS699" s="511"/>
      <c r="AT699" s="511"/>
      <c r="AU699" s="511"/>
      <c r="AV699" s="511"/>
      <c r="AW699" s="511"/>
      <c r="AX699" s="511"/>
      <c r="AY699" s="511"/>
      <c r="AZ699" s="511"/>
      <c r="BA699" s="511"/>
      <c r="BB699" s="511"/>
      <c r="BC699" s="511"/>
    </row>
    <row r="700" spans="1:55" ht="16.5" customHeight="1" x14ac:dyDescent="0.3">
      <c r="A700" s="511"/>
      <c r="B700" s="511"/>
      <c r="C700" s="511"/>
      <c r="D700" s="511"/>
      <c r="E700" s="511"/>
      <c r="F700" s="511"/>
      <c r="G700" s="511"/>
      <c r="H700" s="511"/>
      <c r="I700" s="511"/>
      <c r="J700" s="511"/>
      <c r="K700" s="511"/>
      <c r="L700" s="511"/>
      <c r="M700" s="511"/>
      <c r="N700" s="511"/>
      <c r="O700" s="511"/>
      <c r="P700" s="511"/>
      <c r="Q700" s="511"/>
      <c r="R700" s="511"/>
      <c r="S700" s="511"/>
      <c r="T700" s="511"/>
      <c r="U700" s="511"/>
      <c r="V700" s="511"/>
      <c r="W700" s="511"/>
      <c r="X700" s="511"/>
      <c r="Y700" s="511"/>
      <c r="Z700" s="511"/>
      <c r="AA700" s="511"/>
      <c r="AB700" s="511"/>
      <c r="AC700" s="511"/>
      <c r="AD700" s="511"/>
      <c r="AE700" s="511"/>
      <c r="AF700" s="511"/>
      <c r="AG700" s="511"/>
      <c r="AH700" s="511"/>
      <c r="AI700" s="511"/>
      <c r="AJ700" s="511"/>
      <c r="AK700" s="511"/>
      <c r="AL700" s="511"/>
      <c r="AM700" s="511"/>
      <c r="AN700" s="511"/>
      <c r="AO700" s="511"/>
      <c r="AP700" s="511"/>
      <c r="AQ700" s="511"/>
      <c r="AR700" s="511"/>
      <c r="AS700" s="511"/>
      <c r="AT700" s="511"/>
      <c r="AU700" s="511"/>
      <c r="AV700" s="511"/>
      <c r="AW700" s="511"/>
      <c r="AX700" s="511"/>
      <c r="AY700" s="511"/>
      <c r="AZ700" s="511"/>
      <c r="BA700" s="511"/>
      <c r="BB700" s="511"/>
      <c r="BC700" s="511"/>
    </row>
    <row r="701" spans="1:55" ht="16.5" customHeight="1" x14ac:dyDescent="0.3">
      <c r="A701" s="511"/>
      <c r="B701" s="511"/>
      <c r="C701" s="511"/>
      <c r="D701" s="511"/>
      <c r="E701" s="511"/>
      <c r="F701" s="511"/>
      <c r="G701" s="511"/>
      <c r="H701" s="511"/>
      <c r="I701" s="511"/>
      <c r="J701" s="511"/>
      <c r="K701" s="511"/>
      <c r="L701" s="511"/>
      <c r="M701" s="511"/>
      <c r="N701" s="511"/>
      <c r="O701" s="511"/>
      <c r="P701" s="511"/>
      <c r="Q701" s="511"/>
      <c r="R701" s="511"/>
      <c r="S701" s="511"/>
      <c r="T701" s="511"/>
      <c r="U701" s="511"/>
      <c r="V701" s="511"/>
      <c r="W701" s="511"/>
      <c r="X701" s="511"/>
      <c r="Y701" s="511"/>
      <c r="Z701" s="511"/>
      <c r="AA701" s="511"/>
      <c r="AB701" s="511"/>
      <c r="AC701" s="511"/>
      <c r="AD701" s="511"/>
      <c r="AE701" s="511"/>
      <c r="AF701" s="511"/>
      <c r="AG701" s="511"/>
      <c r="AH701" s="511"/>
      <c r="AI701" s="511"/>
      <c r="AJ701" s="511"/>
      <c r="AK701" s="511"/>
      <c r="AL701" s="511"/>
      <c r="AM701" s="511"/>
      <c r="AN701" s="511"/>
      <c r="AO701" s="511"/>
      <c r="AP701" s="511"/>
      <c r="AQ701" s="511"/>
      <c r="AR701" s="511"/>
      <c r="AS701" s="511"/>
      <c r="AT701" s="511"/>
      <c r="AU701" s="511"/>
      <c r="AV701" s="511"/>
      <c r="AW701" s="511"/>
      <c r="AX701" s="511"/>
      <c r="AY701" s="511"/>
      <c r="AZ701" s="511"/>
      <c r="BA701" s="511"/>
      <c r="BB701" s="511"/>
      <c r="BC701" s="511"/>
    </row>
    <row r="702" spans="1:55" ht="16.5" customHeight="1" x14ac:dyDescent="0.3">
      <c r="A702" s="511"/>
      <c r="B702" s="511"/>
      <c r="C702" s="511"/>
      <c r="D702" s="511"/>
      <c r="E702" s="511"/>
      <c r="F702" s="511"/>
      <c r="G702" s="511"/>
      <c r="H702" s="511"/>
      <c r="I702" s="511"/>
      <c r="J702" s="511"/>
      <c r="K702" s="511"/>
      <c r="L702" s="511"/>
      <c r="M702" s="511"/>
      <c r="N702" s="511"/>
      <c r="O702" s="511"/>
      <c r="P702" s="511"/>
      <c r="Q702" s="511"/>
      <c r="R702" s="511"/>
      <c r="S702" s="511"/>
      <c r="T702" s="511"/>
      <c r="U702" s="511"/>
      <c r="V702" s="511"/>
      <c r="W702" s="511"/>
      <c r="X702" s="511"/>
      <c r="Y702" s="511"/>
      <c r="Z702" s="511"/>
      <c r="AA702" s="511"/>
      <c r="AB702" s="511"/>
      <c r="AC702" s="511"/>
      <c r="AD702" s="511"/>
      <c r="AE702" s="511"/>
      <c r="AF702" s="511"/>
      <c r="AG702" s="511"/>
      <c r="AH702" s="511"/>
      <c r="AI702" s="511"/>
      <c r="AJ702" s="511"/>
      <c r="AK702" s="511"/>
      <c r="AL702" s="511"/>
      <c r="AM702" s="511"/>
      <c r="AN702" s="511"/>
      <c r="AO702" s="511"/>
      <c r="AP702" s="511"/>
      <c r="AQ702" s="511"/>
      <c r="AR702" s="511"/>
      <c r="AS702" s="511"/>
      <c r="AT702" s="511"/>
      <c r="AU702" s="511"/>
      <c r="AV702" s="511"/>
      <c r="AW702" s="511"/>
      <c r="AX702" s="511"/>
      <c r="AY702" s="511"/>
      <c r="AZ702" s="511"/>
      <c r="BA702" s="511"/>
      <c r="BB702" s="511"/>
      <c r="BC702" s="511"/>
    </row>
    <row r="703" spans="1:55" ht="16.5" customHeight="1" x14ac:dyDescent="0.3">
      <c r="A703" s="511"/>
      <c r="B703" s="511"/>
      <c r="C703" s="511"/>
      <c r="D703" s="511"/>
      <c r="E703" s="511"/>
      <c r="F703" s="511"/>
      <c r="G703" s="511"/>
      <c r="H703" s="511"/>
      <c r="I703" s="511"/>
      <c r="J703" s="511"/>
      <c r="K703" s="511"/>
      <c r="L703" s="511"/>
      <c r="M703" s="511"/>
      <c r="N703" s="511"/>
      <c r="O703" s="511"/>
      <c r="P703" s="511"/>
      <c r="Q703" s="511"/>
      <c r="R703" s="511"/>
      <c r="S703" s="511"/>
      <c r="T703" s="511"/>
      <c r="U703" s="511"/>
      <c r="V703" s="511"/>
      <c r="W703" s="511"/>
      <c r="X703" s="511"/>
      <c r="Y703" s="511"/>
      <c r="Z703" s="511"/>
      <c r="AA703" s="511"/>
      <c r="AB703" s="511"/>
      <c r="AC703" s="511"/>
      <c r="AD703" s="511"/>
      <c r="AE703" s="511"/>
      <c r="AF703" s="511"/>
      <c r="AG703" s="511"/>
      <c r="AH703" s="511"/>
      <c r="AI703" s="511"/>
      <c r="AJ703" s="511"/>
      <c r="AK703" s="511"/>
      <c r="AL703" s="511"/>
      <c r="AM703" s="511"/>
      <c r="AN703" s="511"/>
      <c r="AO703" s="511"/>
      <c r="AP703" s="511"/>
      <c r="AQ703" s="511"/>
      <c r="AR703" s="511"/>
      <c r="AS703" s="511"/>
      <c r="AT703" s="511"/>
      <c r="AU703" s="511"/>
      <c r="AV703" s="511"/>
      <c r="AW703" s="511"/>
      <c r="AX703" s="511"/>
      <c r="AY703" s="511"/>
      <c r="AZ703" s="511"/>
      <c r="BA703" s="511"/>
      <c r="BB703" s="511"/>
      <c r="BC703" s="511"/>
    </row>
    <row r="704" spans="1:55" ht="16.5" customHeight="1" x14ac:dyDescent="0.3">
      <c r="A704" s="511"/>
      <c r="B704" s="511"/>
      <c r="C704" s="511"/>
      <c r="D704" s="511"/>
      <c r="E704" s="511"/>
      <c r="F704" s="511"/>
      <c r="G704" s="511"/>
      <c r="H704" s="511"/>
      <c r="I704" s="511"/>
      <c r="J704" s="511"/>
      <c r="K704" s="511"/>
      <c r="L704" s="511"/>
      <c r="M704" s="511"/>
      <c r="N704" s="511"/>
      <c r="O704" s="511"/>
      <c r="P704" s="511"/>
      <c r="Q704" s="511"/>
      <c r="R704" s="511"/>
      <c r="S704" s="511"/>
      <c r="T704" s="511"/>
      <c r="U704" s="511"/>
      <c r="V704" s="511"/>
      <c r="W704" s="511"/>
      <c r="X704" s="511"/>
      <c r="Y704" s="511"/>
      <c r="Z704" s="511"/>
      <c r="AA704" s="511"/>
      <c r="AB704" s="511"/>
      <c r="AC704" s="511"/>
      <c r="AD704" s="511"/>
      <c r="AE704" s="511"/>
      <c r="AF704" s="511"/>
      <c r="AG704" s="511"/>
      <c r="AH704" s="511"/>
      <c r="AI704" s="511"/>
      <c r="AJ704" s="511"/>
      <c r="AK704" s="511"/>
      <c r="AL704" s="511"/>
      <c r="AM704" s="511"/>
      <c r="AN704" s="511"/>
      <c r="AO704" s="511"/>
      <c r="AP704" s="511"/>
      <c r="AQ704" s="511"/>
      <c r="AR704" s="511"/>
      <c r="AS704" s="511"/>
      <c r="AT704" s="511"/>
      <c r="AU704" s="511"/>
      <c r="AV704" s="511"/>
      <c r="AW704" s="511"/>
      <c r="AX704" s="511"/>
      <c r="AY704" s="511"/>
      <c r="AZ704" s="511"/>
      <c r="BA704" s="511"/>
      <c r="BB704" s="511"/>
      <c r="BC704" s="511"/>
    </row>
    <row r="705" spans="1:55" ht="16.5" customHeight="1" x14ac:dyDescent="0.3">
      <c r="A705" s="511"/>
      <c r="B705" s="511"/>
      <c r="C705" s="511"/>
      <c r="D705" s="511"/>
      <c r="E705" s="511"/>
      <c r="F705" s="511"/>
      <c r="G705" s="511"/>
      <c r="H705" s="511"/>
      <c r="I705" s="511"/>
      <c r="J705" s="511"/>
      <c r="K705" s="511"/>
      <c r="L705" s="511"/>
      <c r="M705" s="511"/>
      <c r="N705" s="511"/>
      <c r="O705" s="511"/>
      <c r="P705" s="511"/>
      <c r="Q705" s="511"/>
      <c r="R705" s="511"/>
      <c r="S705" s="511"/>
      <c r="T705" s="511"/>
      <c r="U705" s="511"/>
      <c r="V705" s="511"/>
      <c r="W705" s="511"/>
      <c r="X705" s="511"/>
      <c r="Y705" s="511"/>
      <c r="Z705" s="511"/>
      <c r="AA705" s="511"/>
      <c r="AB705" s="511"/>
      <c r="AC705" s="511"/>
      <c r="AD705" s="511"/>
      <c r="AE705" s="511"/>
      <c r="AF705" s="511"/>
      <c r="AG705" s="511"/>
      <c r="AH705" s="511"/>
      <c r="AI705" s="511"/>
      <c r="AJ705" s="511"/>
      <c r="AK705" s="511"/>
      <c r="AL705" s="511"/>
      <c r="AM705" s="511"/>
      <c r="AN705" s="511"/>
      <c r="AO705" s="511"/>
      <c r="AP705" s="511"/>
      <c r="AQ705" s="511"/>
      <c r="AR705" s="511"/>
      <c r="AS705" s="511"/>
      <c r="AT705" s="511"/>
      <c r="AU705" s="511"/>
      <c r="AV705" s="511"/>
      <c r="AW705" s="511"/>
      <c r="AX705" s="511"/>
      <c r="AY705" s="511"/>
      <c r="AZ705" s="511"/>
      <c r="BA705" s="511"/>
      <c r="BB705" s="511"/>
      <c r="BC705" s="511"/>
    </row>
    <row r="706" spans="1:55" ht="16.5" customHeight="1" x14ac:dyDescent="0.3">
      <c r="A706" s="511"/>
      <c r="B706" s="511"/>
      <c r="C706" s="511"/>
      <c r="D706" s="511"/>
      <c r="E706" s="511"/>
      <c r="F706" s="511"/>
      <c r="G706" s="511"/>
      <c r="H706" s="511"/>
      <c r="I706" s="511"/>
      <c r="J706" s="511"/>
      <c r="K706" s="511"/>
      <c r="L706" s="511"/>
      <c r="M706" s="511"/>
      <c r="N706" s="511"/>
      <c r="O706" s="511"/>
      <c r="P706" s="511"/>
      <c r="Q706" s="511"/>
      <c r="R706" s="511"/>
      <c r="S706" s="511"/>
      <c r="T706" s="511"/>
      <c r="U706" s="511"/>
      <c r="V706" s="511"/>
      <c r="W706" s="511"/>
      <c r="X706" s="511"/>
      <c r="Y706" s="511"/>
      <c r="Z706" s="511"/>
      <c r="AA706" s="511"/>
      <c r="AB706" s="511"/>
      <c r="AC706" s="511"/>
      <c r="AD706" s="511"/>
      <c r="AE706" s="511"/>
      <c r="AF706" s="511"/>
      <c r="AG706" s="511"/>
      <c r="AH706" s="511"/>
      <c r="AI706" s="511"/>
      <c r="AJ706" s="511"/>
      <c r="AK706" s="511"/>
      <c r="AL706" s="511"/>
      <c r="AM706" s="511"/>
      <c r="AN706" s="511"/>
      <c r="AO706" s="511"/>
      <c r="AP706" s="511"/>
      <c r="AQ706" s="511"/>
      <c r="AR706" s="511"/>
      <c r="AS706" s="511"/>
      <c r="AT706" s="511"/>
      <c r="AU706" s="511"/>
      <c r="AV706" s="511"/>
      <c r="AW706" s="511"/>
      <c r="AX706" s="511"/>
      <c r="AY706" s="511"/>
      <c r="AZ706" s="511"/>
      <c r="BA706" s="511"/>
      <c r="BB706" s="511"/>
      <c r="BC706" s="511"/>
    </row>
    <row r="707" spans="1:55" ht="16.5" customHeight="1" x14ac:dyDescent="0.3">
      <c r="A707" s="511"/>
      <c r="B707" s="511"/>
      <c r="C707" s="511"/>
      <c r="D707" s="511"/>
      <c r="E707" s="511"/>
      <c r="F707" s="511"/>
      <c r="G707" s="511"/>
      <c r="H707" s="511"/>
      <c r="I707" s="511"/>
      <c r="J707" s="511"/>
      <c r="K707" s="511"/>
      <c r="L707" s="511"/>
      <c r="M707" s="511"/>
      <c r="N707" s="511"/>
      <c r="O707" s="511"/>
      <c r="P707" s="511"/>
      <c r="Q707" s="511"/>
      <c r="R707" s="511"/>
      <c r="S707" s="511"/>
      <c r="T707" s="511"/>
      <c r="U707" s="511"/>
      <c r="V707" s="511"/>
      <c r="W707" s="511"/>
      <c r="X707" s="511"/>
      <c r="Y707" s="511"/>
      <c r="Z707" s="511"/>
      <c r="AA707" s="511"/>
      <c r="AB707" s="511"/>
      <c r="AC707" s="511"/>
      <c r="AD707" s="511"/>
      <c r="AE707" s="511"/>
      <c r="AF707" s="511"/>
      <c r="AG707" s="511"/>
      <c r="AH707" s="511"/>
      <c r="AI707" s="511"/>
      <c r="AJ707" s="511"/>
      <c r="AK707" s="511"/>
      <c r="AL707" s="511"/>
      <c r="AM707" s="511"/>
      <c r="AN707" s="511"/>
      <c r="AO707" s="511"/>
      <c r="AP707" s="511"/>
      <c r="AQ707" s="511"/>
      <c r="AR707" s="511"/>
      <c r="AS707" s="511"/>
      <c r="AT707" s="511"/>
      <c r="AU707" s="511"/>
      <c r="AV707" s="511"/>
      <c r="AW707" s="511"/>
      <c r="AX707" s="511"/>
      <c r="AY707" s="511"/>
      <c r="AZ707" s="511"/>
      <c r="BA707" s="511"/>
      <c r="BB707" s="511"/>
      <c r="BC707" s="511"/>
    </row>
    <row r="708" spans="1:55" ht="16.5" customHeight="1" x14ac:dyDescent="0.3">
      <c r="A708" s="511"/>
      <c r="B708" s="511"/>
      <c r="C708" s="511"/>
      <c r="D708" s="511"/>
      <c r="E708" s="511"/>
      <c r="F708" s="511"/>
      <c r="G708" s="511"/>
      <c r="H708" s="511"/>
      <c r="I708" s="511"/>
      <c r="J708" s="511"/>
      <c r="K708" s="511"/>
      <c r="L708" s="511"/>
      <c r="M708" s="511"/>
      <c r="N708" s="511"/>
      <c r="O708" s="511"/>
      <c r="P708" s="511"/>
      <c r="Q708" s="511"/>
      <c r="R708" s="511"/>
      <c r="S708" s="511"/>
      <c r="T708" s="511"/>
      <c r="U708" s="511"/>
      <c r="V708" s="511"/>
      <c r="W708" s="511"/>
      <c r="X708" s="511"/>
      <c r="Y708" s="511"/>
      <c r="Z708" s="511"/>
      <c r="AA708" s="511"/>
      <c r="AB708" s="511"/>
      <c r="AC708" s="511"/>
      <c r="AD708" s="511"/>
      <c r="AE708" s="511"/>
      <c r="AF708" s="511"/>
      <c r="AG708" s="511"/>
      <c r="AH708" s="511"/>
      <c r="AI708" s="511"/>
      <c r="AJ708" s="511"/>
      <c r="AK708" s="511"/>
      <c r="AL708" s="511"/>
      <c r="AM708" s="511"/>
      <c r="AN708" s="511"/>
      <c r="AO708" s="511"/>
      <c r="AP708" s="511"/>
      <c r="AQ708" s="511"/>
      <c r="AR708" s="511"/>
      <c r="AS708" s="511"/>
      <c r="AT708" s="511"/>
      <c r="AU708" s="511"/>
      <c r="AV708" s="511"/>
      <c r="AW708" s="511"/>
      <c r="AX708" s="511"/>
      <c r="AY708" s="511"/>
      <c r="AZ708" s="511"/>
      <c r="BA708" s="511"/>
      <c r="BB708" s="511"/>
      <c r="BC708" s="511"/>
    </row>
    <row r="709" spans="1:55" ht="16.5" customHeight="1" x14ac:dyDescent="0.3">
      <c r="A709" s="511"/>
      <c r="B709" s="511"/>
      <c r="C709" s="511"/>
      <c r="D709" s="511"/>
      <c r="E709" s="511"/>
      <c r="F709" s="511"/>
      <c r="G709" s="511"/>
      <c r="H709" s="511"/>
      <c r="I709" s="511"/>
      <c r="J709" s="511"/>
      <c r="K709" s="511"/>
      <c r="L709" s="511"/>
      <c r="M709" s="511"/>
      <c r="N709" s="511"/>
      <c r="O709" s="511"/>
      <c r="P709" s="511"/>
      <c r="Q709" s="511"/>
      <c r="R709" s="511"/>
      <c r="S709" s="511"/>
      <c r="T709" s="511"/>
      <c r="U709" s="511"/>
      <c r="V709" s="511"/>
      <c r="W709" s="511"/>
      <c r="X709" s="511"/>
      <c r="Y709" s="511"/>
      <c r="Z709" s="511"/>
      <c r="AA709" s="511"/>
      <c r="AB709" s="511"/>
      <c r="AC709" s="511"/>
      <c r="AD709" s="511"/>
      <c r="AE709" s="511"/>
      <c r="AF709" s="511"/>
      <c r="AG709" s="511"/>
      <c r="AH709" s="511"/>
      <c r="AI709" s="511"/>
      <c r="AJ709" s="511"/>
      <c r="AK709" s="511"/>
      <c r="AL709" s="511"/>
      <c r="AM709" s="511"/>
      <c r="AN709" s="511"/>
      <c r="AO709" s="511"/>
      <c r="AP709" s="511"/>
      <c r="AQ709" s="511"/>
      <c r="AR709" s="511"/>
      <c r="AS709" s="511"/>
      <c r="AT709" s="511"/>
      <c r="AU709" s="511"/>
      <c r="AV709" s="511"/>
      <c r="AW709" s="511"/>
      <c r="AX709" s="511"/>
      <c r="AY709" s="511"/>
      <c r="AZ709" s="511"/>
      <c r="BA709" s="511"/>
      <c r="BB709" s="511"/>
      <c r="BC709" s="511"/>
    </row>
    <row r="710" spans="1:55" ht="16.5" customHeight="1" x14ac:dyDescent="0.3">
      <c r="A710" s="511"/>
      <c r="B710" s="511"/>
      <c r="C710" s="511"/>
      <c r="D710" s="511"/>
      <c r="E710" s="511"/>
      <c r="F710" s="511"/>
      <c r="G710" s="511"/>
      <c r="H710" s="511"/>
      <c r="I710" s="511"/>
      <c r="J710" s="511"/>
      <c r="K710" s="511"/>
      <c r="L710" s="511"/>
      <c r="M710" s="511"/>
      <c r="N710" s="511"/>
      <c r="O710" s="511"/>
      <c r="P710" s="511"/>
      <c r="Q710" s="511"/>
      <c r="R710" s="511"/>
      <c r="S710" s="511"/>
      <c r="T710" s="511"/>
      <c r="U710" s="511"/>
      <c r="V710" s="511"/>
      <c r="W710" s="511"/>
      <c r="X710" s="511"/>
      <c r="Y710" s="511"/>
      <c r="Z710" s="511"/>
      <c r="AA710" s="511"/>
      <c r="AB710" s="511"/>
      <c r="AC710" s="511"/>
      <c r="AD710" s="511"/>
      <c r="AE710" s="511"/>
      <c r="AF710" s="511"/>
      <c r="AG710" s="511"/>
      <c r="AH710" s="511"/>
      <c r="AI710" s="511"/>
      <c r="AJ710" s="511"/>
      <c r="AK710" s="511"/>
      <c r="AL710" s="511"/>
      <c r="AM710" s="511"/>
      <c r="AN710" s="511"/>
      <c r="AO710" s="511"/>
      <c r="AP710" s="511"/>
      <c r="AQ710" s="511"/>
      <c r="AR710" s="511"/>
      <c r="AS710" s="511"/>
      <c r="AT710" s="511"/>
      <c r="AU710" s="511"/>
      <c r="AV710" s="511"/>
      <c r="AW710" s="511"/>
      <c r="AX710" s="511"/>
      <c r="AY710" s="511"/>
      <c r="AZ710" s="511"/>
      <c r="BA710" s="511"/>
      <c r="BB710" s="511"/>
      <c r="BC710" s="511"/>
    </row>
    <row r="711" spans="1:55" ht="16.5" customHeight="1" x14ac:dyDescent="0.3">
      <c r="A711" s="511"/>
      <c r="B711" s="511"/>
      <c r="C711" s="511"/>
      <c r="D711" s="511"/>
      <c r="E711" s="511"/>
      <c r="F711" s="511"/>
      <c r="G711" s="511"/>
      <c r="H711" s="511"/>
      <c r="I711" s="511"/>
      <c r="J711" s="511"/>
      <c r="K711" s="511"/>
      <c r="L711" s="511"/>
      <c r="M711" s="511"/>
      <c r="N711" s="511"/>
      <c r="O711" s="511"/>
      <c r="P711" s="511"/>
      <c r="Q711" s="511"/>
      <c r="R711" s="511"/>
      <c r="S711" s="511"/>
      <c r="T711" s="511"/>
      <c r="U711" s="511"/>
      <c r="V711" s="511"/>
      <c r="W711" s="511"/>
      <c r="X711" s="511"/>
      <c r="Y711" s="511"/>
      <c r="Z711" s="511"/>
      <c r="AA711" s="511"/>
      <c r="AB711" s="511"/>
      <c r="AC711" s="511"/>
      <c r="AD711" s="511"/>
      <c r="AE711" s="511"/>
      <c r="AF711" s="511"/>
      <c r="AG711" s="511"/>
      <c r="AH711" s="511"/>
      <c r="AI711" s="511"/>
      <c r="AJ711" s="511"/>
      <c r="AK711" s="511"/>
      <c r="AL711" s="511"/>
      <c r="AM711" s="511"/>
      <c r="AN711" s="511"/>
      <c r="AO711" s="511"/>
      <c r="AP711" s="511"/>
      <c r="AQ711" s="511"/>
      <c r="AR711" s="511"/>
      <c r="AS711" s="511"/>
      <c r="AT711" s="511"/>
      <c r="AU711" s="511"/>
      <c r="AV711" s="511"/>
      <c r="AW711" s="511"/>
      <c r="AX711" s="511"/>
      <c r="AY711" s="511"/>
      <c r="AZ711" s="511"/>
      <c r="BA711" s="511"/>
      <c r="BB711" s="511"/>
      <c r="BC711" s="511"/>
    </row>
    <row r="712" spans="1:55" ht="16.5" customHeight="1" x14ac:dyDescent="0.3">
      <c r="A712" s="511"/>
      <c r="B712" s="511"/>
      <c r="C712" s="511"/>
      <c r="D712" s="511"/>
      <c r="E712" s="511"/>
      <c r="F712" s="511"/>
      <c r="G712" s="511"/>
      <c r="H712" s="511"/>
      <c r="I712" s="511"/>
      <c r="J712" s="511"/>
      <c r="K712" s="511"/>
      <c r="L712" s="511"/>
      <c r="M712" s="511"/>
      <c r="N712" s="511"/>
      <c r="O712" s="511"/>
      <c r="P712" s="511"/>
      <c r="Q712" s="511"/>
      <c r="R712" s="511"/>
      <c r="S712" s="511"/>
      <c r="T712" s="511"/>
      <c r="U712" s="511"/>
      <c r="V712" s="511"/>
      <c r="W712" s="511"/>
      <c r="X712" s="511"/>
      <c r="Y712" s="511"/>
      <c r="Z712" s="511"/>
      <c r="AA712" s="511"/>
      <c r="AB712" s="511"/>
      <c r="AC712" s="511"/>
      <c r="AD712" s="511"/>
      <c r="AE712" s="511"/>
      <c r="AF712" s="511"/>
      <c r="AG712" s="511"/>
      <c r="AH712" s="511"/>
      <c r="AI712" s="511"/>
      <c r="AJ712" s="511"/>
      <c r="AK712" s="511"/>
      <c r="AL712" s="511"/>
      <c r="AM712" s="511"/>
      <c r="AN712" s="511"/>
      <c r="AO712" s="511"/>
      <c r="AP712" s="511"/>
      <c r="AQ712" s="511"/>
      <c r="AR712" s="511"/>
      <c r="AS712" s="511"/>
      <c r="AT712" s="511"/>
      <c r="AU712" s="511"/>
      <c r="AV712" s="511"/>
      <c r="AW712" s="511"/>
      <c r="AX712" s="511"/>
      <c r="AY712" s="511"/>
      <c r="AZ712" s="511"/>
      <c r="BA712" s="511"/>
      <c r="BB712" s="511"/>
      <c r="BC712" s="511"/>
    </row>
    <row r="713" spans="1:55" ht="16.5" customHeight="1" x14ac:dyDescent="0.3">
      <c r="A713" s="511"/>
      <c r="B713" s="511"/>
      <c r="C713" s="511"/>
      <c r="D713" s="511"/>
      <c r="E713" s="511"/>
      <c r="F713" s="511"/>
      <c r="G713" s="511"/>
      <c r="H713" s="511"/>
      <c r="I713" s="511"/>
      <c r="J713" s="511"/>
      <c r="K713" s="511"/>
      <c r="L713" s="511"/>
      <c r="M713" s="511"/>
      <c r="N713" s="511"/>
      <c r="O713" s="511"/>
      <c r="P713" s="511"/>
      <c r="Q713" s="511"/>
      <c r="R713" s="511"/>
      <c r="S713" s="511"/>
      <c r="T713" s="511"/>
      <c r="U713" s="511"/>
      <c r="V713" s="511"/>
      <c r="W713" s="511"/>
      <c r="X713" s="511"/>
      <c r="Y713" s="511"/>
      <c r="Z713" s="511"/>
      <c r="AA713" s="511"/>
      <c r="AB713" s="511"/>
      <c r="AC713" s="511"/>
      <c r="AD713" s="511"/>
      <c r="AE713" s="511"/>
      <c r="AF713" s="511"/>
      <c r="AG713" s="511"/>
      <c r="AH713" s="511"/>
      <c r="AI713" s="511"/>
      <c r="AJ713" s="511"/>
      <c r="AK713" s="511"/>
      <c r="AL713" s="511"/>
      <c r="AM713" s="511"/>
      <c r="AN713" s="511"/>
      <c r="AO713" s="511"/>
      <c r="AP713" s="511"/>
      <c r="AQ713" s="511"/>
      <c r="AR713" s="511"/>
      <c r="AS713" s="511"/>
      <c r="AT713" s="511"/>
      <c r="AU713" s="511"/>
      <c r="AV713" s="511"/>
      <c r="AW713" s="511"/>
      <c r="AX713" s="511"/>
      <c r="AY713" s="511"/>
      <c r="AZ713" s="511"/>
      <c r="BA713" s="511"/>
      <c r="BB713" s="511"/>
      <c r="BC713" s="511"/>
    </row>
    <row r="714" spans="1:55" ht="16.5" customHeight="1" x14ac:dyDescent="0.3">
      <c r="A714" s="511"/>
      <c r="B714" s="511"/>
      <c r="C714" s="511"/>
      <c r="D714" s="511"/>
      <c r="E714" s="511"/>
      <c r="F714" s="511"/>
      <c r="G714" s="511"/>
      <c r="H714" s="511"/>
      <c r="I714" s="511"/>
      <c r="J714" s="511"/>
      <c r="K714" s="511"/>
      <c r="L714" s="511"/>
      <c r="M714" s="511"/>
      <c r="N714" s="511"/>
      <c r="O714" s="511"/>
      <c r="P714" s="511"/>
      <c r="Q714" s="511"/>
      <c r="R714" s="511"/>
      <c r="S714" s="511"/>
      <c r="T714" s="511"/>
      <c r="U714" s="511"/>
      <c r="V714" s="511"/>
      <c r="W714" s="511"/>
      <c r="X714" s="511"/>
      <c r="Y714" s="511"/>
      <c r="Z714" s="511"/>
      <c r="AA714" s="511"/>
      <c r="AB714" s="511"/>
      <c r="AC714" s="511"/>
      <c r="AD714" s="511"/>
      <c r="AE714" s="511"/>
      <c r="AF714" s="511"/>
      <c r="AG714" s="511"/>
      <c r="AH714" s="511"/>
      <c r="AI714" s="511"/>
      <c r="AJ714" s="511"/>
      <c r="AK714" s="511"/>
      <c r="AL714" s="511"/>
      <c r="AM714" s="511"/>
      <c r="AN714" s="511"/>
      <c r="AO714" s="511"/>
      <c r="AP714" s="511"/>
      <c r="AQ714" s="511"/>
      <c r="AR714" s="511"/>
      <c r="AS714" s="511"/>
      <c r="AT714" s="511"/>
      <c r="AU714" s="511"/>
      <c r="AV714" s="511"/>
      <c r="AW714" s="511"/>
      <c r="AX714" s="511"/>
      <c r="AY714" s="511"/>
      <c r="AZ714" s="511"/>
      <c r="BA714" s="511"/>
      <c r="BB714" s="511"/>
      <c r="BC714" s="511"/>
    </row>
    <row r="715" spans="1:55" ht="16.5" customHeight="1" x14ac:dyDescent="0.3">
      <c r="A715" s="511"/>
      <c r="B715" s="511"/>
      <c r="C715" s="511"/>
      <c r="D715" s="511"/>
      <c r="E715" s="511"/>
      <c r="F715" s="511"/>
      <c r="G715" s="511"/>
      <c r="H715" s="511"/>
      <c r="I715" s="511"/>
      <c r="J715" s="511"/>
      <c r="K715" s="511"/>
      <c r="L715" s="511"/>
      <c r="M715" s="511"/>
      <c r="N715" s="511"/>
      <c r="O715" s="511"/>
      <c r="P715" s="511"/>
      <c r="Q715" s="511"/>
      <c r="R715" s="511"/>
      <c r="S715" s="511"/>
      <c r="T715" s="511"/>
      <c r="U715" s="511"/>
      <c r="V715" s="511"/>
      <c r="W715" s="511"/>
      <c r="X715" s="511"/>
      <c r="Y715" s="511"/>
      <c r="Z715" s="511"/>
      <c r="AA715" s="511"/>
      <c r="AB715" s="511"/>
      <c r="AC715" s="511"/>
      <c r="AD715" s="511"/>
      <c r="AE715" s="511"/>
      <c r="AF715" s="511"/>
      <c r="AG715" s="511"/>
      <c r="AH715" s="511"/>
      <c r="AI715" s="511"/>
      <c r="AJ715" s="511"/>
      <c r="AK715" s="511"/>
      <c r="AL715" s="511"/>
      <c r="AM715" s="511"/>
      <c r="AN715" s="511"/>
      <c r="AO715" s="511"/>
      <c r="AP715" s="511"/>
      <c r="AQ715" s="511"/>
      <c r="AR715" s="511"/>
      <c r="AS715" s="511"/>
      <c r="AT715" s="511"/>
      <c r="AU715" s="511"/>
      <c r="AV715" s="511"/>
      <c r="AW715" s="511"/>
      <c r="AX715" s="511"/>
      <c r="AY715" s="511"/>
      <c r="AZ715" s="511"/>
      <c r="BA715" s="511"/>
      <c r="BB715" s="511"/>
      <c r="BC715" s="511"/>
    </row>
    <row r="716" spans="1:55" ht="16.5" customHeight="1" x14ac:dyDescent="0.3">
      <c r="A716" s="511"/>
      <c r="B716" s="511"/>
      <c r="C716" s="511"/>
      <c r="D716" s="511"/>
      <c r="E716" s="511"/>
      <c r="F716" s="511"/>
      <c r="G716" s="511"/>
      <c r="H716" s="511"/>
      <c r="I716" s="511"/>
      <c r="J716" s="511"/>
      <c r="K716" s="511"/>
      <c r="L716" s="511"/>
      <c r="M716" s="511"/>
      <c r="N716" s="511"/>
      <c r="O716" s="511"/>
      <c r="P716" s="511"/>
      <c r="Q716" s="511"/>
      <c r="R716" s="511"/>
      <c r="S716" s="511"/>
      <c r="T716" s="511"/>
      <c r="U716" s="511"/>
      <c r="V716" s="511"/>
      <c r="W716" s="511"/>
      <c r="X716" s="511"/>
      <c r="Y716" s="511"/>
      <c r="Z716" s="511"/>
      <c r="AA716" s="511"/>
      <c r="AB716" s="511"/>
      <c r="AC716" s="511"/>
      <c r="AD716" s="511"/>
      <c r="AE716" s="511"/>
      <c r="AF716" s="511"/>
      <c r="AG716" s="511"/>
      <c r="AH716" s="511"/>
      <c r="AI716" s="511"/>
      <c r="AJ716" s="511"/>
      <c r="AK716" s="511"/>
      <c r="AL716" s="511"/>
      <c r="AM716" s="511"/>
      <c r="AN716" s="511"/>
      <c r="AO716" s="511"/>
      <c r="AP716" s="511"/>
      <c r="AQ716" s="511"/>
      <c r="AR716" s="511"/>
      <c r="AS716" s="511"/>
      <c r="AT716" s="511"/>
      <c r="AU716" s="511"/>
      <c r="AV716" s="511"/>
      <c r="AW716" s="511"/>
      <c r="AX716" s="511"/>
      <c r="AY716" s="511"/>
      <c r="AZ716" s="511"/>
      <c r="BA716" s="511"/>
      <c r="BB716" s="511"/>
      <c r="BC716" s="511"/>
    </row>
    <row r="717" spans="1:55" ht="16.5" customHeight="1" x14ac:dyDescent="0.3">
      <c r="A717" s="511"/>
      <c r="B717" s="511"/>
      <c r="C717" s="511"/>
      <c r="D717" s="511"/>
      <c r="E717" s="511"/>
      <c r="F717" s="511"/>
      <c r="G717" s="511"/>
      <c r="H717" s="511"/>
      <c r="I717" s="511"/>
      <c r="J717" s="511"/>
      <c r="K717" s="511"/>
      <c r="L717" s="511"/>
      <c r="M717" s="511"/>
      <c r="N717" s="511"/>
      <c r="O717" s="511"/>
      <c r="P717" s="511"/>
      <c r="Q717" s="511"/>
      <c r="R717" s="511"/>
      <c r="S717" s="511"/>
      <c r="T717" s="511"/>
      <c r="U717" s="511"/>
      <c r="V717" s="511"/>
      <c r="W717" s="511"/>
      <c r="X717" s="511"/>
      <c r="Y717" s="511"/>
      <c r="Z717" s="511"/>
      <c r="AA717" s="511"/>
      <c r="AB717" s="511"/>
      <c r="AC717" s="511"/>
      <c r="AD717" s="511"/>
      <c r="AE717" s="511"/>
      <c r="AF717" s="511"/>
      <c r="AG717" s="511"/>
      <c r="AH717" s="511"/>
      <c r="AI717" s="511"/>
      <c r="AJ717" s="511"/>
      <c r="AK717" s="511"/>
      <c r="AL717" s="511"/>
      <c r="AM717" s="511"/>
      <c r="AN717" s="511"/>
      <c r="AO717" s="511"/>
      <c r="AP717" s="511"/>
      <c r="AQ717" s="511"/>
      <c r="AR717" s="511"/>
      <c r="AS717" s="511"/>
      <c r="AT717" s="511"/>
      <c r="AU717" s="511"/>
      <c r="AV717" s="511"/>
      <c r="AW717" s="511"/>
      <c r="AX717" s="511"/>
      <c r="AY717" s="511"/>
      <c r="AZ717" s="511"/>
      <c r="BA717" s="511"/>
      <c r="BB717" s="511"/>
      <c r="BC717" s="511"/>
    </row>
    <row r="718" spans="1:55" ht="16.5" customHeight="1" x14ac:dyDescent="0.3">
      <c r="A718" s="511"/>
      <c r="B718" s="511"/>
      <c r="C718" s="511"/>
      <c r="D718" s="511"/>
      <c r="E718" s="511"/>
      <c r="F718" s="511"/>
      <c r="G718" s="511"/>
      <c r="H718" s="511"/>
      <c r="I718" s="511"/>
      <c r="J718" s="511"/>
      <c r="K718" s="511"/>
      <c r="L718" s="511"/>
      <c r="M718" s="511"/>
      <c r="N718" s="511"/>
      <c r="O718" s="511"/>
      <c r="P718" s="511"/>
      <c r="Q718" s="511"/>
      <c r="R718" s="511"/>
      <c r="S718" s="511"/>
      <c r="T718" s="511"/>
      <c r="U718" s="511"/>
      <c r="V718" s="511"/>
      <c r="W718" s="511"/>
      <c r="X718" s="511"/>
      <c r="Y718" s="511"/>
      <c r="Z718" s="511"/>
      <c r="AA718" s="511"/>
      <c r="AB718" s="511"/>
      <c r="AC718" s="511"/>
      <c r="AD718" s="511"/>
      <c r="AE718" s="511"/>
      <c r="AF718" s="511"/>
      <c r="AG718" s="511"/>
      <c r="AH718" s="511"/>
      <c r="AI718" s="511"/>
      <c r="AJ718" s="511"/>
      <c r="AK718" s="511"/>
      <c r="AL718" s="511"/>
      <c r="AM718" s="511"/>
      <c r="AN718" s="511"/>
      <c r="AO718" s="511"/>
      <c r="AP718" s="511"/>
      <c r="AQ718" s="511"/>
      <c r="AR718" s="511"/>
      <c r="AS718" s="511"/>
      <c r="AT718" s="511"/>
      <c r="AU718" s="511"/>
      <c r="AV718" s="511"/>
      <c r="AW718" s="511"/>
      <c r="AX718" s="511"/>
      <c r="AY718" s="511"/>
      <c r="AZ718" s="511"/>
      <c r="BA718" s="511"/>
      <c r="BB718" s="511"/>
      <c r="BC718" s="511"/>
    </row>
    <row r="719" spans="1:55" ht="16.5" customHeight="1" x14ac:dyDescent="0.3">
      <c r="A719" s="511"/>
      <c r="B719" s="511"/>
      <c r="C719" s="511"/>
      <c r="D719" s="511"/>
      <c r="E719" s="511"/>
      <c r="F719" s="511"/>
      <c r="G719" s="511"/>
      <c r="H719" s="511"/>
      <c r="I719" s="511"/>
      <c r="J719" s="511"/>
      <c r="K719" s="511"/>
      <c r="L719" s="511"/>
      <c r="M719" s="511"/>
      <c r="N719" s="511"/>
      <c r="O719" s="511"/>
      <c r="P719" s="511"/>
      <c r="Q719" s="511"/>
      <c r="R719" s="511"/>
      <c r="S719" s="511"/>
      <c r="T719" s="511"/>
      <c r="U719" s="511"/>
      <c r="V719" s="511"/>
      <c r="W719" s="511"/>
      <c r="X719" s="511"/>
      <c r="Y719" s="511"/>
      <c r="Z719" s="511"/>
      <c r="AA719" s="511"/>
      <c r="AB719" s="511"/>
      <c r="AC719" s="511"/>
      <c r="AD719" s="511"/>
      <c r="AE719" s="511"/>
      <c r="AF719" s="511"/>
      <c r="AG719" s="511"/>
      <c r="AH719" s="511"/>
      <c r="AI719" s="511"/>
      <c r="AJ719" s="511"/>
      <c r="AK719" s="511"/>
      <c r="AL719" s="511"/>
      <c r="AM719" s="511"/>
      <c r="AN719" s="511"/>
      <c r="AO719" s="511"/>
      <c r="AP719" s="511"/>
      <c r="AQ719" s="511"/>
      <c r="AR719" s="511"/>
      <c r="AS719" s="511"/>
      <c r="AT719" s="511"/>
      <c r="AU719" s="511"/>
      <c r="AV719" s="511"/>
      <c r="AW719" s="511"/>
      <c r="AX719" s="511"/>
      <c r="AY719" s="511"/>
      <c r="AZ719" s="511"/>
      <c r="BA719" s="511"/>
      <c r="BB719" s="511"/>
      <c r="BC719" s="511"/>
    </row>
    <row r="720" spans="1:55" ht="16.5" customHeight="1" x14ac:dyDescent="0.3">
      <c r="A720" s="511"/>
      <c r="B720" s="511"/>
      <c r="C720" s="511"/>
      <c r="D720" s="511"/>
      <c r="E720" s="511"/>
      <c r="F720" s="511"/>
      <c r="G720" s="511"/>
      <c r="H720" s="511"/>
      <c r="I720" s="511"/>
      <c r="J720" s="511"/>
      <c r="K720" s="511"/>
      <c r="L720" s="511"/>
      <c r="M720" s="511"/>
      <c r="N720" s="511"/>
      <c r="O720" s="511"/>
      <c r="P720" s="511"/>
      <c r="Q720" s="511"/>
      <c r="R720" s="511"/>
      <c r="S720" s="511"/>
      <c r="T720" s="511"/>
      <c r="U720" s="511"/>
      <c r="V720" s="511"/>
      <c r="W720" s="511"/>
      <c r="X720" s="511"/>
      <c r="Y720" s="511"/>
      <c r="Z720" s="511"/>
      <c r="AA720" s="511"/>
      <c r="AB720" s="511"/>
      <c r="AC720" s="511"/>
      <c r="AD720" s="511"/>
      <c r="AE720" s="511"/>
      <c r="AF720" s="511"/>
      <c r="AG720" s="511"/>
      <c r="AH720" s="511"/>
      <c r="AI720" s="511"/>
      <c r="AJ720" s="511"/>
      <c r="AK720" s="511"/>
      <c r="AL720" s="511"/>
      <c r="AM720" s="511"/>
      <c r="AN720" s="511"/>
      <c r="AO720" s="511"/>
      <c r="AP720" s="511"/>
      <c r="AQ720" s="511"/>
      <c r="AR720" s="511"/>
      <c r="AS720" s="511"/>
      <c r="AT720" s="511"/>
      <c r="AU720" s="511"/>
      <c r="AV720" s="511"/>
      <c r="AW720" s="511"/>
      <c r="AX720" s="511"/>
      <c r="AY720" s="511"/>
      <c r="AZ720" s="511"/>
      <c r="BA720" s="511"/>
      <c r="BB720" s="511"/>
      <c r="BC720" s="511"/>
    </row>
    <row r="721" spans="1:55" ht="16.5" customHeight="1" x14ac:dyDescent="0.3">
      <c r="A721" s="511"/>
      <c r="B721" s="511"/>
      <c r="C721" s="511"/>
      <c r="D721" s="511"/>
      <c r="E721" s="511"/>
      <c r="F721" s="511"/>
      <c r="G721" s="511"/>
      <c r="H721" s="511"/>
      <c r="I721" s="511"/>
      <c r="J721" s="511"/>
      <c r="K721" s="511"/>
      <c r="L721" s="511"/>
      <c r="M721" s="511"/>
      <c r="N721" s="511"/>
      <c r="O721" s="511"/>
      <c r="P721" s="511"/>
      <c r="Q721" s="511"/>
      <c r="R721" s="511"/>
      <c r="S721" s="511"/>
      <c r="T721" s="511"/>
      <c r="U721" s="511"/>
      <c r="V721" s="511"/>
      <c r="W721" s="511"/>
      <c r="X721" s="511"/>
      <c r="Y721" s="511"/>
      <c r="Z721" s="511"/>
      <c r="AA721" s="511"/>
      <c r="AB721" s="511"/>
      <c r="AC721" s="511"/>
      <c r="AD721" s="511"/>
      <c r="AE721" s="511"/>
      <c r="AF721" s="511"/>
      <c r="AG721" s="511"/>
      <c r="AH721" s="511"/>
      <c r="AI721" s="511"/>
      <c r="AJ721" s="511"/>
      <c r="AK721" s="511"/>
      <c r="AL721" s="511"/>
      <c r="AM721" s="511"/>
      <c r="AN721" s="511"/>
      <c r="AO721" s="511"/>
      <c r="AP721" s="511"/>
      <c r="AQ721" s="511"/>
      <c r="AR721" s="511"/>
      <c r="AS721" s="511"/>
      <c r="AT721" s="511"/>
      <c r="AU721" s="511"/>
      <c r="AV721" s="511"/>
      <c r="AW721" s="511"/>
      <c r="AX721" s="511"/>
      <c r="AY721" s="511"/>
      <c r="AZ721" s="511"/>
      <c r="BA721" s="511"/>
      <c r="BB721" s="511"/>
      <c r="BC721" s="511"/>
    </row>
    <row r="722" spans="1:55" ht="16.5" customHeight="1" x14ac:dyDescent="0.3">
      <c r="A722" s="511"/>
      <c r="B722" s="511"/>
      <c r="C722" s="511"/>
      <c r="D722" s="511"/>
      <c r="E722" s="511"/>
      <c r="F722" s="511"/>
      <c r="G722" s="511"/>
      <c r="H722" s="511"/>
      <c r="I722" s="511"/>
      <c r="J722" s="511"/>
      <c r="K722" s="511"/>
      <c r="L722" s="511"/>
      <c r="M722" s="511"/>
      <c r="N722" s="511"/>
      <c r="O722" s="511"/>
      <c r="P722" s="511"/>
      <c r="Q722" s="511"/>
      <c r="R722" s="511"/>
      <c r="S722" s="511"/>
      <c r="T722" s="511"/>
      <c r="U722" s="511"/>
      <c r="V722" s="511"/>
      <c r="W722" s="511"/>
      <c r="X722" s="511"/>
      <c r="Y722" s="511"/>
      <c r="Z722" s="511"/>
      <c r="AA722" s="511"/>
      <c r="AB722" s="511"/>
      <c r="AC722" s="511"/>
      <c r="AD722" s="511"/>
      <c r="AE722" s="511"/>
      <c r="AF722" s="511"/>
      <c r="AG722" s="511"/>
      <c r="AH722" s="511"/>
      <c r="AI722" s="511"/>
      <c r="AJ722" s="511"/>
      <c r="AK722" s="511"/>
      <c r="AL722" s="511"/>
      <c r="AM722" s="511"/>
      <c r="AN722" s="511"/>
      <c r="AO722" s="511"/>
      <c r="AP722" s="511"/>
      <c r="AQ722" s="511"/>
      <c r="AR722" s="511"/>
      <c r="AS722" s="511"/>
      <c r="AT722" s="511"/>
      <c r="AU722" s="511"/>
      <c r="AV722" s="511"/>
      <c r="AW722" s="511"/>
      <c r="AX722" s="511"/>
      <c r="AY722" s="511"/>
      <c r="AZ722" s="511"/>
      <c r="BA722" s="511"/>
      <c r="BB722" s="511"/>
      <c r="BC722" s="511"/>
    </row>
    <row r="723" spans="1:55" ht="16.5" customHeight="1" x14ac:dyDescent="0.3">
      <c r="A723" s="511"/>
      <c r="B723" s="511"/>
      <c r="C723" s="511"/>
      <c r="D723" s="511"/>
      <c r="E723" s="511"/>
      <c r="F723" s="511"/>
      <c r="G723" s="511"/>
      <c r="H723" s="511"/>
      <c r="I723" s="511"/>
      <c r="J723" s="511"/>
      <c r="K723" s="511"/>
      <c r="L723" s="511"/>
      <c r="M723" s="511"/>
      <c r="N723" s="511"/>
      <c r="O723" s="511"/>
      <c r="P723" s="511"/>
      <c r="Q723" s="511"/>
      <c r="R723" s="511"/>
      <c r="S723" s="511"/>
      <c r="T723" s="511"/>
      <c r="U723" s="511"/>
      <c r="V723" s="511"/>
      <c r="W723" s="511"/>
      <c r="X723" s="511"/>
      <c r="Y723" s="511"/>
      <c r="Z723" s="511"/>
      <c r="AA723" s="511"/>
      <c r="AB723" s="511"/>
      <c r="AC723" s="511"/>
      <c r="AD723" s="511"/>
      <c r="AE723" s="511"/>
      <c r="AF723" s="511"/>
      <c r="AG723" s="511"/>
      <c r="AH723" s="511"/>
      <c r="AI723" s="511"/>
      <c r="AJ723" s="511"/>
      <c r="AK723" s="511"/>
      <c r="AL723" s="511"/>
      <c r="AM723" s="511"/>
      <c r="AN723" s="511"/>
      <c r="AO723" s="511"/>
      <c r="AP723" s="511"/>
      <c r="AQ723" s="511"/>
      <c r="AR723" s="511"/>
      <c r="AS723" s="511"/>
      <c r="AT723" s="511"/>
      <c r="AU723" s="511"/>
      <c r="AV723" s="511"/>
      <c r="AW723" s="511"/>
      <c r="AX723" s="511"/>
      <c r="AY723" s="511"/>
      <c r="AZ723" s="511"/>
      <c r="BA723" s="511"/>
      <c r="BB723" s="511"/>
      <c r="BC723" s="511"/>
    </row>
    <row r="724" spans="1:55" ht="16.5" customHeight="1" x14ac:dyDescent="0.3">
      <c r="A724" s="511"/>
      <c r="B724" s="511"/>
      <c r="C724" s="511"/>
      <c r="D724" s="511"/>
      <c r="E724" s="511"/>
      <c r="F724" s="511"/>
      <c r="G724" s="511"/>
      <c r="H724" s="511"/>
      <c r="I724" s="511"/>
      <c r="J724" s="511"/>
      <c r="K724" s="511"/>
      <c r="L724" s="511"/>
      <c r="M724" s="511"/>
      <c r="N724" s="511"/>
      <c r="O724" s="511"/>
      <c r="P724" s="511"/>
      <c r="Q724" s="511"/>
      <c r="R724" s="511"/>
      <c r="S724" s="511"/>
      <c r="T724" s="511"/>
      <c r="U724" s="511"/>
      <c r="V724" s="511"/>
      <c r="W724" s="511"/>
      <c r="X724" s="511"/>
      <c r="Y724" s="511"/>
      <c r="Z724" s="511"/>
      <c r="AA724" s="511"/>
      <c r="AB724" s="511"/>
      <c r="AC724" s="511"/>
      <c r="AD724" s="511"/>
      <c r="AE724" s="511"/>
      <c r="AF724" s="511"/>
      <c r="AG724" s="511"/>
      <c r="AH724" s="511"/>
      <c r="AI724" s="511"/>
      <c r="AJ724" s="511"/>
      <c r="AK724" s="511"/>
      <c r="AL724" s="511"/>
      <c r="AM724" s="511"/>
      <c r="AN724" s="511"/>
      <c r="AO724" s="511"/>
      <c r="AP724" s="511"/>
      <c r="AQ724" s="511"/>
      <c r="AR724" s="511"/>
      <c r="AS724" s="511"/>
      <c r="AT724" s="511"/>
      <c r="AU724" s="511"/>
      <c r="AV724" s="511"/>
      <c r="AW724" s="511"/>
      <c r="AX724" s="511"/>
      <c r="AY724" s="511"/>
      <c r="AZ724" s="511"/>
      <c r="BA724" s="511"/>
      <c r="BB724" s="511"/>
      <c r="BC724" s="511"/>
    </row>
    <row r="725" spans="1:55" ht="16.5" customHeight="1" x14ac:dyDescent="0.3">
      <c r="A725" s="511"/>
      <c r="B725" s="511"/>
      <c r="C725" s="511"/>
      <c r="D725" s="511"/>
      <c r="E725" s="511"/>
      <c r="F725" s="511"/>
      <c r="G725" s="511"/>
      <c r="H725" s="511"/>
      <c r="I725" s="511"/>
      <c r="J725" s="511"/>
      <c r="K725" s="511"/>
      <c r="L725" s="511"/>
      <c r="M725" s="511"/>
      <c r="N725" s="511"/>
      <c r="O725" s="511"/>
      <c r="P725" s="511"/>
      <c r="Q725" s="511"/>
      <c r="R725" s="511"/>
      <c r="S725" s="511"/>
      <c r="T725" s="511"/>
      <c r="U725" s="511"/>
      <c r="V725" s="511"/>
      <c r="W725" s="511"/>
      <c r="X725" s="511"/>
      <c r="Y725" s="511"/>
      <c r="Z725" s="511"/>
      <c r="AA725" s="511"/>
      <c r="AB725" s="511"/>
      <c r="AC725" s="511"/>
      <c r="AD725" s="511"/>
      <c r="AE725" s="511"/>
      <c r="AF725" s="511"/>
      <c r="AG725" s="511"/>
      <c r="AH725" s="511"/>
      <c r="AI725" s="511"/>
      <c r="AJ725" s="511"/>
      <c r="AK725" s="511"/>
      <c r="AL725" s="511"/>
      <c r="AM725" s="511"/>
      <c r="AN725" s="511"/>
      <c r="AO725" s="511"/>
      <c r="AP725" s="511"/>
      <c r="AQ725" s="511"/>
      <c r="AR725" s="511"/>
      <c r="AS725" s="511"/>
      <c r="AT725" s="511"/>
      <c r="AU725" s="511"/>
      <c r="AV725" s="511"/>
      <c r="AW725" s="511"/>
      <c r="AX725" s="511"/>
      <c r="AY725" s="511"/>
      <c r="AZ725" s="511"/>
      <c r="BA725" s="511"/>
      <c r="BB725" s="511"/>
      <c r="BC725" s="511"/>
    </row>
    <row r="726" spans="1:55" ht="16.5" customHeight="1" x14ac:dyDescent="0.3">
      <c r="A726" s="511"/>
      <c r="B726" s="511"/>
      <c r="C726" s="511"/>
      <c r="D726" s="511"/>
      <c r="E726" s="511"/>
      <c r="F726" s="511"/>
      <c r="G726" s="511"/>
      <c r="H726" s="511"/>
      <c r="I726" s="511"/>
      <c r="J726" s="511"/>
      <c r="K726" s="511"/>
      <c r="L726" s="511"/>
      <c r="M726" s="511"/>
      <c r="N726" s="511"/>
      <c r="O726" s="511"/>
      <c r="P726" s="511"/>
      <c r="Q726" s="511"/>
      <c r="R726" s="511"/>
      <c r="S726" s="511"/>
      <c r="T726" s="511"/>
      <c r="U726" s="511"/>
      <c r="V726" s="511"/>
      <c r="W726" s="511"/>
      <c r="X726" s="511"/>
      <c r="Y726" s="511"/>
      <c r="Z726" s="511"/>
      <c r="AA726" s="511"/>
      <c r="AB726" s="511"/>
      <c r="AC726" s="511"/>
      <c r="AD726" s="511"/>
      <c r="AE726" s="511"/>
      <c r="AF726" s="511"/>
      <c r="AG726" s="511"/>
      <c r="AH726" s="511"/>
      <c r="AI726" s="511"/>
      <c r="AJ726" s="511"/>
      <c r="AK726" s="511"/>
      <c r="AL726" s="511"/>
      <c r="AM726" s="511"/>
      <c r="AN726" s="511"/>
      <c r="AO726" s="511"/>
      <c r="AP726" s="511"/>
      <c r="AQ726" s="511"/>
      <c r="AR726" s="511"/>
      <c r="AS726" s="511"/>
      <c r="AT726" s="511"/>
      <c r="AU726" s="511"/>
      <c r="AV726" s="511"/>
      <c r="AW726" s="511"/>
      <c r="AX726" s="511"/>
      <c r="AY726" s="511"/>
      <c r="AZ726" s="511"/>
      <c r="BA726" s="511"/>
      <c r="BB726" s="511"/>
      <c r="BC726" s="511"/>
    </row>
    <row r="727" spans="1:55" ht="16.5" customHeight="1" x14ac:dyDescent="0.3">
      <c r="A727" s="511"/>
      <c r="B727" s="511"/>
      <c r="C727" s="511"/>
      <c r="D727" s="511"/>
      <c r="E727" s="511"/>
      <c r="F727" s="511"/>
      <c r="G727" s="511"/>
      <c r="H727" s="511"/>
      <c r="I727" s="511"/>
      <c r="J727" s="511"/>
      <c r="K727" s="511"/>
      <c r="L727" s="511"/>
      <c r="M727" s="511"/>
      <c r="N727" s="511"/>
      <c r="O727" s="511"/>
      <c r="P727" s="511"/>
      <c r="Q727" s="511"/>
      <c r="R727" s="511"/>
      <c r="S727" s="511"/>
      <c r="T727" s="511"/>
      <c r="U727" s="511"/>
      <c r="V727" s="511"/>
      <c r="W727" s="511"/>
      <c r="X727" s="511"/>
      <c r="Y727" s="511"/>
      <c r="Z727" s="511"/>
      <c r="AA727" s="511"/>
      <c r="AB727" s="511"/>
      <c r="AC727" s="511"/>
      <c r="AD727" s="511"/>
      <c r="AE727" s="511"/>
      <c r="AF727" s="511"/>
      <c r="AG727" s="511"/>
      <c r="AH727" s="511"/>
      <c r="AI727" s="511"/>
      <c r="AJ727" s="511"/>
      <c r="AK727" s="511"/>
      <c r="AL727" s="511"/>
      <c r="AM727" s="511"/>
      <c r="AN727" s="511"/>
      <c r="AO727" s="511"/>
      <c r="AP727" s="511"/>
      <c r="AQ727" s="511"/>
      <c r="AR727" s="511"/>
      <c r="AS727" s="511"/>
      <c r="AT727" s="511"/>
      <c r="AU727" s="511"/>
      <c r="AV727" s="511"/>
      <c r="AW727" s="511"/>
      <c r="AX727" s="511"/>
      <c r="AY727" s="511"/>
      <c r="AZ727" s="511"/>
      <c r="BA727" s="511"/>
      <c r="BB727" s="511"/>
      <c r="BC727" s="511"/>
    </row>
    <row r="728" spans="1:55" ht="16.5" customHeight="1" x14ac:dyDescent="0.3">
      <c r="A728" s="511"/>
      <c r="B728" s="511"/>
      <c r="C728" s="511"/>
      <c r="D728" s="511"/>
      <c r="E728" s="511"/>
      <c r="F728" s="511"/>
      <c r="G728" s="511"/>
      <c r="H728" s="511"/>
      <c r="I728" s="511"/>
      <c r="J728" s="511"/>
      <c r="K728" s="511"/>
      <c r="L728" s="511"/>
      <c r="M728" s="511"/>
      <c r="N728" s="511"/>
      <c r="O728" s="511"/>
      <c r="P728" s="511"/>
      <c r="Q728" s="511"/>
      <c r="R728" s="511"/>
      <c r="S728" s="511"/>
      <c r="T728" s="511"/>
      <c r="U728" s="511"/>
      <c r="V728" s="511"/>
      <c r="W728" s="511"/>
      <c r="X728" s="511"/>
      <c r="Y728" s="511"/>
      <c r="Z728" s="511"/>
      <c r="AA728" s="511"/>
      <c r="AB728" s="511"/>
      <c r="AC728" s="511"/>
      <c r="AD728" s="511"/>
      <c r="AE728" s="511"/>
      <c r="AF728" s="511"/>
      <c r="AG728" s="511"/>
      <c r="AH728" s="511"/>
      <c r="AI728" s="511"/>
      <c r="AJ728" s="511"/>
      <c r="AK728" s="511"/>
      <c r="AL728" s="511"/>
      <c r="AM728" s="511"/>
      <c r="AN728" s="511"/>
      <c r="AO728" s="511"/>
      <c r="AP728" s="511"/>
      <c r="AQ728" s="511"/>
      <c r="AR728" s="511"/>
      <c r="AS728" s="511"/>
      <c r="AT728" s="511"/>
      <c r="AU728" s="511"/>
      <c r="AV728" s="511"/>
      <c r="AW728" s="511"/>
      <c r="AX728" s="511"/>
      <c r="AY728" s="511"/>
      <c r="AZ728" s="511"/>
      <c r="BA728" s="511"/>
      <c r="BB728" s="511"/>
      <c r="BC728" s="511"/>
    </row>
    <row r="729" spans="1:55" ht="16.5" customHeight="1" x14ac:dyDescent="0.3">
      <c r="A729" s="511"/>
      <c r="B729" s="511"/>
      <c r="C729" s="511"/>
      <c r="D729" s="511"/>
      <c r="E729" s="511"/>
      <c r="F729" s="511"/>
      <c r="G729" s="511"/>
      <c r="H729" s="511"/>
      <c r="I729" s="511"/>
      <c r="J729" s="511"/>
      <c r="K729" s="511"/>
      <c r="L729" s="511"/>
      <c r="M729" s="511"/>
      <c r="N729" s="511"/>
      <c r="O729" s="511"/>
      <c r="P729" s="511"/>
      <c r="Q729" s="511"/>
      <c r="R729" s="511"/>
      <c r="S729" s="511"/>
      <c r="T729" s="511"/>
      <c r="U729" s="511"/>
      <c r="V729" s="511"/>
      <c r="W729" s="511"/>
      <c r="X729" s="511"/>
      <c r="Y729" s="511"/>
      <c r="Z729" s="511"/>
      <c r="AA729" s="511"/>
      <c r="AB729" s="511"/>
      <c r="AC729" s="511"/>
      <c r="AD729" s="511"/>
      <c r="AE729" s="511"/>
      <c r="AF729" s="511"/>
      <c r="AG729" s="511"/>
      <c r="AH729" s="511"/>
      <c r="AI729" s="511"/>
      <c r="AJ729" s="511"/>
      <c r="AK729" s="511"/>
      <c r="AL729" s="511"/>
      <c r="AM729" s="511"/>
      <c r="AN729" s="511"/>
      <c r="AO729" s="511"/>
      <c r="AP729" s="511"/>
      <c r="AQ729" s="511"/>
      <c r="AR729" s="511"/>
      <c r="AS729" s="511"/>
      <c r="AT729" s="511"/>
      <c r="AU729" s="511"/>
      <c r="AV729" s="511"/>
      <c r="AW729" s="511"/>
      <c r="AX729" s="511"/>
      <c r="AY729" s="511"/>
      <c r="AZ729" s="511"/>
      <c r="BA729" s="511"/>
      <c r="BB729" s="511"/>
      <c r="BC729" s="511"/>
    </row>
    <row r="730" spans="1:55" ht="16.5" customHeight="1" x14ac:dyDescent="0.3">
      <c r="A730" s="511"/>
      <c r="B730" s="511"/>
      <c r="C730" s="511"/>
      <c r="D730" s="511"/>
      <c r="E730" s="511"/>
      <c r="F730" s="511"/>
      <c r="G730" s="511"/>
      <c r="H730" s="511"/>
      <c r="I730" s="511"/>
      <c r="J730" s="511"/>
      <c r="K730" s="511"/>
      <c r="L730" s="511"/>
      <c r="M730" s="511"/>
      <c r="N730" s="511"/>
      <c r="O730" s="511"/>
      <c r="P730" s="511"/>
      <c r="Q730" s="511"/>
      <c r="R730" s="511"/>
      <c r="S730" s="511"/>
      <c r="T730" s="511"/>
      <c r="U730" s="511"/>
      <c r="V730" s="511"/>
      <c r="W730" s="511"/>
      <c r="X730" s="511"/>
      <c r="Y730" s="511"/>
      <c r="Z730" s="511"/>
      <c r="AA730" s="511"/>
      <c r="AB730" s="511"/>
      <c r="AC730" s="511"/>
      <c r="AD730" s="511"/>
      <c r="AE730" s="511"/>
      <c r="AF730" s="511"/>
      <c r="AG730" s="511"/>
      <c r="AH730" s="511"/>
      <c r="AI730" s="511"/>
      <c r="AJ730" s="511"/>
      <c r="AK730" s="511"/>
      <c r="AL730" s="511"/>
      <c r="AM730" s="511"/>
      <c r="AN730" s="511"/>
      <c r="AO730" s="511"/>
      <c r="AP730" s="511"/>
      <c r="AQ730" s="511"/>
      <c r="AR730" s="511"/>
      <c r="AS730" s="511"/>
      <c r="AT730" s="511"/>
      <c r="AU730" s="511"/>
      <c r="AV730" s="511"/>
      <c r="AW730" s="511"/>
      <c r="AX730" s="511"/>
      <c r="AY730" s="511"/>
      <c r="AZ730" s="511"/>
      <c r="BA730" s="511"/>
      <c r="BB730" s="511"/>
      <c r="BC730" s="511"/>
    </row>
    <row r="731" spans="1:55" ht="16.5" customHeight="1" x14ac:dyDescent="0.3">
      <c r="A731" s="511"/>
      <c r="B731" s="511"/>
      <c r="C731" s="511"/>
      <c r="D731" s="511"/>
      <c r="E731" s="511"/>
      <c r="F731" s="511"/>
      <c r="G731" s="511"/>
      <c r="H731" s="511"/>
      <c r="I731" s="511"/>
      <c r="J731" s="511"/>
      <c r="K731" s="511"/>
      <c r="L731" s="511"/>
      <c r="M731" s="511"/>
      <c r="N731" s="511"/>
      <c r="O731" s="511"/>
      <c r="P731" s="511"/>
      <c r="Q731" s="511"/>
      <c r="R731" s="511"/>
      <c r="S731" s="511"/>
      <c r="T731" s="511"/>
      <c r="U731" s="511"/>
      <c r="V731" s="511"/>
      <c r="W731" s="511"/>
      <c r="X731" s="511"/>
      <c r="Y731" s="511"/>
      <c r="Z731" s="511"/>
      <c r="AA731" s="511"/>
      <c r="AB731" s="511"/>
      <c r="AC731" s="511"/>
      <c r="AD731" s="511"/>
      <c r="AE731" s="511"/>
      <c r="AF731" s="511"/>
      <c r="AG731" s="511"/>
      <c r="AH731" s="511"/>
      <c r="AI731" s="511"/>
      <c r="AJ731" s="511"/>
      <c r="AK731" s="511"/>
      <c r="AL731" s="511"/>
      <c r="AM731" s="511"/>
      <c r="AN731" s="511"/>
      <c r="AO731" s="511"/>
      <c r="AP731" s="511"/>
      <c r="AQ731" s="511"/>
      <c r="AR731" s="511"/>
      <c r="AS731" s="511"/>
      <c r="AT731" s="511"/>
      <c r="AU731" s="511"/>
      <c r="AV731" s="511"/>
      <c r="AW731" s="511"/>
      <c r="AX731" s="511"/>
      <c r="AY731" s="511"/>
      <c r="AZ731" s="511"/>
      <c r="BA731" s="511"/>
      <c r="BB731" s="511"/>
      <c r="BC731" s="511"/>
    </row>
    <row r="732" spans="1:55" ht="16.5" customHeight="1" x14ac:dyDescent="0.3">
      <c r="A732" s="511"/>
      <c r="B732" s="511"/>
      <c r="C732" s="511"/>
      <c r="D732" s="511"/>
      <c r="E732" s="511"/>
      <c r="F732" s="511"/>
      <c r="G732" s="511"/>
      <c r="H732" s="511"/>
      <c r="I732" s="511"/>
      <c r="J732" s="511"/>
      <c r="K732" s="511"/>
      <c r="L732" s="511"/>
      <c r="M732" s="511"/>
      <c r="N732" s="511"/>
      <c r="O732" s="511"/>
      <c r="P732" s="511"/>
      <c r="Q732" s="511"/>
      <c r="R732" s="511"/>
      <c r="S732" s="511"/>
      <c r="T732" s="511"/>
      <c r="U732" s="511"/>
      <c r="V732" s="511"/>
      <c r="W732" s="511"/>
      <c r="X732" s="511"/>
      <c r="Y732" s="511"/>
      <c r="Z732" s="511"/>
      <c r="AA732" s="511"/>
      <c r="AB732" s="511"/>
      <c r="AC732" s="511"/>
      <c r="AD732" s="511"/>
      <c r="AE732" s="511"/>
      <c r="AF732" s="511"/>
      <c r="AG732" s="511"/>
      <c r="AH732" s="511"/>
      <c r="AI732" s="511"/>
      <c r="AJ732" s="511"/>
      <c r="AK732" s="511"/>
      <c r="AL732" s="511"/>
      <c r="AM732" s="511"/>
      <c r="AN732" s="511"/>
      <c r="AO732" s="511"/>
      <c r="AP732" s="511"/>
      <c r="AQ732" s="511"/>
      <c r="AR732" s="511"/>
      <c r="AS732" s="511"/>
      <c r="AT732" s="511"/>
      <c r="AU732" s="511"/>
      <c r="AV732" s="511"/>
      <c r="AW732" s="511"/>
      <c r="AX732" s="511"/>
      <c r="AY732" s="511"/>
      <c r="AZ732" s="511"/>
      <c r="BA732" s="511"/>
      <c r="BB732" s="511"/>
      <c r="BC732" s="511"/>
    </row>
    <row r="733" spans="1:55" ht="16.5" customHeight="1" x14ac:dyDescent="0.3">
      <c r="A733" s="511"/>
      <c r="B733" s="511"/>
      <c r="C733" s="511"/>
      <c r="D733" s="511"/>
      <c r="E733" s="511"/>
      <c r="F733" s="511"/>
      <c r="G733" s="511"/>
      <c r="H733" s="511"/>
      <c r="I733" s="511"/>
      <c r="J733" s="511"/>
      <c r="K733" s="511"/>
      <c r="L733" s="511"/>
      <c r="M733" s="511"/>
      <c r="N733" s="511"/>
      <c r="O733" s="511"/>
      <c r="P733" s="511"/>
      <c r="Q733" s="511"/>
      <c r="R733" s="511"/>
      <c r="S733" s="511"/>
      <c r="T733" s="511"/>
      <c r="U733" s="511"/>
      <c r="V733" s="511"/>
      <c r="W733" s="511"/>
      <c r="X733" s="511"/>
      <c r="Y733" s="511"/>
      <c r="Z733" s="511"/>
      <c r="AA733" s="511"/>
      <c r="AB733" s="511"/>
      <c r="AC733" s="511"/>
      <c r="AD733" s="511"/>
      <c r="AE733" s="511"/>
      <c r="AF733" s="511"/>
      <c r="AG733" s="511"/>
      <c r="AH733" s="511"/>
      <c r="AI733" s="511"/>
      <c r="AJ733" s="511"/>
      <c r="AK733" s="511"/>
      <c r="AL733" s="511"/>
      <c r="AM733" s="511"/>
      <c r="AN733" s="511"/>
      <c r="AO733" s="511"/>
      <c r="AP733" s="511"/>
      <c r="AQ733" s="511"/>
      <c r="AR733" s="511"/>
      <c r="AS733" s="511"/>
      <c r="AT733" s="511"/>
      <c r="AU733" s="511"/>
      <c r="AV733" s="511"/>
      <c r="AW733" s="511"/>
      <c r="AX733" s="511"/>
      <c r="AY733" s="511"/>
      <c r="AZ733" s="511"/>
      <c r="BA733" s="511"/>
      <c r="BB733" s="511"/>
      <c r="BC733" s="511"/>
    </row>
    <row r="734" spans="1:55" ht="16.5" customHeight="1" x14ac:dyDescent="0.3">
      <c r="A734" s="511"/>
      <c r="B734" s="511"/>
      <c r="C734" s="511"/>
      <c r="D734" s="511"/>
      <c r="E734" s="511"/>
      <c r="F734" s="511"/>
      <c r="G734" s="511"/>
      <c r="H734" s="511"/>
      <c r="I734" s="511"/>
      <c r="J734" s="511"/>
      <c r="K734" s="511"/>
      <c r="L734" s="511"/>
      <c r="M734" s="511"/>
      <c r="N734" s="511"/>
      <c r="O734" s="511"/>
      <c r="P734" s="511"/>
      <c r="Q734" s="511"/>
      <c r="R734" s="511"/>
      <c r="S734" s="511"/>
      <c r="T734" s="511"/>
      <c r="U734" s="511"/>
      <c r="V734" s="511"/>
      <c r="W734" s="511"/>
      <c r="X734" s="511"/>
      <c r="Y734" s="511"/>
      <c r="Z734" s="511"/>
      <c r="AA734" s="511"/>
      <c r="AB734" s="511"/>
      <c r="AC734" s="511"/>
      <c r="AD734" s="511"/>
      <c r="AE734" s="511"/>
      <c r="AF734" s="511"/>
      <c r="AG734" s="511"/>
      <c r="AH734" s="511"/>
      <c r="AI734" s="511"/>
      <c r="AJ734" s="511"/>
      <c r="AK734" s="511"/>
      <c r="AL734" s="511"/>
      <c r="AM734" s="511"/>
      <c r="AN734" s="511"/>
      <c r="AO734" s="511"/>
      <c r="AP734" s="511"/>
      <c r="AQ734" s="511"/>
      <c r="AR734" s="511"/>
      <c r="AS734" s="511"/>
      <c r="AT734" s="511"/>
      <c r="AU734" s="511"/>
      <c r="AV734" s="511"/>
      <c r="AW734" s="511"/>
      <c r="AX734" s="511"/>
      <c r="AY734" s="511"/>
      <c r="AZ734" s="511"/>
      <c r="BA734" s="511"/>
      <c r="BB734" s="511"/>
      <c r="BC734" s="511"/>
    </row>
    <row r="735" spans="1:55" ht="16.5" customHeight="1" x14ac:dyDescent="0.3">
      <c r="A735" s="511"/>
      <c r="B735" s="511"/>
      <c r="C735" s="511"/>
      <c r="D735" s="511"/>
      <c r="E735" s="511"/>
      <c r="F735" s="511"/>
      <c r="G735" s="511"/>
      <c r="H735" s="511"/>
      <c r="I735" s="511"/>
      <c r="J735" s="511"/>
      <c r="K735" s="511"/>
      <c r="L735" s="511"/>
      <c r="M735" s="511"/>
      <c r="N735" s="511"/>
      <c r="O735" s="511"/>
      <c r="P735" s="511"/>
      <c r="Q735" s="511"/>
      <c r="R735" s="511"/>
      <c r="S735" s="511"/>
      <c r="T735" s="511"/>
      <c r="U735" s="511"/>
      <c r="V735" s="511"/>
      <c r="W735" s="511"/>
      <c r="X735" s="511"/>
      <c r="Y735" s="511"/>
      <c r="Z735" s="511"/>
      <c r="AA735" s="511"/>
      <c r="AB735" s="511"/>
      <c r="AC735" s="511"/>
      <c r="AD735" s="511"/>
      <c r="AE735" s="511"/>
      <c r="AF735" s="511"/>
      <c r="AG735" s="511"/>
      <c r="AH735" s="511"/>
      <c r="AI735" s="511"/>
      <c r="AJ735" s="511"/>
      <c r="AK735" s="511"/>
      <c r="AL735" s="511"/>
      <c r="AM735" s="511"/>
      <c r="AN735" s="511"/>
      <c r="AO735" s="511"/>
      <c r="AP735" s="511"/>
      <c r="AQ735" s="511"/>
      <c r="AR735" s="511"/>
      <c r="AS735" s="511"/>
      <c r="AT735" s="511"/>
      <c r="AU735" s="511"/>
      <c r="AV735" s="511"/>
      <c r="AW735" s="511"/>
      <c r="AX735" s="511"/>
      <c r="AY735" s="511"/>
      <c r="AZ735" s="511"/>
      <c r="BA735" s="511"/>
      <c r="BB735" s="511"/>
      <c r="BC735" s="511"/>
    </row>
    <row r="736" spans="1:55" ht="16.5" customHeight="1" x14ac:dyDescent="0.3">
      <c r="A736" s="511"/>
      <c r="B736" s="511"/>
      <c r="C736" s="511"/>
      <c r="D736" s="511"/>
      <c r="E736" s="511"/>
      <c r="F736" s="511"/>
      <c r="G736" s="511"/>
      <c r="H736" s="511"/>
      <c r="I736" s="511"/>
      <c r="J736" s="511"/>
      <c r="K736" s="511"/>
      <c r="L736" s="511"/>
      <c r="M736" s="511"/>
      <c r="N736" s="511"/>
      <c r="O736" s="511"/>
      <c r="P736" s="511"/>
      <c r="Q736" s="511"/>
      <c r="R736" s="511"/>
      <c r="S736" s="511"/>
      <c r="T736" s="511"/>
      <c r="U736" s="511"/>
      <c r="V736" s="511"/>
      <c r="W736" s="511"/>
      <c r="X736" s="511"/>
      <c r="Y736" s="511"/>
      <c r="Z736" s="511"/>
      <c r="AA736" s="511"/>
      <c r="AB736" s="511"/>
      <c r="AC736" s="511"/>
      <c r="AD736" s="511"/>
      <c r="AE736" s="511"/>
      <c r="AF736" s="511"/>
      <c r="AG736" s="511"/>
      <c r="AH736" s="511"/>
      <c r="AI736" s="511"/>
      <c r="AJ736" s="511"/>
      <c r="AK736" s="511"/>
      <c r="AL736" s="511"/>
      <c r="AM736" s="511"/>
      <c r="AN736" s="511"/>
      <c r="AO736" s="511"/>
      <c r="AP736" s="511"/>
      <c r="AQ736" s="511"/>
      <c r="AR736" s="511"/>
      <c r="AS736" s="511"/>
      <c r="AT736" s="511"/>
      <c r="AU736" s="511"/>
      <c r="AV736" s="511"/>
      <c r="AW736" s="511"/>
      <c r="AX736" s="511"/>
      <c r="AY736" s="511"/>
      <c r="AZ736" s="511"/>
      <c r="BA736" s="511"/>
      <c r="BB736" s="511"/>
      <c r="BC736" s="511"/>
    </row>
    <row r="737" spans="1:55" ht="16.5" customHeight="1" x14ac:dyDescent="0.3">
      <c r="A737" s="511"/>
      <c r="B737" s="511"/>
      <c r="C737" s="511"/>
      <c r="D737" s="511"/>
      <c r="E737" s="511"/>
      <c r="F737" s="511"/>
      <c r="G737" s="511"/>
      <c r="H737" s="511"/>
      <c r="I737" s="511"/>
      <c r="J737" s="511"/>
      <c r="K737" s="511"/>
      <c r="L737" s="511"/>
      <c r="M737" s="511"/>
      <c r="N737" s="511"/>
      <c r="O737" s="511"/>
      <c r="P737" s="511"/>
      <c r="Q737" s="511"/>
      <c r="R737" s="511"/>
      <c r="S737" s="511"/>
      <c r="T737" s="511"/>
      <c r="U737" s="511"/>
      <c r="V737" s="511"/>
      <c r="W737" s="511"/>
      <c r="X737" s="511"/>
      <c r="Y737" s="511"/>
      <c r="Z737" s="511"/>
      <c r="AA737" s="511"/>
      <c r="AB737" s="511"/>
      <c r="AC737" s="511"/>
      <c r="AD737" s="511"/>
      <c r="AE737" s="511"/>
      <c r="AF737" s="511"/>
      <c r="AG737" s="511"/>
      <c r="AH737" s="511"/>
      <c r="AI737" s="511"/>
      <c r="AJ737" s="511"/>
      <c r="AK737" s="511"/>
      <c r="AL737" s="511"/>
      <c r="AM737" s="511"/>
      <c r="AN737" s="511"/>
      <c r="AO737" s="511"/>
      <c r="AP737" s="511"/>
      <c r="AQ737" s="511"/>
      <c r="AR737" s="511"/>
      <c r="AS737" s="511"/>
      <c r="AT737" s="511"/>
      <c r="AU737" s="511"/>
      <c r="AV737" s="511"/>
      <c r="AW737" s="511"/>
      <c r="AX737" s="511"/>
      <c r="AY737" s="511"/>
      <c r="AZ737" s="511"/>
      <c r="BA737" s="511"/>
      <c r="BB737" s="511"/>
      <c r="BC737" s="511"/>
    </row>
    <row r="738" spans="1:55" ht="16.5" customHeight="1" x14ac:dyDescent="0.3">
      <c r="A738" s="511"/>
      <c r="B738" s="511"/>
      <c r="C738" s="511"/>
      <c r="D738" s="511"/>
      <c r="E738" s="511"/>
      <c r="F738" s="511"/>
      <c r="G738" s="511"/>
      <c r="H738" s="511"/>
      <c r="I738" s="511"/>
      <c r="J738" s="511"/>
      <c r="K738" s="511"/>
      <c r="L738" s="511"/>
      <c r="M738" s="511"/>
      <c r="N738" s="511"/>
      <c r="O738" s="511"/>
      <c r="P738" s="511"/>
      <c r="Q738" s="511"/>
      <c r="R738" s="511"/>
      <c r="S738" s="511"/>
      <c r="T738" s="511"/>
      <c r="U738" s="511"/>
      <c r="V738" s="511"/>
      <c r="W738" s="511"/>
      <c r="X738" s="511"/>
      <c r="Y738" s="511"/>
      <c r="Z738" s="511"/>
      <c r="AA738" s="511"/>
      <c r="AB738" s="511"/>
      <c r="AC738" s="511"/>
      <c r="AD738" s="511"/>
      <c r="AE738" s="511"/>
      <c r="AF738" s="511"/>
      <c r="AG738" s="511"/>
      <c r="AH738" s="511"/>
      <c r="AI738" s="511"/>
      <c r="AJ738" s="511"/>
      <c r="AK738" s="511"/>
      <c r="AL738" s="511"/>
      <c r="AM738" s="511"/>
      <c r="AN738" s="511"/>
      <c r="AO738" s="511"/>
      <c r="AP738" s="511"/>
      <c r="AQ738" s="511"/>
      <c r="AR738" s="511"/>
      <c r="AS738" s="511"/>
      <c r="AT738" s="511"/>
      <c r="AU738" s="511"/>
      <c r="AV738" s="511"/>
      <c r="AW738" s="511"/>
      <c r="AX738" s="511"/>
      <c r="AY738" s="511"/>
      <c r="AZ738" s="511"/>
      <c r="BA738" s="511"/>
      <c r="BB738" s="511"/>
      <c r="BC738" s="511"/>
    </row>
    <row r="739" spans="1:55" ht="16.5" customHeight="1" x14ac:dyDescent="0.3">
      <c r="A739" s="511"/>
      <c r="B739" s="511"/>
      <c r="C739" s="511"/>
      <c r="D739" s="511"/>
      <c r="E739" s="511"/>
      <c r="F739" s="511"/>
      <c r="G739" s="511"/>
      <c r="H739" s="511"/>
      <c r="I739" s="511"/>
      <c r="J739" s="511"/>
      <c r="K739" s="511"/>
      <c r="L739" s="511"/>
      <c r="M739" s="511"/>
      <c r="N739" s="511"/>
      <c r="O739" s="511"/>
      <c r="P739" s="511"/>
      <c r="Q739" s="511"/>
      <c r="R739" s="511"/>
      <c r="S739" s="511"/>
      <c r="T739" s="511"/>
      <c r="U739" s="511"/>
      <c r="V739" s="511"/>
      <c r="W739" s="511"/>
      <c r="X739" s="511"/>
      <c r="Y739" s="511"/>
      <c r="Z739" s="511"/>
      <c r="AA739" s="511"/>
      <c r="AB739" s="511"/>
      <c r="AC739" s="511"/>
      <c r="AD739" s="511"/>
      <c r="AE739" s="511"/>
      <c r="AF739" s="511"/>
      <c r="AG739" s="511"/>
      <c r="AH739" s="511"/>
      <c r="AI739" s="511"/>
      <c r="AJ739" s="511"/>
      <c r="AK739" s="511"/>
      <c r="AL739" s="511"/>
      <c r="AM739" s="511"/>
      <c r="AN739" s="511"/>
      <c r="AO739" s="511"/>
      <c r="AP739" s="511"/>
      <c r="AQ739" s="511"/>
      <c r="AR739" s="511"/>
      <c r="AS739" s="511"/>
      <c r="AT739" s="511"/>
      <c r="AU739" s="511"/>
      <c r="AV739" s="511"/>
      <c r="AW739" s="511"/>
      <c r="AX739" s="511"/>
      <c r="AY739" s="511"/>
      <c r="AZ739" s="511"/>
      <c r="BA739" s="511"/>
      <c r="BB739" s="511"/>
      <c r="BC739" s="511"/>
    </row>
    <row r="740" spans="1:55" ht="16.5" customHeight="1" x14ac:dyDescent="0.3">
      <c r="A740" s="511"/>
      <c r="B740" s="511"/>
      <c r="C740" s="511"/>
      <c r="D740" s="511"/>
      <c r="E740" s="511"/>
      <c r="F740" s="511"/>
      <c r="G740" s="511"/>
      <c r="H740" s="511"/>
      <c r="I740" s="511"/>
      <c r="J740" s="511"/>
      <c r="K740" s="511"/>
      <c r="L740" s="511"/>
      <c r="M740" s="511"/>
      <c r="N740" s="511"/>
      <c r="O740" s="511"/>
      <c r="P740" s="511"/>
      <c r="Q740" s="511"/>
      <c r="R740" s="511"/>
      <c r="S740" s="511"/>
      <c r="T740" s="511"/>
      <c r="U740" s="511"/>
      <c r="V740" s="511"/>
      <c r="W740" s="511"/>
      <c r="X740" s="511"/>
      <c r="Y740" s="511"/>
      <c r="Z740" s="511"/>
      <c r="AA740" s="511"/>
      <c r="AB740" s="511"/>
      <c r="AC740" s="511"/>
      <c r="AD740" s="511"/>
      <c r="AE740" s="511"/>
      <c r="AF740" s="511"/>
      <c r="AG740" s="511"/>
      <c r="AH740" s="511"/>
      <c r="AI740" s="511"/>
      <c r="AJ740" s="511"/>
      <c r="AK740" s="511"/>
      <c r="AL740" s="511"/>
      <c r="AM740" s="511"/>
      <c r="AN740" s="511"/>
      <c r="AO740" s="511"/>
      <c r="AP740" s="511"/>
      <c r="AQ740" s="511"/>
      <c r="AR740" s="511"/>
      <c r="AS740" s="511"/>
      <c r="AT740" s="511"/>
      <c r="AU740" s="511"/>
      <c r="AV740" s="511"/>
      <c r="AW740" s="511"/>
      <c r="AX740" s="511"/>
      <c r="AY740" s="511"/>
      <c r="AZ740" s="511"/>
      <c r="BA740" s="511"/>
      <c r="BB740" s="511"/>
      <c r="BC740" s="511"/>
    </row>
    <row r="741" spans="1:55" ht="16.5" customHeight="1" x14ac:dyDescent="0.3">
      <c r="A741" s="511"/>
      <c r="B741" s="511"/>
      <c r="C741" s="511"/>
      <c r="D741" s="511"/>
      <c r="E741" s="511"/>
      <c r="F741" s="511"/>
      <c r="G741" s="511"/>
      <c r="H741" s="511"/>
      <c r="I741" s="511"/>
      <c r="J741" s="511"/>
      <c r="K741" s="511"/>
      <c r="L741" s="511"/>
      <c r="M741" s="511"/>
      <c r="N741" s="511"/>
      <c r="O741" s="511"/>
      <c r="P741" s="511"/>
      <c r="Q741" s="511"/>
      <c r="R741" s="511"/>
      <c r="S741" s="511"/>
      <c r="T741" s="511"/>
      <c r="U741" s="511"/>
      <c r="V741" s="511"/>
      <c r="W741" s="511"/>
      <c r="X741" s="511"/>
      <c r="Y741" s="511"/>
      <c r="Z741" s="511"/>
      <c r="AA741" s="511"/>
      <c r="AB741" s="511"/>
      <c r="AC741" s="511"/>
      <c r="AD741" s="511"/>
      <c r="AE741" s="511"/>
      <c r="AF741" s="511"/>
      <c r="AG741" s="511"/>
      <c r="AH741" s="511"/>
      <c r="AI741" s="511"/>
      <c r="AJ741" s="511"/>
      <c r="AK741" s="511"/>
      <c r="AL741" s="511"/>
      <c r="AM741" s="511"/>
      <c r="AN741" s="511"/>
      <c r="AO741" s="511"/>
      <c r="AP741" s="511"/>
      <c r="AQ741" s="511"/>
      <c r="AR741" s="511"/>
      <c r="AS741" s="511"/>
      <c r="AT741" s="511"/>
      <c r="AU741" s="511"/>
      <c r="AV741" s="511"/>
      <c r="AW741" s="511"/>
      <c r="AX741" s="511"/>
      <c r="AY741" s="511"/>
      <c r="AZ741" s="511"/>
      <c r="BA741" s="511"/>
      <c r="BB741" s="511"/>
      <c r="BC741" s="511"/>
    </row>
    <row r="742" spans="1:55" ht="16.5" customHeight="1" x14ac:dyDescent="0.3">
      <c r="A742" s="511"/>
      <c r="B742" s="511"/>
      <c r="C742" s="511"/>
      <c r="D742" s="511"/>
      <c r="E742" s="511"/>
      <c r="F742" s="511"/>
      <c r="G742" s="511"/>
      <c r="H742" s="511"/>
      <c r="I742" s="511"/>
      <c r="J742" s="511"/>
      <c r="K742" s="511"/>
      <c r="L742" s="511"/>
      <c r="M742" s="511"/>
      <c r="N742" s="511"/>
      <c r="O742" s="511"/>
      <c r="P742" s="511"/>
      <c r="Q742" s="511"/>
      <c r="R742" s="511"/>
      <c r="S742" s="511"/>
      <c r="T742" s="511"/>
      <c r="U742" s="511"/>
      <c r="V742" s="511"/>
      <c r="W742" s="511"/>
      <c r="X742" s="511"/>
      <c r="Y742" s="511"/>
      <c r="Z742" s="511"/>
      <c r="AA742" s="511"/>
      <c r="AB742" s="511"/>
      <c r="AC742" s="511"/>
      <c r="AD742" s="511"/>
      <c r="AE742" s="511"/>
      <c r="AF742" s="511"/>
      <c r="AG742" s="511"/>
      <c r="AH742" s="511"/>
      <c r="AI742" s="511"/>
      <c r="AJ742" s="511"/>
      <c r="AK742" s="511"/>
      <c r="AL742" s="511"/>
      <c r="AM742" s="511"/>
      <c r="AN742" s="511"/>
      <c r="AO742" s="511"/>
      <c r="AP742" s="511"/>
      <c r="AQ742" s="511"/>
      <c r="AR742" s="511"/>
      <c r="AS742" s="511"/>
      <c r="AT742" s="511"/>
      <c r="AU742" s="511"/>
      <c r="AV742" s="511"/>
      <c r="AW742" s="511"/>
      <c r="AX742" s="511"/>
      <c r="AY742" s="511"/>
      <c r="AZ742" s="511"/>
      <c r="BA742" s="511"/>
      <c r="BB742" s="511"/>
      <c r="BC742" s="511"/>
    </row>
    <row r="743" spans="1:55" ht="16.5" customHeight="1" x14ac:dyDescent="0.3">
      <c r="A743" s="511"/>
      <c r="B743" s="511"/>
      <c r="C743" s="511"/>
      <c r="D743" s="511"/>
      <c r="E743" s="511"/>
      <c r="F743" s="511"/>
      <c r="G743" s="511"/>
      <c r="H743" s="511"/>
      <c r="I743" s="511"/>
      <c r="J743" s="511"/>
      <c r="K743" s="511"/>
      <c r="L743" s="511"/>
      <c r="M743" s="511"/>
      <c r="N743" s="511"/>
      <c r="O743" s="511"/>
      <c r="P743" s="511"/>
      <c r="Q743" s="511"/>
      <c r="R743" s="511"/>
      <c r="S743" s="511"/>
      <c r="T743" s="511"/>
      <c r="U743" s="511"/>
      <c r="V743" s="511"/>
      <c r="W743" s="511"/>
      <c r="X743" s="511"/>
      <c r="Y743" s="511"/>
      <c r="Z743" s="511"/>
      <c r="AA743" s="511"/>
      <c r="AB743" s="511"/>
      <c r="AC743" s="511"/>
      <c r="AD743" s="511"/>
      <c r="AE743" s="511"/>
      <c r="AF743" s="511"/>
      <c r="AG743" s="511"/>
      <c r="AH743" s="511"/>
      <c r="AI743" s="511"/>
      <c r="AJ743" s="511"/>
      <c r="AK743" s="511"/>
      <c r="AL743" s="511"/>
      <c r="AM743" s="511"/>
      <c r="AN743" s="511"/>
      <c r="AO743" s="511"/>
      <c r="AP743" s="511"/>
      <c r="AQ743" s="511"/>
      <c r="AR743" s="511"/>
      <c r="AS743" s="511"/>
      <c r="AT743" s="511"/>
      <c r="AU743" s="511"/>
      <c r="AV743" s="511"/>
      <c r="AW743" s="511"/>
      <c r="AX743" s="511"/>
      <c r="AY743" s="511"/>
      <c r="AZ743" s="511"/>
      <c r="BA743" s="511"/>
      <c r="BB743" s="511"/>
      <c r="BC743" s="511"/>
    </row>
    <row r="744" spans="1:55" ht="16.5" customHeight="1" x14ac:dyDescent="0.3">
      <c r="A744" s="511"/>
      <c r="B744" s="511"/>
      <c r="C744" s="511"/>
      <c r="D744" s="511"/>
      <c r="E744" s="511"/>
      <c r="F744" s="511"/>
      <c r="G744" s="511"/>
      <c r="H744" s="511"/>
      <c r="I744" s="511"/>
      <c r="J744" s="511"/>
      <c r="K744" s="511"/>
      <c r="L744" s="511"/>
      <c r="M744" s="511"/>
      <c r="N744" s="511"/>
      <c r="O744" s="511"/>
      <c r="P744" s="511"/>
      <c r="Q744" s="511"/>
      <c r="R744" s="511"/>
      <c r="S744" s="511"/>
      <c r="T744" s="511"/>
      <c r="U744" s="511"/>
      <c r="V744" s="511"/>
      <c r="W744" s="511"/>
      <c r="X744" s="511"/>
      <c r="Y744" s="511"/>
      <c r="Z744" s="511"/>
      <c r="AA744" s="511"/>
      <c r="AB744" s="511"/>
      <c r="AC744" s="511"/>
      <c r="AD744" s="511"/>
      <c r="AE744" s="511"/>
      <c r="AF744" s="511"/>
      <c r="AG744" s="511"/>
      <c r="AH744" s="511"/>
      <c r="AI744" s="511"/>
      <c r="AJ744" s="511"/>
      <c r="AK744" s="511"/>
      <c r="AL744" s="511"/>
      <c r="AM744" s="511"/>
      <c r="AN744" s="511"/>
      <c r="AO744" s="511"/>
      <c r="AP744" s="511"/>
      <c r="AQ744" s="511"/>
      <c r="AR744" s="511"/>
      <c r="AS744" s="511"/>
      <c r="AT744" s="511"/>
      <c r="AU744" s="511"/>
      <c r="AV744" s="511"/>
      <c r="AW744" s="511"/>
      <c r="AX744" s="511"/>
      <c r="AY744" s="511"/>
      <c r="AZ744" s="511"/>
      <c r="BA744" s="511"/>
      <c r="BB744" s="511"/>
      <c r="BC744" s="511"/>
    </row>
    <row r="745" spans="1:55" ht="16.5" customHeight="1" x14ac:dyDescent="0.3">
      <c r="A745" s="511"/>
      <c r="B745" s="511"/>
      <c r="C745" s="511"/>
      <c r="D745" s="511"/>
      <c r="E745" s="511"/>
      <c r="F745" s="511"/>
      <c r="G745" s="511"/>
      <c r="H745" s="511"/>
      <c r="I745" s="511"/>
      <c r="J745" s="511"/>
      <c r="K745" s="511"/>
      <c r="L745" s="511"/>
      <c r="M745" s="511"/>
      <c r="N745" s="511"/>
      <c r="O745" s="511"/>
      <c r="P745" s="511"/>
      <c r="Q745" s="511"/>
      <c r="R745" s="511"/>
      <c r="S745" s="511"/>
      <c r="T745" s="511"/>
      <c r="U745" s="511"/>
      <c r="V745" s="511"/>
      <c r="W745" s="511"/>
      <c r="X745" s="511"/>
      <c r="Y745" s="511"/>
      <c r="Z745" s="511"/>
      <c r="AA745" s="511"/>
      <c r="AB745" s="511"/>
      <c r="AC745" s="511"/>
      <c r="AD745" s="511"/>
      <c r="AE745" s="511"/>
      <c r="AF745" s="511"/>
      <c r="AG745" s="511"/>
      <c r="AH745" s="511"/>
      <c r="AI745" s="511"/>
      <c r="AJ745" s="511"/>
      <c r="AK745" s="511"/>
      <c r="AL745" s="511"/>
      <c r="AM745" s="511"/>
      <c r="AN745" s="511"/>
      <c r="AO745" s="511"/>
      <c r="AP745" s="511"/>
      <c r="AQ745" s="511"/>
      <c r="AR745" s="511"/>
      <c r="AS745" s="511"/>
      <c r="AT745" s="511"/>
      <c r="AU745" s="511"/>
      <c r="AV745" s="511"/>
      <c r="AW745" s="511"/>
      <c r="AX745" s="511"/>
      <c r="AY745" s="511"/>
      <c r="AZ745" s="511"/>
      <c r="BA745" s="511"/>
      <c r="BB745" s="511"/>
      <c r="BC745" s="511"/>
    </row>
    <row r="746" spans="1:55" ht="16.5" customHeight="1" x14ac:dyDescent="0.3">
      <c r="A746" s="511"/>
      <c r="B746" s="511"/>
      <c r="C746" s="511"/>
      <c r="D746" s="511"/>
      <c r="E746" s="511"/>
      <c r="F746" s="511"/>
      <c r="G746" s="511"/>
      <c r="H746" s="511"/>
      <c r="I746" s="511"/>
      <c r="J746" s="511"/>
      <c r="K746" s="511"/>
      <c r="L746" s="511"/>
      <c r="M746" s="511"/>
      <c r="N746" s="511"/>
      <c r="O746" s="511"/>
      <c r="P746" s="511"/>
      <c r="Q746" s="511"/>
      <c r="R746" s="511"/>
      <c r="S746" s="511"/>
      <c r="T746" s="511"/>
      <c r="U746" s="511"/>
      <c r="V746" s="511"/>
      <c r="W746" s="511"/>
      <c r="X746" s="511"/>
      <c r="Y746" s="511"/>
      <c r="Z746" s="511"/>
      <c r="AA746" s="511"/>
      <c r="AB746" s="511"/>
      <c r="AC746" s="511"/>
      <c r="AD746" s="511"/>
      <c r="AE746" s="511"/>
      <c r="AF746" s="511"/>
      <c r="AG746" s="511"/>
      <c r="AH746" s="511"/>
      <c r="AI746" s="511"/>
      <c r="AJ746" s="511"/>
      <c r="AK746" s="511"/>
      <c r="AL746" s="511"/>
      <c r="AM746" s="511"/>
      <c r="AN746" s="511"/>
      <c r="AO746" s="511"/>
      <c r="AP746" s="511"/>
      <c r="AQ746" s="511"/>
      <c r="AR746" s="511"/>
      <c r="AS746" s="511"/>
      <c r="AT746" s="511"/>
      <c r="AU746" s="511"/>
      <c r="AV746" s="511"/>
      <c r="AW746" s="511"/>
      <c r="AX746" s="511"/>
      <c r="AY746" s="511"/>
      <c r="AZ746" s="511"/>
      <c r="BA746" s="511"/>
      <c r="BB746" s="511"/>
      <c r="BC746" s="511"/>
    </row>
    <row r="747" spans="1:55" ht="16.5" customHeight="1" x14ac:dyDescent="0.3">
      <c r="A747" s="511"/>
      <c r="B747" s="511"/>
      <c r="C747" s="511"/>
      <c r="D747" s="511"/>
      <c r="E747" s="511"/>
      <c r="F747" s="511"/>
      <c r="G747" s="511"/>
      <c r="H747" s="511"/>
      <c r="I747" s="511"/>
      <c r="J747" s="511"/>
      <c r="K747" s="511"/>
      <c r="L747" s="511"/>
      <c r="M747" s="511"/>
      <c r="N747" s="511"/>
      <c r="O747" s="511"/>
      <c r="P747" s="511"/>
      <c r="Q747" s="511"/>
      <c r="R747" s="511"/>
      <c r="S747" s="511"/>
      <c r="T747" s="511"/>
      <c r="U747" s="511"/>
      <c r="V747" s="511"/>
      <c r="W747" s="511"/>
      <c r="X747" s="511"/>
      <c r="Y747" s="511"/>
      <c r="Z747" s="511"/>
      <c r="AA747" s="511"/>
      <c r="AB747" s="511"/>
      <c r="AC747" s="511"/>
      <c r="AD747" s="511"/>
      <c r="AE747" s="511"/>
      <c r="AF747" s="511"/>
      <c r="AG747" s="511"/>
      <c r="AH747" s="511"/>
      <c r="AI747" s="511"/>
      <c r="AJ747" s="511"/>
      <c r="AK747" s="511"/>
      <c r="AL747" s="511"/>
      <c r="AM747" s="511"/>
      <c r="AN747" s="511"/>
      <c r="AO747" s="511"/>
      <c r="AP747" s="511"/>
      <c r="AQ747" s="511"/>
      <c r="AR747" s="511"/>
      <c r="AS747" s="511"/>
      <c r="AT747" s="511"/>
      <c r="AU747" s="511"/>
      <c r="AV747" s="511"/>
      <c r="AW747" s="511"/>
      <c r="AX747" s="511"/>
      <c r="AY747" s="511"/>
      <c r="AZ747" s="511"/>
      <c r="BA747" s="511"/>
      <c r="BB747" s="511"/>
      <c r="BC747" s="511"/>
    </row>
    <row r="748" spans="1:55" ht="16.5" customHeight="1" x14ac:dyDescent="0.3">
      <c r="A748" s="511"/>
      <c r="B748" s="511"/>
      <c r="C748" s="511"/>
      <c r="D748" s="511"/>
      <c r="E748" s="511"/>
      <c r="F748" s="511"/>
      <c r="G748" s="511"/>
      <c r="H748" s="511"/>
      <c r="I748" s="511"/>
      <c r="J748" s="511"/>
      <c r="K748" s="511"/>
      <c r="L748" s="511"/>
      <c r="M748" s="511"/>
      <c r="N748" s="511"/>
      <c r="O748" s="511"/>
      <c r="P748" s="511"/>
      <c r="Q748" s="511"/>
      <c r="R748" s="511"/>
      <c r="S748" s="511"/>
      <c r="T748" s="511"/>
      <c r="U748" s="511"/>
      <c r="V748" s="511"/>
      <c r="W748" s="511"/>
      <c r="X748" s="511"/>
      <c r="Y748" s="511"/>
      <c r="Z748" s="511"/>
      <c r="AA748" s="511"/>
      <c r="AB748" s="511"/>
      <c r="AC748" s="511"/>
      <c r="AD748" s="511"/>
      <c r="AE748" s="511"/>
      <c r="AF748" s="511"/>
      <c r="AG748" s="511"/>
      <c r="AH748" s="511"/>
      <c r="AI748" s="511"/>
      <c r="AJ748" s="511"/>
      <c r="AK748" s="511"/>
      <c r="AL748" s="511"/>
      <c r="AM748" s="511"/>
      <c r="AN748" s="511"/>
      <c r="AO748" s="511"/>
      <c r="AP748" s="511"/>
      <c r="AQ748" s="511"/>
      <c r="AR748" s="511"/>
      <c r="AS748" s="511"/>
      <c r="AT748" s="511"/>
      <c r="AU748" s="511"/>
      <c r="AV748" s="511"/>
      <c r="AW748" s="511"/>
      <c r="AX748" s="511"/>
      <c r="AY748" s="511"/>
      <c r="AZ748" s="511"/>
      <c r="BA748" s="511"/>
      <c r="BB748" s="511"/>
      <c r="BC748" s="511"/>
    </row>
    <row r="749" spans="1:55" ht="16.5" customHeight="1" x14ac:dyDescent="0.3">
      <c r="A749" s="511"/>
      <c r="B749" s="511"/>
      <c r="C749" s="511"/>
      <c r="D749" s="511"/>
      <c r="E749" s="511"/>
      <c r="F749" s="511"/>
      <c r="G749" s="511"/>
      <c r="H749" s="511"/>
      <c r="I749" s="511"/>
      <c r="J749" s="511"/>
      <c r="K749" s="511"/>
      <c r="L749" s="511"/>
      <c r="M749" s="511"/>
      <c r="N749" s="511"/>
      <c r="O749" s="511"/>
      <c r="P749" s="511"/>
      <c r="Q749" s="511"/>
      <c r="R749" s="511"/>
      <c r="S749" s="511"/>
      <c r="T749" s="511"/>
      <c r="U749" s="511"/>
      <c r="V749" s="511"/>
      <c r="W749" s="511"/>
      <c r="X749" s="511"/>
      <c r="Y749" s="511"/>
      <c r="Z749" s="511"/>
      <c r="AA749" s="511"/>
      <c r="AB749" s="511"/>
      <c r="AC749" s="511"/>
      <c r="AD749" s="511"/>
      <c r="AE749" s="511"/>
      <c r="AF749" s="511"/>
      <c r="AG749" s="511"/>
      <c r="AH749" s="511"/>
      <c r="AI749" s="511"/>
      <c r="AJ749" s="511"/>
      <c r="AK749" s="511"/>
      <c r="AL749" s="511"/>
      <c r="AM749" s="511"/>
      <c r="AN749" s="511"/>
      <c r="AO749" s="511"/>
      <c r="AP749" s="511"/>
      <c r="AQ749" s="511"/>
      <c r="AR749" s="511"/>
      <c r="AS749" s="511"/>
      <c r="AT749" s="511"/>
      <c r="AU749" s="511"/>
      <c r="AV749" s="511"/>
      <c r="AW749" s="511"/>
      <c r="AX749" s="511"/>
      <c r="AY749" s="511"/>
      <c r="AZ749" s="511"/>
      <c r="BA749" s="511"/>
      <c r="BB749" s="511"/>
      <c r="BC749" s="511"/>
    </row>
    <row r="750" spans="1:55" ht="16.5" customHeight="1" x14ac:dyDescent="0.3">
      <c r="A750" s="511"/>
      <c r="B750" s="511"/>
      <c r="C750" s="511"/>
      <c r="D750" s="511"/>
      <c r="E750" s="511"/>
      <c r="F750" s="511"/>
      <c r="G750" s="511"/>
      <c r="H750" s="511"/>
      <c r="I750" s="511"/>
      <c r="J750" s="511"/>
      <c r="K750" s="511"/>
      <c r="L750" s="511"/>
      <c r="M750" s="511"/>
      <c r="N750" s="511"/>
      <c r="O750" s="511"/>
      <c r="P750" s="511"/>
      <c r="Q750" s="511"/>
      <c r="R750" s="511"/>
      <c r="S750" s="511"/>
      <c r="T750" s="511"/>
      <c r="U750" s="511"/>
      <c r="V750" s="511"/>
      <c r="W750" s="511"/>
      <c r="X750" s="511"/>
      <c r="Y750" s="511"/>
      <c r="Z750" s="511"/>
      <c r="AA750" s="511"/>
      <c r="AB750" s="511"/>
      <c r="AC750" s="511"/>
      <c r="AD750" s="511"/>
      <c r="AE750" s="511"/>
      <c r="AF750" s="511"/>
      <c r="AG750" s="511"/>
      <c r="AH750" s="511"/>
      <c r="AI750" s="511"/>
      <c r="AJ750" s="511"/>
      <c r="AK750" s="511"/>
      <c r="AL750" s="511"/>
      <c r="AM750" s="511"/>
      <c r="AN750" s="511"/>
      <c r="AO750" s="511"/>
      <c r="AP750" s="511"/>
      <c r="AQ750" s="511"/>
      <c r="AR750" s="511"/>
      <c r="AS750" s="511"/>
      <c r="AT750" s="511"/>
      <c r="AU750" s="511"/>
      <c r="AV750" s="511"/>
      <c r="AW750" s="511"/>
      <c r="AX750" s="511"/>
      <c r="AY750" s="511"/>
      <c r="AZ750" s="511"/>
      <c r="BA750" s="511"/>
      <c r="BB750" s="511"/>
      <c r="BC750" s="511"/>
    </row>
    <row r="751" spans="1:55" ht="16.5" customHeight="1" x14ac:dyDescent="0.3">
      <c r="A751" s="511"/>
      <c r="B751" s="511"/>
      <c r="C751" s="511"/>
      <c r="D751" s="511"/>
      <c r="E751" s="511"/>
      <c r="F751" s="511"/>
      <c r="G751" s="511"/>
      <c r="H751" s="511"/>
      <c r="I751" s="511"/>
      <c r="J751" s="511"/>
      <c r="K751" s="511"/>
      <c r="L751" s="511"/>
      <c r="M751" s="511"/>
      <c r="N751" s="511"/>
      <c r="O751" s="511"/>
      <c r="P751" s="511"/>
      <c r="Q751" s="511"/>
      <c r="R751" s="511"/>
      <c r="S751" s="511"/>
      <c r="T751" s="511"/>
      <c r="U751" s="511"/>
      <c r="V751" s="511"/>
      <c r="W751" s="511"/>
      <c r="X751" s="511"/>
      <c r="Y751" s="511"/>
      <c r="Z751" s="511"/>
      <c r="AA751" s="511"/>
      <c r="AB751" s="511"/>
      <c r="AC751" s="511"/>
      <c r="AD751" s="511"/>
      <c r="AE751" s="511"/>
      <c r="AF751" s="511"/>
      <c r="AG751" s="511"/>
      <c r="AH751" s="511"/>
      <c r="AI751" s="511"/>
      <c r="AJ751" s="511"/>
      <c r="AK751" s="511"/>
      <c r="AL751" s="511"/>
      <c r="AM751" s="511"/>
      <c r="AN751" s="511"/>
      <c r="AO751" s="511"/>
      <c r="AP751" s="511"/>
      <c r="AQ751" s="511"/>
      <c r="AR751" s="511"/>
      <c r="AS751" s="511"/>
      <c r="AT751" s="511"/>
      <c r="AU751" s="511"/>
      <c r="AV751" s="511"/>
      <c r="AW751" s="511"/>
      <c r="AX751" s="511"/>
      <c r="AY751" s="511"/>
      <c r="AZ751" s="511"/>
      <c r="BA751" s="511"/>
      <c r="BB751" s="511"/>
      <c r="BC751" s="511"/>
    </row>
    <row r="752" spans="1:55" ht="16.5" customHeight="1" x14ac:dyDescent="0.3">
      <c r="A752" s="511"/>
      <c r="B752" s="511"/>
      <c r="C752" s="511"/>
      <c r="D752" s="511"/>
      <c r="E752" s="511"/>
      <c r="F752" s="511"/>
      <c r="G752" s="511"/>
      <c r="H752" s="511"/>
      <c r="I752" s="511"/>
      <c r="J752" s="511"/>
      <c r="K752" s="511"/>
      <c r="L752" s="511"/>
      <c r="M752" s="511"/>
      <c r="N752" s="511"/>
      <c r="O752" s="511"/>
      <c r="P752" s="511"/>
      <c r="Q752" s="511"/>
      <c r="R752" s="511"/>
      <c r="S752" s="511"/>
      <c r="T752" s="511"/>
      <c r="U752" s="511"/>
      <c r="V752" s="511"/>
      <c r="W752" s="511"/>
      <c r="X752" s="511"/>
      <c r="Y752" s="511"/>
      <c r="Z752" s="511"/>
      <c r="AA752" s="511"/>
      <c r="AB752" s="511"/>
      <c r="AC752" s="511"/>
      <c r="AD752" s="511"/>
      <c r="AE752" s="511"/>
      <c r="AF752" s="511"/>
      <c r="AG752" s="511"/>
      <c r="AH752" s="511"/>
      <c r="AI752" s="511"/>
      <c r="AJ752" s="511"/>
      <c r="AK752" s="511"/>
      <c r="AL752" s="511"/>
      <c r="AM752" s="511"/>
      <c r="AN752" s="511"/>
      <c r="AO752" s="511"/>
      <c r="AP752" s="511"/>
      <c r="AQ752" s="511"/>
      <c r="AR752" s="511"/>
      <c r="AS752" s="511"/>
      <c r="AT752" s="511"/>
      <c r="AU752" s="511"/>
      <c r="AV752" s="511"/>
      <c r="AW752" s="511"/>
      <c r="AX752" s="511"/>
      <c r="AY752" s="511"/>
      <c r="AZ752" s="511"/>
      <c r="BA752" s="511"/>
      <c r="BB752" s="511"/>
      <c r="BC752" s="511"/>
    </row>
    <row r="753" spans="1:55" ht="16.5" customHeight="1" x14ac:dyDescent="0.3">
      <c r="A753" s="511"/>
      <c r="B753" s="511"/>
      <c r="C753" s="511"/>
      <c r="D753" s="511"/>
      <c r="E753" s="511"/>
      <c r="F753" s="511"/>
      <c r="G753" s="511"/>
      <c r="H753" s="511"/>
      <c r="I753" s="511"/>
      <c r="J753" s="511"/>
      <c r="K753" s="511"/>
      <c r="L753" s="511"/>
      <c r="M753" s="511"/>
      <c r="N753" s="511"/>
      <c r="O753" s="511"/>
      <c r="P753" s="511"/>
      <c r="Q753" s="511"/>
      <c r="R753" s="511"/>
      <c r="S753" s="511"/>
      <c r="T753" s="511"/>
      <c r="U753" s="511"/>
      <c r="V753" s="511"/>
      <c r="W753" s="511"/>
      <c r="X753" s="511"/>
      <c r="Y753" s="511"/>
      <c r="Z753" s="511"/>
      <c r="AA753" s="511"/>
      <c r="AB753" s="511"/>
      <c r="AC753" s="511"/>
      <c r="AD753" s="511"/>
      <c r="AE753" s="511"/>
      <c r="AF753" s="511"/>
      <c r="AG753" s="511"/>
      <c r="AH753" s="511"/>
      <c r="AI753" s="511"/>
      <c r="AJ753" s="511"/>
      <c r="AK753" s="511"/>
      <c r="AL753" s="511"/>
      <c r="AM753" s="511"/>
      <c r="AN753" s="511"/>
      <c r="AO753" s="511"/>
      <c r="AP753" s="511"/>
      <c r="AQ753" s="511"/>
      <c r="AR753" s="511"/>
      <c r="AS753" s="511"/>
      <c r="AT753" s="511"/>
      <c r="AU753" s="511"/>
      <c r="AV753" s="511"/>
      <c r="AW753" s="511"/>
      <c r="AX753" s="511"/>
      <c r="AY753" s="511"/>
      <c r="AZ753" s="511"/>
      <c r="BA753" s="511"/>
      <c r="BB753" s="511"/>
      <c r="BC753" s="511"/>
    </row>
    <row r="754" spans="1:55" ht="16.5" customHeight="1" x14ac:dyDescent="0.3">
      <c r="A754" s="511"/>
      <c r="B754" s="511"/>
      <c r="C754" s="511"/>
      <c r="D754" s="511"/>
      <c r="E754" s="511"/>
      <c r="F754" s="511"/>
      <c r="G754" s="511"/>
      <c r="H754" s="511"/>
      <c r="I754" s="511"/>
      <c r="J754" s="511"/>
      <c r="K754" s="511"/>
      <c r="L754" s="511"/>
      <c r="M754" s="511"/>
      <c r="N754" s="511"/>
      <c r="O754" s="511"/>
      <c r="P754" s="511"/>
      <c r="Q754" s="511"/>
      <c r="R754" s="511"/>
      <c r="S754" s="511"/>
      <c r="T754" s="511"/>
      <c r="U754" s="511"/>
      <c r="V754" s="511"/>
      <c r="W754" s="511"/>
      <c r="X754" s="511"/>
      <c r="Y754" s="511"/>
      <c r="Z754" s="511"/>
      <c r="AA754" s="511"/>
      <c r="AB754" s="511"/>
      <c r="AC754" s="511"/>
      <c r="AD754" s="511"/>
      <c r="AE754" s="511"/>
      <c r="AF754" s="511"/>
      <c r="AG754" s="511"/>
      <c r="AH754" s="511"/>
      <c r="AI754" s="511"/>
      <c r="AJ754" s="511"/>
      <c r="AK754" s="511"/>
      <c r="AL754" s="511"/>
      <c r="AM754" s="511"/>
      <c r="AN754" s="511"/>
      <c r="AO754" s="511"/>
      <c r="AP754" s="511"/>
      <c r="AQ754" s="511"/>
      <c r="AR754" s="511"/>
      <c r="AS754" s="511"/>
      <c r="AT754" s="511"/>
      <c r="AU754" s="511"/>
      <c r="AV754" s="511"/>
      <c r="AW754" s="511"/>
      <c r="AX754" s="511"/>
      <c r="AY754" s="511"/>
      <c r="AZ754" s="511"/>
      <c r="BA754" s="511"/>
      <c r="BB754" s="511"/>
      <c r="BC754" s="511"/>
    </row>
    <row r="755" spans="1:55" ht="16.5" customHeight="1" x14ac:dyDescent="0.3">
      <c r="A755" s="511"/>
      <c r="B755" s="511"/>
      <c r="C755" s="511"/>
      <c r="D755" s="511"/>
      <c r="E755" s="511"/>
      <c r="F755" s="511"/>
      <c r="G755" s="511"/>
      <c r="H755" s="511"/>
      <c r="I755" s="511"/>
      <c r="J755" s="511"/>
      <c r="K755" s="511"/>
      <c r="L755" s="511"/>
      <c r="M755" s="511"/>
      <c r="N755" s="511"/>
      <c r="O755" s="511"/>
      <c r="P755" s="511"/>
      <c r="Q755" s="511"/>
      <c r="R755" s="511"/>
      <c r="S755" s="511"/>
      <c r="T755" s="511"/>
      <c r="U755" s="511"/>
      <c r="V755" s="511"/>
      <c r="W755" s="511"/>
      <c r="X755" s="511"/>
      <c r="Y755" s="511"/>
      <c r="Z755" s="511"/>
      <c r="AA755" s="511"/>
      <c r="AB755" s="511"/>
      <c r="AC755" s="511"/>
      <c r="AD755" s="511"/>
      <c r="AE755" s="511"/>
      <c r="AF755" s="511"/>
      <c r="AG755" s="511"/>
      <c r="AH755" s="511"/>
      <c r="AI755" s="511"/>
      <c r="AJ755" s="511"/>
      <c r="AK755" s="511"/>
      <c r="AL755" s="511"/>
      <c r="AM755" s="511"/>
      <c r="AN755" s="511"/>
      <c r="AO755" s="511"/>
      <c r="AP755" s="511"/>
      <c r="AQ755" s="511"/>
      <c r="AR755" s="511"/>
      <c r="AS755" s="511"/>
      <c r="AT755" s="511"/>
      <c r="AU755" s="511"/>
      <c r="AV755" s="511"/>
      <c r="AW755" s="511"/>
      <c r="AX755" s="511"/>
      <c r="AY755" s="511"/>
      <c r="AZ755" s="511"/>
      <c r="BA755" s="511"/>
      <c r="BB755" s="511"/>
      <c r="BC755" s="511"/>
    </row>
    <row r="756" spans="1:55" ht="16.5" customHeight="1" x14ac:dyDescent="0.3">
      <c r="A756" s="511"/>
      <c r="B756" s="511"/>
      <c r="C756" s="511"/>
      <c r="D756" s="511"/>
      <c r="E756" s="511"/>
      <c r="F756" s="511"/>
      <c r="G756" s="511"/>
      <c r="H756" s="511"/>
      <c r="I756" s="511"/>
      <c r="J756" s="511"/>
      <c r="K756" s="511"/>
      <c r="L756" s="511"/>
      <c r="M756" s="511"/>
      <c r="N756" s="511"/>
      <c r="O756" s="511"/>
      <c r="P756" s="511"/>
      <c r="Q756" s="511"/>
      <c r="R756" s="511"/>
      <c r="S756" s="511"/>
      <c r="T756" s="511"/>
      <c r="U756" s="511"/>
      <c r="V756" s="511"/>
      <c r="W756" s="511"/>
      <c r="X756" s="511"/>
      <c r="Y756" s="511"/>
      <c r="Z756" s="511"/>
      <c r="AA756" s="511"/>
      <c r="AB756" s="511"/>
      <c r="AC756" s="511"/>
      <c r="AD756" s="511"/>
      <c r="AE756" s="511"/>
      <c r="AF756" s="511"/>
      <c r="AG756" s="511"/>
      <c r="AH756" s="511"/>
      <c r="AI756" s="511"/>
      <c r="AJ756" s="511"/>
      <c r="AK756" s="511"/>
      <c r="AL756" s="511"/>
      <c r="AM756" s="511"/>
      <c r="AN756" s="511"/>
      <c r="AO756" s="511"/>
      <c r="AP756" s="511"/>
      <c r="AQ756" s="511"/>
      <c r="AR756" s="511"/>
      <c r="AS756" s="511"/>
      <c r="AT756" s="511"/>
      <c r="AU756" s="511"/>
      <c r="AV756" s="511"/>
      <c r="AW756" s="511"/>
      <c r="AX756" s="511"/>
      <c r="AY756" s="511"/>
      <c r="AZ756" s="511"/>
      <c r="BA756" s="511"/>
      <c r="BB756" s="511"/>
      <c r="BC756" s="511"/>
    </row>
    <row r="757" spans="1:55" ht="16.5" customHeight="1" x14ac:dyDescent="0.3">
      <c r="A757" s="511"/>
      <c r="B757" s="511"/>
      <c r="C757" s="511"/>
      <c r="D757" s="511"/>
      <c r="E757" s="511"/>
      <c r="F757" s="511"/>
      <c r="G757" s="511"/>
      <c r="H757" s="511"/>
      <c r="I757" s="511"/>
      <c r="J757" s="511"/>
      <c r="K757" s="511"/>
      <c r="L757" s="511"/>
      <c r="M757" s="511"/>
      <c r="N757" s="511"/>
      <c r="O757" s="511"/>
      <c r="P757" s="511"/>
      <c r="Q757" s="511"/>
      <c r="R757" s="511"/>
      <c r="S757" s="511"/>
      <c r="T757" s="511"/>
      <c r="U757" s="511"/>
      <c r="V757" s="511"/>
      <c r="W757" s="511"/>
      <c r="X757" s="511"/>
      <c r="Y757" s="511"/>
      <c r="Z757" s="511"/>
      <c r="AA757" s="511"/>
      <c r="AB757" s="511"/>
      <c r="AC757" s="511"/>
      <c r="AD757" s="511"/>
      <c r="AE757" s="511"/>
      <c r="AF757" s="511"/>
      <c r="AG757" s="511"/>
      <c r="AH757" s="511"/>
      <c r="AI757" s="511"/>
      <c r="AJ757" s="511"/>
      <c r="AK757" s="511"/>
      <c r="AL757" s="511"/>
      <c r="AM757" s="511"/>
      <c r="AN757" s="511"/>
      <c r="AO757" s="511"/>
      <c r="AP757" s="511"/>
      <c r="AQ757" s="511"/>
      <c r="AR757" s="511"/>
      <c r="AS757" s="511"/>
      <c r="AT757" s="511"/>
      <c r="AU757" s="511"/>
      <c r="AV757" s="511"/>
      <c r="AW757" s="511"/>
      <c r="AX757" s="511"/>
      <c r="AY757" s="511"/>
      <c r="AZ757" s="511"/>
      <c r="BA757" s="511"/>
      <c r="BB757" s="511"/>
      <c r="BC757" s="511"/>
    </row>
    <row r="758" spans="1:55" ht="16.5" customHeight="1" x14ac:dyDescent="0.3">
      <c r="A758" s="511"/>
      <c r="B758" s="511"/>
      <c r="C758" s="511"/>
      <c r="D758" s="511"/>
      <c r="E758" s="511"/>
      <c r="F758" s="511"/>
      <c r="G758" s="511"/>
      <c r="H758" s="511"/>
      <c r="I758" s="511"/>
      <c r="J758" s="511"/>
      <c r="K758" s="511"/>
      <c r="L758" s="511"/>
      <c r="M758" s="511"/>
      <c r="N758" s="511"/>
      <c r="O758" s="511"/>
      <c r="P758" s="511"/>
      <c r="Q758" s="511"/>
      <c r="R758" s="511"/>
      <c r="S758" s="511"/>
      <c r="T758" s="511"/>
      <c r="U758" s="511"/>
      <c r="V758" s="511"/>
      <c r="W758" s="511"/>
      <c r="X758" s="511"/>
      <c r="Y758" s="511"/>
      <c r="Z758" s="511"/>
      <c r="AA758" s="511"/>
      <c r="AB758" s="511"/>
      <c r="AC758" s="511"/>
      <c r="AD758" s="511"/>
      <c r="AE758" s="511"/>
      <c r="AF758" s="511"/>
      <c r="AG758" s="511"/>
      <c r="AH758" s="511"/>
      <c r="AI758" s="511"/>
      <c r="AJ758" s="511"/>
      <c r="AK758" s="511"/>
      <c r="AL758" s="511"/>
      <c r="AM758" s="511"/>
      <c r="AN758" s="511"/>
      <c r="AO758" s="511"/>
      <c r="AP758" s="511"/>
      <c r="AQ758" s="511"/>
      <c r="AR758" s="511"/>
      <c r="AS758" s="511"/>
      <c r="AT758" s="511"/>
      <c r="AU758" s="511"/>
      <c r="AV758" s="511"/>
      <c r="AW758" s="511"/>
      <c r="AX758" s="511"/>
      <c r="AY758" s="511"/>
      <c r="AZ758" s="511"/>
      <c r="BA758" s="511"/>
      <c r="BB758" s="511"/>
      <c r="BC758" s="511"/>
    </row>
    <row r="759" spans="1:55" ht="16.5" customHeight="1" x14ac:dyDescent="0.3">
      <c r="A759" s="511"/>
      <c r="B759" s="511"/>
      <c r="C759" s="511"/>
      <c r="D759" s="511"/>
      <c r="E759" s="511"/>
      <c r="F759" s="511"/>
      <c r="G759" s="511"/>
      <c r="H759" s="511"/>
      <c r="I759" s="511"/>
      <c r="J759" s="511"/>
      <c r="K759" s="511"/>
      <c r="L759" s="511"/>
      <c r="M759" s="511"/>
      <c r="N759" s="511"/>
      <c r="O759" s="511"/>
      <c r="P759" s="511"/>
      <c r="Q759" s="511"/>
      <c r="R759" s="511"/>
      <c r="S759" s="511"/>
      <c r="T759" s="511"/>
      <c r="U759" s="511"/>
      <c r="V759" s="511"/>
      <c r="W759" s="511"/>
      <c r="X759" s="511"/>
      <c r="Y759" s="511"/>
      <c r="Z759" s="511"/>
      <c r="AA759" s="511"/>
      <c r="AB759" s="511"/>
      <c r="AC759" s="511"/>
      <c r="AD759" s="511"/>
      <c r="AE759" s="511"/>
      <c r="AF759" s="511"/>
      <c r="AG759" s="511"/>
      <c r="AH759" s="511"/>
      <c r="AI759" s="511"/>
      <c r="AJ759" s="511"/>
      <c r="AK759" s="511"/>
      <c r="AL759" s="511"/>
      <c r="AM759" s="511"/>
      <c r="AN759" s="511"/>
      <c r="AO759" s="511"/>
      <c r="AP759" s="511"/>
      <c r="AQ759" s="511"/>
      <c r="AR759" s="511"/>
      <c r="AS759" s="511"/>
      <c r="AT759" s="511"/>
      <c r="AU759" s="511"/>
      <c r="AV759" s="511"/>
      <c r="AW759" s="511"/>
      <c r="AX759" s="511"/>
      <c r="AY759" s="511"/>
      <c r="AZ759" s="511"/>
      <c r="BA759" s="511"/>
      <c r="BB759" s="511"/>
      <c r="BC759" s="511"/>
    </row>
    <row r="760" spans="1:55" ht="16.5" customHeight="1" x14ac:dyDescent="0.3">
      <c r="A760" s="511"/>
      <c r="B760" s="511"/>
      <c r="C760" s="511"/>
      <c r="D760" s="511"/>
      <c r="E760" s="511"/>
      <c r="F760" s="511"/>
      <c r="G760" s="511"/>
      <c r="H760" s="511"/>
      <c r="I760" s="511"/>
      <c r="J760" s="511"/>
      <c r="K760" s="511"/>
      <c r="L760" s="511"/>
      <c r="M760" s="511"/>
      <c r="N760" s="511"/>
      <c r="O760" s="511"/>
      <c r="P760" s="511"/>
      <c r="Q760" s="511"/>
      <c r="R760" s="511"/>
      <c r="S760" s="511"/>
      <c r="T760" s="511"/>
      <c r="U760" s="511"/>
      <c r="V760" s="511"/>
      <c r="W760" s="511"/>
      <c r="X760" s="511"/>
      <c r="Y760" s="511"/>
      <c r="Z760" s="511"/>
      <c r="AA760" s="511"/>
      <c r="AB760" s="511"/>
      <c r="AC760" s="511"/>
      <c r="AD760" s="511"/>
      <c r="AE760" s="511"/>
      <c r="AF760" s="511"/>
      <c r="AG760" s="511"/>
      <c r="AH760" s="511"/>
      <c r="AI760" s="511"/>
      <c r="AJ760" s="511"/>
      <c r="AK760" s="511"/>
      <c r="AL760" s="511"/>
      <c r="AM760" s="511"/>
      <c r="AN760" s="511"/>
      <c r="AO760" s="511"/>
      <c r="AP760" s="511"/>
      <c r="AQ760" s="511"/>
      <c r="AR760" s="511"/>
      <c r="AS760" s="511"/>
      <c r="AT760" s="511"/>
      <c r="AU760" s="511"/>
      <c r="AV760" s="511"/>
      <c r="AW760" s="511"/>
      <c r="AX760" s="511"/>
      <c r="AY760" s="511"/>
      <c r="AZ760" s="511"/>
      <c r="BA760" s="511"/>
      <c r="BB760" s="511"/>
      <c r="BC760" s="511"/>
    </row>
    <row r="761" spans="1:55" ht="16.5" customHeight="1" x14ac:dyDescent="0.3">
      <c r="A761" s="511"/>
      <c r="B761" s="511"/>
      <c r="C761" s="511"/>
      <c r="D761" s="511"/>
      <c r="E761" s="511"/>
      <c r="F761" s="511"/>
      <c r="G761" s="511"/>
      <c r="H761" s="511"/>
      <c r="I761" s="511"/>
      <c r="J761" s="511"/>
      <c r="K761" s="511"/>
      <c r="L761" s="511"/>
      <c r="M761" s="511"/>
      <c r="N761" s="511"/>
      <c r="O761" s="511"/>
      <c r="P761" s="511"/>
      <c r="Q761" s="511"/>
      <c r="R761" s="511"/>
      <c r="S761" s="511"/>
      <c r="T761" s="511"/>
      <c r="U761" s="511"/>
      <c r="V761" s="511"/>
      <c r="W761" s="511"/>
      <c r="X761" s="511"/>
      <c r="Y761" s="511"/>
      <c r="Z761" s="511"/>
      <c r="AA761" s="511"/>
      <c r="AB761" s="511"/>
      <c r="AC761" s="511"/>
      <c r="AD761" s="511"/>
      <c r="AE761" s="511"/>
      <c r="AF761" s="511"/>
      <c r="AG761" s="511"/>
      <c r="AH761" s="511"/>
      <c r="AI761" s="511"/>
      <c r="AJ761" s="511"/>
      <c r="AK761" s="511"/>
      <c r="AL761" s="511"/>
      <c r="AM761" s="511"/>
      <c r="AN761" s="511"/>
      <c r="AO761" s="511"/>
      <c r="AP761" s="511"/>
      <c r="AQ761" s="511"/>
      <c r="AR761" s="511"/>
      <c r="AS761" s="511"/>
      <c r="AT761" s="511"/>
      <c r="AU761" s="511"/>
      <c r="AV761" s="511"/>
      <c r="AW761" s="511"/>
      <c r="AX761" s="511"/>
      <c r="AY761" s="511"/>
      <c r="AZ761" s="511"/>
      <c r="BA761" s="511"/>
      <c r="BB761" s="511"/>
      <c r="BC761" s="511"/>
    </row>
    <row r="762" spans="1:55" ht="16.5" customHeight="1" x14ac:dyDescent="0.3">
      <c r="A762" s="511"/>
      <c r="B762" s="511"/>
      <c r="C762" s="511"/>
      <c r="D762" s="511"/>
      <c r="E762" s="511"/>
      <c r="F762" s="511"/>
      <c r="G762" s="511"/>
      <c r="H762" s="511"/>
      <c r="I762" s="511"/>
      <c r="J762" s="511"/>
      <c r="K762" s="511"/>
      <c r="L762" s="511"/>
      <c r="M762" s="511"/>
      <c r="N762" s="511"/>
      <c r="O762" s="511"/>
      <c r="P762" s="511"/>
      <c r="Q762" s="511"/>
      <c r="R762" s="511"/>
      <c r="S762" s="511"/>
      <c r="T762" s="511"/>
      <c r="U762" s="511"/>
      <c r="V762" s="511"/>
      <c r="W762" s="511"/>
      <c r="X762" s="511"/>
      <c r="Y762" s="511"/>
      <c r="Z762" s="511"/>
      <c r="AA762" s="511"/>
      <c r="AB762" s="511"/>
      <c r="AC762" s="511"/>
      <c r="AD762" s="511"/>
      <c r="AE762" s="511"/>
      <c r="AF762" s="511"/>
      <c r="AG762" s="511"/>
      <c r="AH762" s="511"/>
      <c r="AI762" s="511"/>
      <c r="AJ762" s="511"/>
      <c r="AK762" s="511"/>
      <c r="AL762" s="511"/>
      <c r="AM762" s="511"/>
      <c r="AN762" s="511"/>
      <c r="AO762" s="511"/>
      <c r="AP762" s="511"/>
      <c r="AQ762" s="511"/>
      <c r="AR762" s="511"/>
      <c r="AS762" s="511"/>
      <c r="AT762" s="511"/>
      <c r="AU762" s="511"/>
      <c r="AV762" s="511"/>
      <c r="AW762" s="511"/>
      <c r="AX762" s="511"/>
      <c r="AY762" s="511"/>
      <c r="AZ762" s="511"/>
      <c r="BA762" s="511"/>
      <c r="BB762" s="511"/>
      <c r="BC762" s="511"/>
    </row>
    <row r="763" spans="1:55" ht="16.5" customHeight="1" x14ac:dyDescent="0.3">
      <c r="A763" s="511"/>
      <c r="B763" s="511"/>
      <c r="C763" s="511"/>
      <c r="D763" s="511"/>
      <c r="E763" s="511"/>
      <c r="F763" s="511"/>
      <c r="G763" s="511"/>
      <c r="H763" s="511"/>
      <c r="I763" s="511"/>
      <c r="J763" s="511"/>
      <c r="K763" s="511"/>
      <c r="L763" s="511"/>
      <c r="M763" s="511"/>
      <c r="N763" s="511"/>
      <c r="O763" s="511"/>
      <c r="P763" s="511"/>
      <c r="Q763" s="511"/>
      <c r="R763" s="511"/>
      <c r="S763" s="511"/>
      <c r="T763" s="511"/>
      <c r="U763" s="511"/>
      <c r="V763" s="511"/>
      <c r="W763" s="511"/>
      <c r="X763" s="511"/>
      <c r="Y763" s="511"/>
      <c r="Z763" s="511"/>
      <c r="AA763" s="511"/>
      <c r="AB763" s="511"/>
      <c r="AC763" s="511"/>
      <c r="AD763" s="511"/>
      <c r="AE763" s="511"/>
      <c r="AF763" s="511"/>
      <c r="AG763" s="511"/>
      <c r="AH763" s="511"/>
      <c r="AI763" s="511"/>
      <c r="AJ763" s="511"/>
      <c r="AK763" s="511"/>
      <c r="AL763" s="511"/>
      <c r="AM763" s="511"/>
      <c r="AN763" s="511"/>
      <c r="AO763" s="511"/>
      <c r="AP763" s="511"/>
      <c r="AQ763" s="511"/>
      <c r="AR763" s="511"/>
      <c r="AS763" s="511"/>
      <c r="AT763" s="511"/>
      <c r="AU763" s="511"/>
      <c r="AV763" s="511"/>
      <c r="AW763" s="511"/>
      <c r="AX763" s="511"/>
      <c r="AY763" s="511"/>
      <c r="AZ763" s="511"/>
      <c r="BA763" s="511"/>
      <c r="BB763" s="511"/>
      <c r="BC763" s="511"/>
    </row>
    <row r="764" spans="1:55" ht="16.5" customHeight="1" x14ac:dyDescent="0.3">
      <c r="A764" s="511"/>
      <c r="B764" s="511"/>
      <c r="C764" s="511"/>
      <c r="D764" s="511"/>
      <c r="E764" s="511"/>
      <c r="F764" s="511"/>
      <c r="G764" s="511"/>
      <c r="H764" s="511"/>
      <c r="I764" s="511"/>
      <c r="J764" s="511"/>
      <c r="K764" s="511"/>
      <c r="L764" s="511"/>
      <c r="M764" s="511"/>
      <c r="N764" s="511"/>
      <c r="O764" s="511"/>
      <c r="P764" s="511"/>
      <c r="Q764" s="511"/>
      <c r="R764" s="511"/>
      <c r="S764" s="511"/>
      <c r="T764" s="511"/>
      <c r="U764" s="511"/>
      <c r="V764" s="511"/>
      <c r="W764" s="511"/>
      <c r="X764" s="511"/>
      <c r="Y764" s="511"/>
      <c r="Z764" s="511"/>
      <c r="AA764" s="511"/>
      <c r="AB764" s="511"/>
      <c r="AC764" s="511"/>
      <c r="AD764" s="511"/>
      <c r="AE764" s="511"/>
      <c r="AF764" s="511"/>
      <c r="AG764" s="511"/>
      <c r="AH764" s="511"/>
      <c r="AI764" s="511"/>
      <c r="AJ764" s="511"/>
      <c r="AK764" s="511"/>
      <c r="AL764" s="511"/>
      <c r="AM764" s="511"/>
      <c r="AN764" s="511"/>
      <c r="AO764" s="511"/>
      <c r="AP764" s="511"/>
      <c r="AQ764" s="511"/>
      <c r="AR764" s="511"/>
      <c r="AS764" s="511"/>
      <c r="AT764" s="511"/>
      <c r="AU764" s="511"/>
      <c r="AV764" s="511"/>
      <c r="AW764" s="511"/>
      <c r="AX764" s="511"/>
      <c r="AY764" s="511"/>
      <c r="AZ764" s="511"/>
      <c r="BA764" s="511"/>
      <c r="BB764" s="511"/>
      <c r="BC764" s="511"/>
    </row>
    <row r="765" spans="1:55" ht="16.5" customHeight="1" x14ac:dyDescent="0.3">
      <c r="A765" s="511"/>
      <c r="B765" s="511"/>
      <c r="C765" s="511"/>
      <c r="D765" s="511"/>
      <c r="E765" s="511"/>
      <c r="F765" s="511"/>
      <c r="G765" s="511"/>
      <c r="H765" s="511"/>
      <c r="I765" s="511"/>
      <c r="J765" s="511"/>
      <c r="K765" s="511"/>
      <c r="L765" s="511"/>
      <c r="M765" s="511"/>
      <c r="N765" s="511"/>
      <c r="O765" s="511"/>
      <c r="P765" s="511"/>
      <c r="Q765" s="511"/>
      <c r="R765" s="511"/>
      <c r="S765" s="511"/>
      <c r="T765" s="511"/>
      <c r="U765" s="511"/>
      <c r="V765" s="511"/>
      <c r="W765" s="511"/>
      <c r="X765" s="511"/>
      <c r="Y765" s="511"/>
      <c r="Z765" s="511"/>
      <c r="AA765" s="511"/>
      <c r="AB765" s="511"/>
      <c r="AC765" s="511"/>
      <c r="AD765" s="511"/>
      <c r="AE765" s="511"/>
      <c r="AF765" s="511"/>
      <c r="AG765" s="511"/>
      <c r="AH765" s="511"/>
      <c r="AI765" s="511"/>
      <c r="AJ765" s="511"/>
      <c r="AK765" s="511"/>
      <c r="AL765" s="511"/>
      <c r="AM765" s="511"/>
      <c r="AN765" s="511"/>
      <c r="AO765" s="511"/>
      <c r="AP765" s="511"/>
      <c r="AQ765" s="511"/>
      <c r="AR765" s="511"/>
      <c r="AS765" s="511"/>
      <c r="AT765" s="511"/>
      <c r="AU765" s="511"/>
      <c r="AV765" s="511"/>
      <c r="AW765" s="511"/>
      <c r="AX765" s="511"/>
      <c r="AY765" s="511"/>
      <c r="AZ765" s="511"/>
      <c r="BA765" s="511"/>
      <c r="BB765" s="511"/>
      <c r="BC765" s="511"/>
    </row>
    <row r="766" spans="1:55" ht="16.5" customHeight="1" x14ac:dyDescent="0.3">
      <c r="A766" s="511"/>
      <c r="B766" s="511"/>
      <c r="C766" s="511"/>
      <c r="D766" s="511"/>
      <c r="E766" s="511"/>
      <c r="F766" s="511"/>
      <c r="G766" s="511"/>
      <c r="H766" s="511"/>
      <c r="I766" s="511"/>
      <c r="J766" s="511"/>
      <c r="K766" s="511"/>
      <c r="L766" s="511"/>
      <c r="M766" s="511"/>
      <c r="N766" s="511"/>
      <c r="O766" s="511"/>
      <c r="P766" s="511"/>
      <c r="Q766" s="511"/>
      <c r="R766" s="511"/>
      <c r="S766" s="511"/>
      <c r="T766" s="511"/>
      <c r="U766" s="511"/>
      <c r="V766" s="511"/>
      <c r="W766" s="511"/>
      <c r="X766" s="511"/>
      <c r="Y766" s="511"/>
      <c r="Z766" s="511"/>
      <c r="AA766" s="511"/>
      <c r="AB766" s="511"/>
      <c r="AC766" s="511"/>
      <c r="AD766" s="511"/>
      <c r="AE766" s="511"/>
      <c r="AF766" s="511"/>
      <c r="AG766" s="511"/>
      <c r="AH766" s="511"/>
      <c r="AI766" s="511"/>
      <c r="AJ766" s="511"/>
      <c r="AK766" s="511"/>
      <c r="AL766" s="511"/>
      <c r="AM766" s="511"/>
      <c r="AN766" s="511"/>
      <c r="AO766" s="511"/>
      <c r="AP766" s="511"/>
      <c r="AQ766" s="511"/>
      <c r="AR766" s="511"/>
      <c r="AS766" s="511"/>
      <c r="AT766" s="511"/>
      <c r="AU766" s="511"/>
      <c r="AV766" s="511"/>
      <c r="AW766" s="511"/>
      <c r="AX766" s="511"/>
      <c r="AY766" s="511"/>
      <c r="AZ766" s="511"/>
      <c r="BA766" s="511"/>
      <c r="BB766" s="511"/>
      <c r="BC766" s="511"/>
    </row>
    <row r="767" spans="1:55" ht="16.5" customHeight="1" x14ac:dyDescent="0.3">
      <c r="A767" s="511"/>
      <c r="B767" s="511"/>
      <c r="C767" s="511"/>
      <c r="D767" s="511"/>
      <c r="E767" s="511"/>
      <c r="F767" s="511"/>
      <c r="G767" s="511"/>
      <c r="H767" s="511"/>
      <c r="I767" s="511"/>
      <c r="J767" s="511"/>
      <c r="K767" s="511"/>
      <c r="L767" s="511"/>
      <c r="M767" s="511"/>
      <c r="N767" s="511"/>
      <c r="O767" s="511"/>
      <c r="P767" s="511"/>
      <c r="Q767" s="511"/>
      <c r="R767" s="511"/>
      <c r="S767" s="511"/>
      <c r="T767" s="511"/>
      <c r="U767" s="511"/>
      <c r="V767" s="511"/>
      <c r="W767" s="511"/>
      <c r="X767" s="511"/>
      <c r="Y767" s="511"/>
      <c r="Z767" s="511"/>
      <c r="AA767" s="511"/>
      <c r="AB767" s="511"/>
      <c r="AC767" s="511"/>
      <c r="AD767" s="511"/>
      <c r="AE767" s="511"/>
      <c r="AF767" s="511"/>
      <c r="AG767" s="511"/>
      <c r="AH767" s="511"/>
      <c r="AI767" s="511"/>
      <c r="AJ767" s="511"/>
      <c r="AK767" s="511"/>
      <c r="AL767" s="511"/>
      <c r="AM767" s="511"/>
      <c r="AN767" s="511"/>
      <c r="AO767" s="511"/>
      <c r="AP767" s="511"/>
      <c r="AQ767" s="511"/>
      <c r="AR767" s="511"/>
      <c r="AS767" s="511"/>
      <c r="AT767" s="511"/>
      <c r="AU767" s="511"/>
      <c r="AV767" s="511"/>
      <c r="AW767" s="511"/>
      <c r="AX767" s="511"/>
      <c r="AY767" s="511"/>
      <c r="AZ767" s="511"/>
      <c r="BA767" s="511"/>
      <c r="BB767" s="511"/>
      <c r="BC767" s="511"/>
    </row>
    <row r="768" spans="1:55" ht="16.5" customHeight="1" x14ac:dyDescent="0.3">
      <c r="A768" s="511"/>
      <c r="B768" s="511"/>
      <c r="C768" s="511"/>
      <c r="D768" s="511"/>
      <c r="E768" s="511"/>
      <c r="F768" s="511"/>
      <c r="G768" s="511"/>
      <c r="H768" s="511"/>
      <c r="I768" s="511"/>
      <c r="J768" s="511"/>
      <c r="K768" s="511"/>
      <c r="L768" s="511"/>
      <c r="M768" s="511"/>
      <c r="N768" s="511"/>
      <c r="O768" s="511"/>
      <c r="P768" s="511"/>
      <c r="Q768" s="511"/>
      <c r="R768" s="511"/>
      <c r="S768" s="511"/>
      <c r="T768" s="511"/>
      <c r="U768" s="511"/>
      <c r="V768" s="511"/>
      <c r="W768" s="511"/>
      <c r="X768" s="511"/>
      <c r="Y768" s="511"/>
      <c r="Z768" s="511"/>
      <c r="AA768" s="511"/>
      <c r="AB768" s="511"/>
      <c r="AC768" s="511"/>
      <c r="AD768" s="511"/>
      <c r="AE768" s="511"/>
      <c r="AF768" s="511"/>
      <c r="AG768" s="511"/>
      <c r="AH768" s="511"/>
      <c r="AI768" s="511"/>
      <c r="AJ768" s="511"/>
      <c r="AK768" s="511"/>
      <c r="AL768" s="511"/>
      <c r="AM768" s="511"/>
      <c r="AN768" s="511"/>
      <c r="AO768" s="511"/>
      <c r="AP768" s="511"/>
      <c r="AQ768" s="511"/>
      <c r="AR768" s="511"/>
      <c r="AS768" s="511"/>
      <c r="AT768" s="511"/>
      <c r="AU768" s="511"/>
      <c r="AV768" s="511"/>
      <c r="AW768" s="511"/>
      <c r="AX768" s="511"/>
      <c r="AY768" s="511"/>
      <c r="AZ768" s="511"/>
      <c r="BA768" s="511"/>
      <c r="BB768" s="511"/>
      <c r="BC768" s="511"/>
    </row>
    <row r="769" spans="1:55" ht="16.5" customHeight="1" x14ac:dyDescent="0.3">
      <c r="A769" s="511"/>
      <c r="B769" s="511"/>
      <c r="C769" s="511"/>
      <c r="D769" s="511"/>
      <c r="E769" s="511"/>
      <c r="F769" s="511"/>
      <c r="G769" s="511"/>
      <c r="H769" s="511"/>
      <c r="I769" s="511"/>
      <c r="J769" s="511"/>
      <c r="K769" s="511"/>
      <c r="L769" s="511"/>
      <c r="M769" s="511"/>
      <c r="N769" s="511"/>
      <c r="O769" s="511"/>
      <c r="P769" s="511"/>
      <c r="Q769" s="511"/>
      <c r="R769" s="511"/>
      <c r="S769" s="511"/>
      <c r="T769" s="511"/>
      <c r="U769" s="511"/>
      <c r="V769" s="511"/>
      <c r="W769" s="511"/>
      <c r="X769" s="511"/>
      <c r="Y769" s="511"/>
      <c r="Z769" s="511"/>
      <c r="AA769" s="511"/>
      <c r="AB769" s="511"/>
      <c r="AC769" s="511"/>
      <c r="AD769" s="511"/>
      <c r="AE769" s="511"/>
      <c r="AF769" s="511"/>
      <c r="AG769" s="511"/>
      <c r="AH769" s="511"/>
      <c r="AI769" s="511"/>
      <c r="AJ769" s="511"/>
      <c r="AK769" s="511"/>
      <c r="AL769" s="511"/>
      <c r="AM769" s="511"/>
      <c r="AN769" s="511"/>
      <c r="AO769" s="511"/>
      <c r="AP769" s="511"/>
      <c r="AQ769" s="511"/>
      <c r="AR769" s="511"/>
      <c r="AS769" s="511"/>
      <c r="AT769" s="511"/>
      <c r="AU769" s="511"/>
      <c r="AV769" s="511"/>
      <c r="AW769" s="511"/>
      <c r="AX769" s="511"/>
      <c r="AY769" s="511"/>
      <c r="AZ769" s="511"/>
      <c r="BA769" s="511"/>
      <c r="BB769" s="511"/>
      <c r="BC769" s="511"/>
    </row>
    <row r="770" spans="1:55" ht="16.5" customHeight="1" x14ac:dyDescent="0.3">
      <c r="A770" s="511"/>
      <c r="B770" s="511"/>
      <c r="C770" s="511"/>
      <c r="D770" s="511"/>
      <c r="E770" s="511"/>
      <c r="F770" s="511"/>
      <c r="G770" s="511"/>
      <c r="H770" s="511"/>
      <c r="I770" s="511"/>
      <c r="J770" s="511"/>
      <c r="K770" s="511"/>
      <c r="L770" s="511"/>
      <c r="M770" s="511"/>
      <c r="N770" s="511"/>
      <c r="O770" s="511"/>
      <c r="P770" s="511"/>
      <c r="Q770" s="511"/>
      <c r="R770" s="511"/>
      <c r="S770" s="511"/>
      <c r="T770" s="511"/>
      <c r="U770" s="511"/>
      <c r="V770" s="511"/>
      <c r="W770" s="511"/>
      <c r="X770" s="511"/>
      <c r="Y770" s="511"/>
      <c r="Z770" s="511"/>
      <c r="AA770" s="511"/>
      <c r="AB770" s="511"/>
      <c r="AC770" s="511"/>
      <c r="AD770" s="511"/>
      <c r="AE770" s="511"/>
      <c r="AF770" s="511"/>
      <c r="AG770" s="511"/>
      <c r="AH770" s="511"/>
      <c r="AI770" s="511"/>
      <c r="AJ770" s="511"/>
      <c r="AK770" s="511"/>
      <c r="AL770" s="511"/>
      <c r="AM770" s="511"/>
      <c r="AN770" s="511"/>
      <c r="AO770" s="511"/>
      <c r="AP770" s="511"/>
      <c r="AQ770" s="511"/>
      <c r="AR770" s="511"/>
      <c r="AS770" s="511"/>
      <c r="AT770" s="511"/>
      <c r="AU770" s="511"/>
      <c r="AV770" s="511"/>
      <c r="AW770" s="511"/>
      <c r="AX770" s="511"/>
      <c r="AY770" s="511"/>
      <c r="AZ770" s="511"/>
      <c r="BA770" s="511"/>
      <c r="BB770" s="511"/>
      <c r="BC770" s="511"/>
    </row>
    <row r="771" spans="1:55" ht="16.5" customHeight="1" x14ac:dyDescent="0.3">
      <c r="A771" s="511"/>
      <c r="B771" s="511"/>
      <c r="C771" s="511"/>
      <c r="D771" s="511"/>
      <c r="E771" s="511"/>
      <c r="F771" s="511"/>
      <c r="G771" s="511"/>
      <c r="H771" s="511"/>
      <c r="I771" s="511"/>
      <c r="J771" s="511"/>
      <c r="K771" s="511"/>
      <c r="L771" s="511"/>
      <c r="M771" s="511"/>
      <c r="N771" s="511"/>
      <c r="O771" s="511"/>
      <c r="P771" s="511"/>
      <c r="Q771" s="511"/>
      <c r="R771" s="511"/>
      <c r="S771" s="511"/>
      <c r="T771" s="511"/>
      <c r="U771" s="511"/>
      <c r="V771" s="511"/>
      <c r="W771" s="511"/>
      <c r="X771" s="511"/>
      <c r="Y771" s="511"/>
      <c r="Z771" s="511"/>
      <c r="AA771" s="511"/>
      <c r="AB771" s="511"/>
      <c r="AC771" s="511"/>
      <c r="AD771" s="511"/>
      <c r="AE771" s="511"/>
      <c r="AF771" s="511"/>
      <c r="AG771" s="511"/>
      <c r="AH771" s="511"/>
      <c r="AI771" s="511"/>
      <c r="AJ771" s="511"/>
      <c r="AK771" s="511"/>
      <c r="AL771" s="511"/>
      <c r="AM771" s="511"/>
      <c r="AN771" s="511"/>
      <c r="AO771" s="511"/>
      <c r="AP771" s="511"/>
      <c r="AQ771" s="511"/>
      <c r="AR771" s="511"/>
      <c r="AS771" s="511"/>
      <c r="AT771" s="511"/>
      <c r="AU771" s="511"/>
      <c r="AV771" s="511"/>
      <c r="AW771" s="511"/>
      <c r="AX771" s="511"/>
      <c r="AY771" s="511"/>
      <c r="AZ771" s="511"/>
      <c r="BA771" s="511"/>
      <c r="BB771" s="511"/>
      <c r="BC771" s="511"/>
    </row>
    <row r="772" spans="1:55" ht="16.5" customHeight="1" x14ac:dyDescent="0.3">
      <c r="A772" s="511"/>
      <c r="B772" s="511"/>
      <c r="C772" s="511"/>
      <c r="D772" s="511"/>
      <c r="E772" s="511"/>
      <c r="F772" s="511"/>
      <c r="G772" s="511"/>
      <c r="H772" s="511"/>
      <c r="I772" s="511"/>
      <c r="J772" s="511"/>
      <c r="K772" s="511"/>
      <c r="L772" s="511"/>
      <c r="M772" s="511"/>
      <c r="N772" s="511"/>
      <c r="O772" s="511"/>
      <c r="P772" s="511"/>
      <c r="Q772" s="511"/>
      <c r="R772" s="511"/>
      <c r="S772" s="511"/>
      <c r="T772" s="511"/>
      <c r="U772" s="511"/>
      <c r="V772" s="511"/>
      <c r="W772" s="511"/>
      <c r="X772" s="511"/>
      <c r="Y772" s="511"/>
      <c r="Z772" s="511"/>
      <c r="AA772" s="511"/>
      <c r="AB772" s="511"/>
      <c r="AC772" s="511"/>
      <c r="AD772" s="511"/>
      <c r="AE772" s="511"/>
      <c r="AF772" s="511"/>
      <c r="AG772" s="511"/>
      <c r="AH772" s="511"/>
      <c r="AI772" s="511"/>
      <c r="AJ772" s="511"/>
      <c r="AK772" s="511"/>
      <c r="AL772" s="511"/>
      <c r="AM772" s="511"/>
      <c r="AN772" s="511"/>
      <c r="AO772" s="511"/>
      <c r="AP772" s="511"/>
      <c r="AQ772" s="511"/>
      <c r="AR772" s="511"/>
      <c r="AS772" s="511"/>
      <c r="AT772" s="511"/>
      <c r="AU772" s="511"/>
      <c r="AV772" s="511"/>
      <c r="AW772" s="511"/>
      <c r="AX772" s="511"/>
      <c r="AY772" s="511"/>
      <c r="AZ772" s="511"/>
      <c r="BA772" s="511"/>
      <c r="BB772" s="511"/>
      <c r="BC772" s="511"/>
    </row>
    <row r="773" spans="1:55" ht="16.5" customHeight="1" x14ac:dyDescent="0.3">
      <c r="A773" s="511"/>
      <c r="B773" s="511"/>
      <c r="C773" s="511"/>
      <c r="D773" s="511"/>
      <c r="E773" s="511"/>
      <c r="F773" s="511"/>
      <c r="G773" s="511"/>
      <c r="H773" s="511"/>
      <c r="I773" s="511"/>
      <c r="J773" s="511"/>
      <c r="K773" s="511"/>
      <c r="L773" s="511"/>
      <c r="M773" s="511"/>
      <c r="N773" s="511"/>
      <c r="O773" s="511"/>
      <c r="P773" s="511"/>
      <c r="Q773" s="511"/>
      <c r="R773" s="511"/>
      <c r="S773" s="511"/>
      <c r="T773" s="511"/>
      <c r="U773" s="511"/>
      <c r="V773" s="511"/>
      <c r="W773" s="511"/>
      <c r="X773" s="511"/>
      <c r="Y773" s="511"/>
      <c r="Z773" s="511"/>
      <c r="AA773" s="511"/>
      <c r="AB773" s="511"/>
      <c r="AC773" s="511"/>
      <c r="AD773" s="511"/>
      <c r="AE773" s="511"/>
      <c r="AF773" s="511"/>
      <c r="AG773" s="511"/>
      <c r="AH773" s="511"/>
      <c r="AI773" s="511"/>
      <c r="AJ773" s="511"/>
      <c r="AK773" s="511"/>
      <c r="AL773" s="511"/>
      <c r="AM773" s="511"/>
      <c r="AN773" s="511"/>
      <c r="AO773" s="511"/>
      <c r="AP773" s="511"/>
      <c r="AQ773" s="511"/>
      <c r="AR773" s="511"/>
      <c r="AS773" s="511"/>
      <c r="AT773" s="511"/>
      <c r="AU773" s="511"/>
      <c r="AV773" s="511"/>
      <c r="AW773" s="511"/>
      <c r="AX773" s="511"/>
      <c r="AY773" s="511"/>
      <c r="AZ773" s="511"/>
      <c r="BA773" s="511"/>
      <c r="BB773" s="511"/>
      <c r="BC773" s="511"/>
    </row>
    <row r="774" spans="1:55" ht="16.5" customHeight="1" x14ac:dyDescent="0.3">
      <c r="A774" s="511"/>
      <c r="B774" s="511"/>
      <c r="C774" s="511"/>
      <c r="D774" s="511"/>
      <c r="E774" s="511"/>
      <c r="F774" s="511"/>
      <c r="G774" s="511"/>
      <c r="H774" s="511"/>
      <c r="I774" s="511"/>
      <c r="J774" s="511"/>
      <c r="K774" s="511"/>
      <c r="L774" s="511"/>
      <c r="M774" s="511"/>
      <c r="N774" s="511"/>
      <c r="O774" s="511"/>
      <c r="P774" s="511"/>
      <c r="Q774" s="511"/>
      <c r="R774" s="511"/>
      <c r="S774" s="511"/>
      <c r="T774" s="511"/>
      <c r="U774" s="511"/>
      <c r="V774" s="511"/>
      <c r="W774" s="511"/>
      <c r="X774" s="511"/>
      <c r="Y774" s="511"/>
      <c r="Z774" s="511"/>
      <c r="AA774" s="511"/>
      <c r="AB774" s="511"/>
      <c r="AC774" s="511"/>
      <c r="AD774" s="511"/>
      <c r="AE774" s="511"/>
      <c r="AF774" s="511"/>
      <c r="AG774" s="511"/>
      <c r="AH774" s="511"/>
      <c r="AI774" s="511"/>
      <c r="AJ774" s="511"/>
      <c r="AK774" s="511"/>
      <c r="AL774" s="511"/>
      <c r="AM774" s="511"/>
      <c r="AN774" s="511"/>
      <c r="AO774" s="511"/>
      <c r="AP774" s="511"/>
      <c r="AQ774" s="511"/>
      <c r="AR774" s="511"/>
      <c r="AS774" s="511"/>
      <c r="AT774" s="511"/>
      <c r="AU774" s="511"/>
      <c r="AV774" s="511"/>
      <c r="AW774" s="511"/>
      <c r="AX774" s="511"/>
      <c r="AY774" s="511"/>
      <c r="AZ774" s="511"/>
      <c r="BA774" s="511"/>
      <c r="BB774" s="511"/>
      <c r="BC774" s="511"/>
    </row>
    <row r="775" spans="1:55" ht="16.5" customHeight="1" x14ac:dyDescent="0.3">
      <c r="A775" s="511"/>
      <c r="B775" s="511"/>
      <c r="C775" s="511"/>
      <c r="D775" s="511"/>
      <c r="E775" s="511"/>
      <c r="F775" s="511"/>
      <c r="G775" s="511"/>
      <c r="H775" s="511"/>
      <c r="I775" s="511"/>
      <c r="J775" s="511"/>
      <c r="K775" s="511"/>
      <c r="L775" s="511"/>
      <c r="M775" s="511"/>
      <c r="N775" s="511"/>
      <c r="O775" s="511"/>
      <c r="P775" s="511"/>
      <c r="Q775" s="511"/>
      <c r="R775" s="511"/>
      <c r="S775" s="511"/>
      <c r="T775" s="511"/>
      <c r="U775" s="511"/>
      <c r="V775" s="511"/>
      <c r="W775" s="511"/>
      <c r="X775" s="511"/>
      <c r="Y775" s="511"/>
      <c r="Z775" s="511"/>
      <c r="AA775" s="511"/>
      <c r="AB775" s="511"/>
      <c r="AC775" s="511"/>
      <c r="AD775" s="511"/>
      <c r="AE775" s="511"/>
      <c r="AF775" s="511"/>
      <c r="AG775" s="511"/>
      <c r="AH775" s="511"/>
      <c r="AI775" s="511"/>
      <c r="AJ775" s="511"/>
      <c r="AK775" s="511"/>
      <c r="AL775" s="511"/>
      <c r="AM775" s="511"/>
      <c r="AN775" s="511"/>
      <c r="AO775" s="511"/>
      <c r="AP775" s="511"/>
      <c r="AQ775" s="511"/>
      <c r="AR775" s="511"/>
      <c r="AS775" s="511"/>
      <c r="AT775" s="511"/>
      <c r="AU775" s="511"/>
      <c r="AV775" s="511"/>
      <c r="AW775" s="511"/>
      <c r="AX775" s="511"/>
      <c r="AY775" s="511"/>
      <c r="AZ775" s="511"/>
      <c r="BA775" s="511"/>
      <c r="BB775" s="511"/>
      <c r="BC775" s="511"/>
    </row>
    <row r="776" spans="1:55" ht="16.5" customHeight="1" x14ac:dyDescent="0.3">
      <c r="A776" s="511"/>
      <c r="B776" s="511"/>
      <c r="C776" s="511"/>
      <c r="D776" s="511"/>
      <c r="E776" s="511"/>
      <c r="F776" s="511"/>
      <c r="G776" s="511"/>
      <c r="H776" s="511"/>
      <c r="I776" s="511"/>
      <c r="J776" s="511"/>
      <c r="K776" s="511"/>
      <c r="L776" s="511"/>
      <c r="M776" s="511"/>
      <c r="N776" s="511"/>
      <c r="O776" s="511"/>
      <c r="P776" s="511"/>
      <c r="Q776" s="511"/>
      <c r="R776" s="511"/>
      <c r="S776" s="511"/>
      <c r="T776" s="511"/>
      <c r="U776" s="511"/>
      <c r="V776" s="511"/>
      <c r="W776" s="511"/>
      <c r="X776" s="511"/>
      <c r="Y776" s="511"/>
      <c r="Z776" s="511"/>
      <c r="AA776" s="511"/>
      <c r="AB776" s="511"/>
      <c r="AC776" s="511"/>
      <c r="AD776" s="511"/>
      <c r="AE776" s="511"/>
      <c r="AF776" s="511"/>
      <c r="AG776" s="511"/>
      <c r="AH776" s="511"/>
      <c r="AI776" s="511"/>
      <c r="AJ776" s="511"/>
      <c r="AK776" s="511"/>
      <c r="AL776" s="511"/>
      <c r="AM776" s="511"/>
      <c r="AN776" s="511"/>
      <c r="AO776" s="511"/>
      <c r="AP776" s="511"/>
      <c r="AQ776" s="511"/>
      <c r="AR776" s="511"/>
      <c r="AS776" s="511"/>
      <c r="AT776" s="511"/>
      <c r="AU776" s="511"/>
      <c r="AV776" s="511"/>
      <c r="AW776" s="511"/>
      <c r="AX776" s="511"/>
      <c r="AY776" s="511"/>
      <c r="AZ776" s="511"/>
      <c r="BA776" s="511"/>
      <c r="BB776" s="511"/>
      <c r="BC776" s="511"/>
    </row>
    <row r="777" spans="1:55" ht="16.5" customHeight="1" x14ac:dyDescent="0.3">
      <c r="A777" s="511"/>
      <c r="B777" s="511"/>
      <c r="C777" s="511"/>
      <c r="D777" s="511"/>
      <c r="E777" s="511"/>
      <c r="F777" s="511"/>
      <c r="G777" s="511"/>
      <c r="H777" s="511"/>
      <c r="I777" s="511"/>
      <c r="J777" s="511"/>
      <c r="K777" s="511"/>
      <c r="L777" s="511"/>
      <c r="M777" s="511"/>
      <c r="N777" s="511"/>
      <c r="O777" s="511"/>
      <c r="P777" s="511"/>
      <c r="Q777" s="511"/>
      <c r="R777" s="511"/>
      <c r="S777" s="511"/>
      <c r="T777" s="511"/>
      <c r="U777" s="511"/>
      <c r="V777" s="511"/>
      <c r="W777" s="511"/>
      <c r="X777" s="511"/>
      <c r="Y777" s="511"/>
      <c r="Z777" s="511"/>
      <c r="AA777" s="511"/>
      <c r="AB777" s="511"/>
      <c r="AC777" s="511"/>
      <c r="AD777" s="511"/>
      <c r="AE777" s="511"/>
      <c r="AF777" s="511"/>
      <c r="AG777" s="511"/>
      <c r="AH777" s="511"/>
      <c r="AI777" s="511"/>
      <c r="AJ777" s="511"/>
      <c r="AK777" s="511"/>
      <c r="AL777" s="511"/>
      <c r="AM777" s="511"/>
      <c r="AN777" s="511"/>
      <c r="AO777" s="511"/>
      <c r="AP777" s="511"/>
      <c r="AQ777" s="511"/>
      <c r="AR777" s="511"/>
      <c r="AS777" s="511"/>
      <c r="AT777" s="511"/>
      <c r="AU777" s="511"/>
      <c r="AV777" s="511"/>
      <c r="AW777" s="511"/>
      <c r="AX777" s="511"/>
      <c r="AY777" s="511"/>
      <c r="AZ777" s="511"/>
      <c r="BA777" s="511"/>
      <c r="BB777" s="511"/>
      <c r="BC777" s="511"/>
    </row>
    <row r="778" spans="1:55" ht="16.5" customHeight="1" x14ac:dyDescent="0.3">
      <c r="A778" s="511"/>
      <c r="B778" s="511"/>
      <c r="C778" s="511"/>
      <c r="D778" s="511"/>
      <c r="E778" s="511"/>
      <c r="F778" s="511"/>
      <c r="G778" s="511"/>
      <c r="H778" s="511"/>
      <c r="I778" s="511"/>
      <c r="J778" s="511"/>
      <c r="K778" s="511"/>
      <c r="L778" s="511"/>
      <c r="M778" s="511"/>
      <c r="N778" s="511"/>
      <c r="O778" s="511"/>
      <c r="P778" s="511"/>
      <c r="Q778" s="511"/>
      <c r="R778" s="511"/>
      <c r="S778" s="511"/>
      <c r="T778" s="511"/>
      <c r="U778" s="511"/>
      <c r="V778" s="511"/>
      <c r="W778" s="511"/>
      <c r="X778" s="511"/>
      <c r="Y778" s="511"/>
      <c r="Z778" s="511"/>
      <c r="AA778" s="511"/>
      <c r="AB778" s="511"/>
      <c r="AC778" s="511"/>
      <c r="AD778" s="511"/>
      <c r="AE778" s="511"/>
      <c r="AF778" s="511"/>
      <c r="AG778" s="511"/>
      <c r="AH778" s="511"/>
      <c r="AI778" s="511"/>
      <c r="AJ778" s="511"/>
      <c r="AK778" s="511"/>
      <c r="AL778" s="511"/>
      <c r="AM778" s="511"/>
      <c r="AN778" s="511"/>
      <c r="AO778" s="511"/>
      <c r="AP778" s="511"/>
      <c r="AQ778" s="511"/>
      <c r="AR778" s="511"/>
      <c r="AS778" s="511"/>
      <c r="AT778" s="511"/>
      <c r="AU778" s="511"/>
      <c r="AV778" s="511"/>
      <c r="AW778" s="511"/>
      <c r="AX778" s="511"/>
      <c r="AY778" s="511"/>
      <c r="AZ778" s="511"/>
      <c r="BA778" s="511"/>
      <c r="BB778" s="511"/>
      <c r="BC778" s="511"/>
    </row>
    <row r="779" spans="1:55" ht="16.5" customHeight="1" x14ac:dyDescent="0.3">
      <c r="A779" s="511"/>
      <c r="B779" s="511"/>
      <c r="C779" s="511"/>
      <c r="D779" s="511"/>
      <c r="E779" s="511"/>
      <c r="F779" s="511"/>
      <c r="G779" s="511"/>
      <c r="H779" s="511"/>
      <c r="I779" s="511"/>
      <c r="J779" s="511"/>
      <c r="K779" s="511"/>
      <c r="L779" s="511"/>
      <c r="M779" s="511"/>
      <c r="N779" s="511"/>
      <c r="O779" s="511"/>
      <c r="P779" s="511"/>
      <c r="Q779" s="511"/>
      <c r="R779" s="511"/>
      <c r="S779" s="511"/>
      <c r="T779" s="511"/>
      <c r="U779" s="511"/>
      <c r="V779" s="511"/>
      <c r="W779" s="511"/>
      <c r="X779" s="511"/>
      <c r="Y779" s="511"/>
      <c r="Z779" s="511"/>
      <c r="AA779" s="511"/>
      <c r="AB779" s="511"/>
      <c r="AC779" s="511"/>
      <c r="AD779" s="511"/>
      <c r="AE779" s="511"/>
      <c r="AF779" s="511"/>
      <c r="AG779" s="511"/>
      <c r="AH779" s="511"/>
      <c r="AI779" s="511"/>
      <c r="AJ779" s="511"/>
      <c r="AK779" s="511"/>
      <c r="AL779" s="511"/>
      <c r="AM779" s="511"/>
      <c r="AN779" s="511"/>
      <c r="AO779" s="511"/>
      <c r="AP779" s="511"/>
      <c r="AQ779" s="511"/>
      <c r="AR779" s="511"/>
      <c r="AS779" s="511"/>
      <c r="AT779" s="511"/>
      <c r="AU779" s="511"/>
      <c r="AV779" s="511"/>
      <c r="AW779" s="511"/>
      <c r="AX779" s="511"/>
      <c r="AY779" s="511"/>
      <c r="AZ779" s="511"/>
      <c r="BA779" s="511"/>
      <c r="BB779" s="511"/>
      <c r="BC779" s="511"/>
    </row>
    <row r="780" spans="1:55" ht="16.5" customHeight="1" x14ac:dyDescent="0.3">
      <c r="A780" s="511"/>
      <c r="B780" s="511"/>
      <c r="C780" s="511"/>
      <c r="D780" s="511"/>
      <c r="E780" s="511"/>
      <c r="F780" s="511"/>
      <c r="G780" s="511"/>
      <c r="H780" s="511"/>
      <c r="I780" s="511"/>
      <c r="J780" s="511"/>
      <c r="K780" s="511"/>
      <c r="L780" s="511"/>
      <c r="M780" s="511"/>
      <c r="N780" s="511"/>
      <c r="O780" s="511"/>
      <c r="P780" s="511"/>
      <c r="Q780" s="511"/>
      <c r="R780" s="511"/>
      <c r="S780" s="511"/>
      <c r="T780" s="511"/>
      <c r="U780" s="511"/>
      <c r="V780" s="511"/>
      <c r="W780" s="511"/>
      <c r="X780" s="511"/>
      <c r="Y780" s="511"/>
      <c r="Z780" s="511"/>
      <c r="AA780" s="511"/>
      <c r="AB780" s="511"/>
      <c r="AC780" s="511"/>
      <c r="AD780" s="511"/>
      <c r="AE780" s="511"/>
      <c r="AF780" s="511"/>
      <c r="AG780" s="511"/>
      <c r="AH780" s="511"/>
      <c r="AI780" s="511"/>
      <c r="AJ780" s="511"/>
      <c r="AK780" s="511"/>
      <c r="AL780" s="511"/>
      <c r="AM780" s="511"/>
      <c r="AN780" s="511"/>
      <c r="AO780" s="511"/>
      <c r="AP780" s="511"/>
      <c r="AQ780" s="511"/>
      <c r="AR780" s="511"/>
      <c r="AS780" s="511"/>
      <c r="AT780" s="511"/>
      <c r="AU780" s="511"/>
      <c r="AV780" s="511"/>
      <c r="AW780" s="511"/>
      <c r="AX780" s="511"/>
      <c r="AY780" s="511"/>
      <c r="AZ780" s="511"/>
      <c r="BA780" s="511"/>
      <c r="BB780" s="511"/>
      <c r="BC780" s="511"/>
    </row>
    <row r="781" spans="1:55" ht="16.5" customHeight="1" x14ac:dyDescent="0.3">
      <c r="A781" s="511"/>
      <c r="B781" s="511"/>
      <c r="C781" s="511"/>
      <c r="D781" s="511"/>
      <c r="E781" s="511"/>
      <c r="F781" s="511"/>
      <c r="G781" s="511"/>
      <c r="H781" s="511"/>
      <c r="I781" s="511"/>
      <c r="J781" s="511"/>
      <c r="K781" s="511"/>
      <c r="L781" s="511"/>
      <c r="M781" s="511"/>
      <c r="N781" s="511"/>
      <c r="O781" s="511"/>
      <c r="P781" s="511"/>
      <c r="Q781" s="511"/>
      <c r="R781" s="511"/>
      <c r="S781" s="511"/>
      <c r="T781" s="511"/>
      <c r="U781" s="511"/>
      <c r="V781" s="511"/>
      <c r="W781" s="511"/>
      <c r="X781" s="511"/>
      <c r="Y781" s="511"/>
      <c r="Z781" s="511"/>
      <c r="AA781" s="511"/>
      <c r="AB781" s="511"/>
      <c r="AC781" s="511"/>
      <c r="AD781" s="511"/>
      <c r="AE781" s="511"/>
      <c r="AF781" s="511"/>
      <c r="AG781" s="511"/>
      <c r="AH781" s="511"/>
      <c r="AI781" s="511"/>
      <c r="AJ781" s="511"/>
      <c r="AK781" s="511"/>
      <c r="AL781" s="511"/>
      <c r="AM781" s="511"/>
      <c r="AN781" s="511"/>
      <c r="AO781" s="511"/>
      <c r="AP781" s="511"/>
      <c r="AQ781" s="511"/>
      <c r="AR781" s="511"/>
      <c r="AS781" s="511"/>
      <c r="AT781" s="511"/>
      <c r="AU781" s="511"/>
      <c r="AV781" s="511"/>
      <c r="AW781" s="511"/>
      <c r="AX781" s="511"/>
      <c r="AY781" s="511"/>
      <c r="AZ781" s="511"/>
      <c r="BA781" s="511"/>
      <c r="BB781" s="511"/>
      <c r="BC781" s="511"/>
    </row>
    <row r="782" spans="1:55" ht="16.5" customHeight="1" x14ac:dyDescent="0.3">
      <c r="A782" s="511"/>
      <c r="B782" s="511"/>
      <c r="C782" s="511"/>
      <c r="D782" s="511"/>
      <c r="E782" s="511"/>
      <c r="F782" s="511"/>
      <c r="G782" s="511"/>
      <c r="H782" s="511"/>
      <c r="I782" s="511"/>
      <c r="J782" s="511"/>
      <c r="K782" s="511"/>
      <c r="L782" s="511"/>
      <c r="M782" s="511"/>
      <c r="N782" s="511"/>
      <c r="O782" s="511"/>
      <c r="P782" s="511"/>
      <c r="Q782" s="511"/>
      <c r="R782" s="511"/>
      <c r="S782" s="511"/>
      <c r="T782" s="511"/>
      <c r="U782" s="511"/>
      <c r="V782" s="511"/>
      <c r="W782" s="511"/>
      <c r="X782" s="511"/>
      <c r="Y782" s="511"/>
      <c r="Z782" s="511"/>
      <c r="AA782" s="511"/>
      <c r="AB782" s="511"/>
      <c r="AC782" s="511"/>
      <c r="AD782" s="511"/>
      <c r="AE782" s="511"/>
      <c r="AF782" s="511"/>
      <c r="AG782" s="511"/>
      <c r="AH782" s="511"/>
      <c r="AI782" s="511"/>
      <c r="AJ782" s="511"/>
      <c r="AK782" s="511"/>
      <c r="AL782" s="511"/>
      <c r="AM782" s="511"/>
      <c r="AN782" s="511"/>
      <c r="AO782" s="511"/>
      <c r="AP782" s="511"/>
      <c r="AQ782" s="511"/>
      <c r="AR782" s="511"/>
      <c r="AS782" s="511"/>
      <c r="AT782" s="511"/>
      <c r="AU782" s="511"/>
      <c r="AV782" s="511"/>
      <c r="AW782" s="511"/>
      <c r="AX782" s="511"/>
      <c r="AY782" s="511"/>
      <c r="AZ782" s="511"/>
      <c r="BA782" s="511"/>
      <c r="BB782" s="511"/>
      <c r="BC782" s="511"/>
    </row>
    <row r="783" spans="1:55" ht="16.5" customHeight="1" x14ac:dyDescent="0.3">
      <c r="A783" s="511"/>
      <c r="B783" s="511"/>
      <c r="C783" s="511"/>
      <c r="D783" s="511"/>
      <c r="E783" s="511"/>
      <c r="F783" s="511"/>
      <c r="G783" s="511"/>
      <c r="H783" s="511"/>
      <c r="I783" s="511"/>
      <c r="J783" s="511"/>
      <c r="K783" s="511"/>
      <c r="L783" s="511"/>
      <c r="M783" s="511"/>
      <c r="N783" s="511"/>
      <c r="O783" s="511"/>
      <c r="P783" s="511"/>
      <c r="Q783" s="511"/>
      <c r="R783" s="511"/>
      <c r="S783" s="511"/>
      <c r="T783" s="511"/>
      <c r="U783" s="511"/>
      <c r="V783" s="511"/>
      <c r="W783" s="511"/>
      <c r="X783" s="511"/>
      <c r="Y783" s="511"/>
      <c r="Z783" s="511"/>
      <c r="AA783" s="511"/>
      <c r="AB783" s="511"/>
      <c r="AC783" s="511"/>
      <c r="AD783" s="511"/>
      <c r="AE783" s="511"/>
      <c r="AF783" s="511"/>
      <c r="AG783" s="511"/>
      <c r="AH783" s="511"/>
      <c r="AI783" s="511"/>
      <c r="AJ783" s="511"/>
      <c r="AK783" s="511"/>
      <c r="AL783" s="511"/>
      <c r="AM783" s="511"/>
      <c r="AN783" s="511"/>
      <c r="AO783" s="511"/>
      <c r="AP783" s="511"/>
      <c r="AQ783" s="511"/>
      <c r="AR783" s="511"/>
      <c r="AS783" s="511"/>
      <c r="AT783" s="511"/>
      <c r="AU783" s="511"/>
      <c r="AV783" s="511"/>
      <c r="AW783" s="511"/>
      <c r="AX783" s="511"/>
      <c r="AY783" s="511"/>
      <c r="AZ783" s="511"/>
      <c r="BA783" s="511"/>
      <c r="BB783" s="511"/>
      <c r="BC783" s="511"/>
    </row>
    <row r="784" spans="1:55" ht="16.5" customHeight="1" x14ac:dyDescent="0.3">
      <c r="A784" s="511"/>
      <c r="B784" s="511"/>
      <c r="C784" s="511"/>
      <c r="D784" s="511"/>
      <c r="E784" s="511"/>
      <c r="F784" s="511"/>
      <c r="G784" s="511"/>
      <c r="H784" s="511"/>
      <c r="I784" s="511"/>
      <c r="J784" s="511"/>
      <c r="K784" s="511"/>
      <c r="L784" s="511"/>
      <c r="M784" s="511"/>
      <c r="N784" s="511"/>
      <c r="O784" s="511"/>
      <c r="P784" s="511"/>
      <c r="Q784" s="511"/>
      <c r="R784" s="511"/>
      <c r="S784" s="511"/>
      <c r="T784" s="511"/>
      <c r="U784" s="511"/>
      <c r="V784" s="511"/>
      <c r="W784" s="511"/>
      <c r="X784" s="511"/>
      <c r="Y784" s="511"/>
      <c r="Z784" s="511"/>
      <c r="AA784" s="511"/>
      <c r="AB784" s="511"/>
      <c r="AC784" s="511"/>
      <c r="AD784" s="511"/>
      <c r="AE784" s="511"/>
      <c r="AF784" s="511"/>
      <c r="AG784" s="511"/>
      <c r="AH784" s="511"/>
      <c r="AI784" s="511"/>
      <c r="AJ784" s="511"/>
      <c r="AK784" s="511"/>
      <c r="AL784" s="511"/>
      <c r="AM784" s="511"/>
      <c r="AN784" s="511"/>
      <c r="AO784" s="511"/>
      <c r="AP784" s="511"/>
      <c r="AQ784" s="511"/>
      <c r="AR784" s="511"/>
      <c r="AS784" s="511"/>
      <c r="AT784" s="511"/>
      <c r="AU784" s="511"/>
      <c r="AV784" s="511"/>
      <c r="AW784" s="511"/>
      <c r="AX784" s="511"/>
      <c r="AY784" s="511"/>
      <c r="AZ784" s="511"/>
      <c r="BA784" s="511"/>
      <c r="BB784" s="511"/>
      <c r="BC784" s="511"/>
    </row>
    <row r="785" spans="1:55" ht="16.5" customHeight="1" x14ac:dyDescent="0.3">
      <c r="A785" s="511"/>
      <c r="B785" s="511"/>
      <c r="C785" s="511"/>
      <c r="D785" s="511"/>
      <c r="E785" s="511"/>
      <c r="F785" s="511"/>
      <c r="G785" s="511"/>
      <c r="H785" s="511"/>
      <c r="I785" s="511"/>
      <c r="J785" s="511"/>
      <c r="K785" s="511"/>
      <c r="L785" s="511"/>
      <c r="M785" s="511"/>
      <c r="N785" s="511"/>
      <c r="O785" s="511"/>
      <c r="P785" s="511"/>
      <c r="Q785" s="511"/>
      <c r="R785" s="511"/>
      <c r="S785" s="511"/>
      <c r="T785" s="511"/>
      <c r="U785" s="511"/>
      <c r="V785" s="511"/>
      <c r="W785" s="511"/>
      <c r="X785" s="511"/>
      <c r="Y785" s="511"/>
      <c r="Z785" s="511"/>
      <c r="AA785" s="511"/>
      <c r="AB785" s="511"/>
      <c r="AC785" s="511"/>
      <c r="AD785" s="511"/>
      <c r="AE785" s="511"/>
      <c r="AF785" s="511"/>
      <c r="AG785" s="511"/>
      <c r="AH785" s="511"/>
      <c r="AI785" s="511"/>
      <c r="AJ785" s="511"/>
      <c r="AK785" s="511"/>
      <c r="AL785" s="511"/>
      <c r="AM785" s="511"/>
      <c r="AN785" s="511"/>
      <c r="AO785" s="511"/>
      <c r="AP785" s="511"/>
      <c r="AQ785" s="511"/>
      <c r="AR785" s="511"/>
      <c r="AS785" s="511"/>
      <c r="AT785" s="511"/>
      <c r="AU785" s="511"/>
      <c r="AV785" s="511"/>
      <c r="AW785" s="511"/>
      <c r="AX785" s="511"/>
      <c r="AY785" s="511"/>
      <c r="AZ785" s="511"/>
      <c r="BA785" s="511"/>
      <c r="BB785" s="511"/>
      <c r="BC785" s="511"/>
    </row>
    <row r="786" spans="1:55" ht="16.5" customHeight="1" x14ac:dyDescent="0.3">
      <c r="A786" s="511"/>
      <c r="B786" s="511"/>
      <c r="C786" s="511"/>
      <c r="D786" s="511"/>
      <c r="E786" s="511"/>
      <c r="F786" s="511"/>
      <c r="G786" s="511"/>
      <c r="H786" s="511"/>
      <c r="I786" s="511"/>
      <c r="J786" s="511"/>
      <c r="K786" s="511"/>
      <c r="L786" s="511"/>
      <c r="M786" s="511"/>
      <c r="N786" s="511"/>
      <c r="O786" s="511"/>
      <c r="P786" s="511"/>
      <c r="Q786" s="511"/>
      <c r="R786" s="511"/>
      <c r="S786" s="511"/>
      <c r="T786" s="511"/>
      <c r="U786" s="511"/>
      <c r="V786" s="511"/>
      <c r="W786" s="511"/>
      <c r="X786" s="511"/>
      <c r="Y786" s="511"/>
      <c r="Z786" s="511"/>
      <c r="AA786" s="511"/>
      <c r="AB786" s="511"/>
      <c r="AC786" s="511"/>
      <c r="AD786" s="511"/>
      <c r="AE786" s="511"/>
      <c r="AF786" s="511"/>
      <c r="AG786" s="511"/>
      <c r="AH786" s="511"/>
      <c r="AI786" s="511"/>
      <c r="AJ786" s="511"/>
      <c r="AK786" s="511"/>
      <c r="AL786" s="511"/>
      <c r="AM786" s="511"/>
      <c r="AN786" s="511"/>
      <c r="AO786" s="511"/>
      <c r="AP786" s="511"/>
      <c r="AQ786" s="511"/>
      <c r="AR786" s="511"/>
      <c r="AS786" s="511"/>
      <c r="AT786" s="511"/>
      <c r="AU786" s="511"/>
      <c r="AV786" s="511"/>
      <c r="AW786" s="511"/>
      <c r="AX786" s="511"/>
      <c r="AY786" s="511"/>
      <c r="AZ786" s="511"/>
      <c r="BA786" s="511"/>
      <c r="BB786" s="511"/>
      <c r="BC786" s="511"/>
    </row>
    <row r="787" spans="1:55" ht="16.5" customHeight="1" x14ac:dyDescent="0.3">
      <c r="A787" s="511"/>
      <c r="B787" s="511"/>
      <c r="C787" s="511"/>
      <c r="D787" s="511"/>
      <c r="E787" s="511"/>
      <c r="F787" s="511"/>
      <c r="G787" s="511"/>
      <c r="H787" s="511"/>
      <c r="I787" s="511"/>
      <c r="J787" s="511"/>
      <c r="K787" s="511"/>
      <c r="L787" s="511"/>
      <c r="M787" s="511"/>
      <c r="N787" s="511"/>
      <c r="O787" s="511"/>
      <c r="P787" s="511"/>
      <c r="Q787" s="511"/>
      <c r="R787" s="511"/>
      <c r="S787" s="511"/>
      <c r="T787" s="511"/>
      <c r="U787" s="511"/>
      <c r="V787" s="511"/>
      <c r="W787" s="511"/>
      <c r="X787" s="511"/>
      <c r="Y787" s="511"/>
      <c r="Z787" s="511"/>
      <c r="AA787" s="511"/>
      <c r="AB787" s="511"/>
      <c r="AC787" s="511"/>
      <c r="AD787" s="511"/>
      <c r="AE787" s="511"/>
      <c r="AF787" s="511"/>
      <c r="AG787" s="511"/>
      <c r="AH787" s="511"/>
      <c r="AI787" s="511"/>
      <c r="AJ787" s="511"/>
      <c r="AK787" s="511"/>
      <c r="AL787" s="511"/>
      <c r="AM787" s="511"/>
      <c r="AN787" s="511"/>
      <c r="AO787" s="511"/>
      <c r="AP787" s="511"/>
      <c r="AQ787" s="511"/>
      <c r="AR787" s="511"/>
      <c r="AS787" s="511"/>
      <c r="AT787" s="511"/>
      <c r="AU787" s="511"/>
      <c r="AV787" s="511"/>
      <c r="AW787" s="511"/>
      <c r="AX787" s="511"/>
      <c r="AY787" s="511"/>
      <c r="AZ787" s="511"/>
      <c r="BA787" s="511"/>
      <c r="BB787" s="511"/>
      <c r="BC787" s="511"/>
    </row>
    <row r="788" spans="1:55" ht="16.5" customHeight="1" x14ac:dyDescent="0.3">
      <c r="A788" s="511"/>
      <c r="B788" s="511"/>
      <c r="C788" s="511"/>
      <c r="D788" s="511"/>
      <c r="E788" s="511"/>
      <c r="F788" s="511"/>
      <c r="G788" s="511"/>
      <c r="H788" s="511"/>
      <c r="I788" s="511"/>
      <c r="J788" s="511"/>
      <c r="K788" s="511"/>
      <c r="L788" s="511"/>
      <c r="M788" s="511"/>
      <c r="N788" s="511"/>
      <c r="O788" s="511"/>
      <c r="P788" s="511"/>
      <c r="Q788" s="511"/>
      <c r="R788" s="511"/>
      <c r="S788" s="511"/>
      <c r="T788" s="511"/>
      <c r="U788" s="511"/>
      <c r="V788" s="511"/>
      <c r="W788" s="511"/>
      <c r="X788" s="511"/>
      <c r="Y788" s="511"/>
      <c r="Z788" s="511"/>
      <c r="AA788" s="511"/>
      <c r="AB788" s="511"/>
      <c r="AC788" s="511"/>
      <c r="AD788" s="511"/>
      <c r="AE788" s="511"/>
      <c r="AF788" s="511"/>
      <c r="AG788" s="511"/>
      <c r="AH788" s="511"/>
      <c r="AI788" s="511"/>
      <c r="AJ788" s="511"/>
      <c r="AK788" s="511"/>
      <c r="AL788" s="511"/>
      <c r="AM788" s="511"/>
      <c r="AN788" s="511"/>
      <c r="AO788" s="511"/>
      <c r="AP788" s="511"/>
      <c r="AQ788" s="511"/>
      <c r="AR788" s="511"/>
      <c r="AS788" s="511"/>
      <c r="AT788" s="511"/>
      <c r="AU788" s="511"/>
      <c r="AV788" s="511"/>
      <c r="AW788" s="511"/>
      <c r="AX788" s="511"/>
      <c r="AY788" s="511"/>
      <c r="AZ788" s="511"/>
      <c r="BA788" s="511"/>
      <c r="BB788" s="511"/>
      <c r="BC788" s="511"/>
    </row>
    <row r="789" spans="1:55" ht="16.5" customHeight="1" x14ac:dyDescent="0.3">
      <c r="A789" s="511"/>
      <c r="B789" s="511"/>
      <c r="C789" s="511"/>
      <c r="D789" s="511"/>
      <c r="E789" s="511"/>
      <c r="F789" s="511"/>
      <c r="G789" s="511"/>
      <c r="H789" s="511"/>
      <c r="I789" s="511"/>
      <c r="J789" s="511"/>
      <c r="K789" s="511"/>
      <c r="L789" s="511"/>
      <c r="M789" s="511"/>
      <c r="N789" s="511"/>
      <c r="O789" s="511"/>
      <c r="P789" s="511"/>
      <c r="Q789" s="511"/>
      <c r="R789" s="511"/>
      <c r="S789" s="511"/>
      <c r="T789" s="511"/>
      <c r="U789" s="511"/>
      <c r="V789" s="511"/>
      <c r="W789" s="511"/>
      <c r="X789" s="511"/>
      <c r="Y789" s="511"/>
      <c r="Z789" s="511"/>
      <c r="AA789" s="511"/>
      <c r="AB789" s="511"/>
      <c r="AC789" s="511"/>
      <c r="AD789" s="511"/>
      <c r="AE789" s="511"/>
      <c r="AF789" s="511"/>
      <c r="AG789" s="511"/>
      <c r="AH789" s="511"/>
      <c r="AI789" s="511"/>
      <c r="AJ789" s="511"/>
      <c r="AK789" s="511"/>
      <c r="AL789" s="511"/>
      <c r="AM789" s="511"/>
      <c r="AN789" s="511"/>
      <c r="AO789" s="511"/>
      <c r="AP789" s="511"/>
      <c r="AQ789" s="511"/>
      <c r="AR789" s="511"/>
      <c r="AS789" s="511"/>
      <c r="AT789" s="511"/>
      <c r="AU789" s="511"/>
      <c r="AV789" s="511"/>
      <c r="AW789" s="511"/>
      <c r="AX789" s="511"/>
      <c r="AY789" s="511"/>
      <c r="AZ789" s="511"/>
      <c r="BA789" s="511"/>
      <c r="BB789" s="511"/>
      <c r="BC789" s="511"/>
    </row>
    <row r="790" spans="1:55" ht="16.5" customHeight="1" x14ac:dyDescent="0.3">
      <c r="A790" s="511"/>
      <c r="B790" s="511"/>
      <c r="C790" s="511"/>
      <c r="D790" s="511"/>
      <c r="E790" s="511"/>
      <c r="F790" s="511"/>
      <c r="G790" s="511"/>
      <c r="H790" s="511"/>
      <c r="I790" s="511"/>
      <c r="J790" s="511"/>
      <c r="K790" s="511"/>
      <c r="L790" s="511"/>
      <c r="M790" s="511"/>
      <c r="N790" s="511"/>
      <c r="O790" s="511"/>
      <c r="P790" s="511"/>
      <c r="Q790" s="511"/>
      <c r="R790" s="511"/>
      <c r="S790" s="511"/>
      <c r="T790" s="511"/>
      <c r="U790" s="511"/>
      <c r="V790" s="511"/>
      <c r="W790" s="511"/>
      <c r="X790" s="511"/>
      <c r="Y790" s="511"/>
      <c r="Z790" s="511"/>
      <c r="AA790" s="511"/>
      <c r="AB790" s="511"/>
      <c r="AC790" s="511"/>
      <c r="AD790" s="511"/>
      <c r="AE790" s="511"/>
      <c r="AF790" s="511"/>
      <c r="AG790" s="511"/>
      <c r="AH790" s="511"/>
      <c r="AI790" s="511"/>
      <c r="AJ790" s="511"/>
      <c r="AK790" s="511"/>
      <c r="AL790" s="511"/>
      <c r="AM790" s="511"/>
      <c r="AN790" s="511"/>
      <c r="AO790" s="511"/>
      <c r="AP790" s="511"/>
      <c r="AQ790" s="511"/>
      <c r="AR790" s="511"/>
      <c r="AS790" s="511"/>
      <c r="AT790" s="511"/>
      <c r="AU790" s="511"/>
      <c r="AV790" s="511"/>
      <c r="AW790" s="511"/>
      <c r="AX790" s="511"/>
      <c r="AY790" s="511"/>
      <c r="AZ790" s="511"/>
      <c r="BA790" s="511"/>
      <c r="BB790" s="511"/>
      <c r="BC790" s="511"/>
    </row>
    <row r="791" spans="1:55" ht="16.5" customHeight="1" x14ac:dyDescent="0.3">
      <c r="A791" s="511"/>
      <c r="B791" s="511"/>
      <c r="C791" s="511"/>
      <c r="D791" s="511"/>
      <c r="E791" s="511"/>
      <c r="F791" s="511"/>
      <c r="G791" s="511"/>
      <c r="H791" s="511"/>
      <c r="I791" s="511"/>
      <c r="J791" s="511"/>
      <c r="K791" s="511"/>
      <c r="L791" s="511"/>
      <c r="M791" s="511"/>
      <c r="N791" s="511"/>
      <c r="O791" s="511"/>
      <c r="P791" s="511"/>
      <c r="Q791" s="511"/>
      <c r="R791" s="511"/>
      <c r="S791" s="511"/>
      <c r="T791" s="511"/>
      <c r="U791" s="511"/>
      <c r="V791" s="511"/>
      <c r="W791" s="511"/>
      <c r="X791" s="511"/>
      <c r="Y791" s="511"/>
      <c r="Z791" s="511"/>
      <c r="AA791" s="511"/>
      <c r="AB791" s="511"/>
      <c r="AC791" s="511"/>
      <c r="AD791" s="511"/>
      <c r="AE791" s="511"/>
      <c r="AF791" s="511"/>
      <c r="AG791" s="511"/>
      <c r="AH791" s="511"/>
      <c r="AI791" s="511"/>
      <c r="AJ791" s="511"/>
      <c r="AK791" s="511"/>
      <c r="AL791" s="511"/>
      <c r="AM791" s="511"/>
      <c r="AN791" s="511"/>
      <c r="AO791" s="511"/>
      <c r="AP791" s="511"/>
      <c r="AQ791" s="511"/>
      <c r="AR791" s="511"/>
      <c r="AS791" s="511"/>
      <c r="AT791" s="511"/>
      <c r="AU791" s="511"/>
      <c r="AV791" s="511"/>
      <c r="AW791" s="511"/>
      <c r="AX791" s="511"/>
      <c r="AY791" s="511"/>
      <c r="AZ791" s="511"/>
      <c r="BA791" s="511"/>
      <c r="BB791" s="511"/>
      <c r="BC791" s="511"/>
    </row>
    <row r="792" spans="1:55" ht="16.5" customHeight="1" x14ac:dyDescent="0.3">
      <c r="A792" s="511"/>
      <c r="B792" s="511"/>
      <c r="C792" s="511"/>
      <c r="D792" s="511"/>
      <c r="E792" s="511"/>
      <c r="F792" s="511"/>
      <c r="G792" s="511"/>
      <c r="H792" s="511"/>
      <c r="I792" s="511"/>
      <c r="J792" s="511"/>
      <c r="K792" s="511"/>
      <c r="L792" s="511"/>
      <c r="M792" s="511"/>
      <c r="N792" s="511"/>
      <c r="O792" s="511"/>
      <c r="P792" s="511"/>
      <c r="Q792" s="511"/>
      <c r="R792" s="511"/>
      <c r="S792" s="511"/>
      <c r="T792" s="511"/>
      <c r="U792" s="511"/>
      <c r="V792" s="511"/>
      <c r="W792" s="511"/>
      <c r="X792" s="511"/>
      <c r="Y792" s="511"/>
      <c r="Z792" s="511"/>
      <c r="AA792" s="511"/>
      <c r="AB792" s="511"/>
      <c r="AC792" s="511"/>
      <c r="AD792" s="511"/>
      <c r="AE792" s="511"/>
      <c r="AF792" s="511"/>
      <c r="AG792" s="511"/>
      <c r="AH792" s="511"/>
      <c r="AI792" s="511"/>
      <c r="AJ792" s="511"/>
      <c r="AK792" s="511"/>
      <c r="AL792" s="511"/>
      <c r="AM792" s="511"/>
      <c r="AN792" s="511"/>
      <c r="AO792" s="511"/>
      <c r="AP792" s="511"/>
      <c r="AQ792" s="511"/>
      <c r="AR792" s="511"/>
      <c r="AS792" s="511"/>
      <c r="AT792" s="511"/>
      <c r="AU792" s="511"/>
      <c r="AV792" s="511"/>
      <c r="AW792" s="511"/>
      <c r="AX792" s="511"/>
      <c r="AY792" s="511"/>
      <c r="AZ792" s="511"/>
      <c r="BA792" s="511"/>
      <c r="BB792" s="511"/>
      <c r="BC792" s="511"/>
    </row>
    <row r="793" spans="1:55" ht="16.5" customHeight="1" x14ac:dyDescent="0.3">
      <c r="A793" s="511"/>
      <c r="B793" s="511"/>
      <c r="C793" s="511"/>
      <c r="D793" s="511"/>
      <c r="E793" s="511"/>
      <c r="F793" s="511"/>
      <c r="G793" s="511"/>
      <c r="H793" s="511"/>
      <c r="I793" s="511"/>
      <c r="J793" s="511"/>
      <c r="K793" s="511"/>
      <c r="L793" s="511"/>
      <c r="M793" s="511"/>
      <c r="N793" s="511"/>
      <c r="O793" s="511"/>
      <c r="P793" s="511"/>
      <c r="Q793" s="511"/>
      <c r="R793" s="511"/>
      <c r="S793" s="511"/>
      <c r="T793" s="511"/>
      <c r="U793" s="511"/>
      <c r="V793" s="511"/>
      <c r="W793" s="511"/>
      <c r="X793" s="511"/>
      <c r="Y793" s="511"/>
      <c r="Z793" s="511"/>
      <c r="AA793" s="511"/>
      <c r="AB793" s="511"/>
      <c r="AC793" s="511"/>
      <c r="AD793" s="511"/>
      <c r="AE793" s="511"/>
      <c r="AF793" s="511"/>
      <c r="AG793" s="511"/>
      <c r="AH793" s="511"/>
      <c r="AI793" s="511"/>
      <c r="AJ793" s="511"/>
      <c r="AK793" s="511"/>
      <c r="AL793" s="511"/>
      <c r="AM793" s="511"/>
      <c r="AN793" s="511"/>
      <c r="AO793" s="511"/>
      <c r="AP793" s="511"/>
      <c r="AQ793" s="511"/>
      <c r="AR793" s="511"/>
      <c r="AS793" s="511"/>
      <c r="AT793" s="511"/>
      <c r="AU793" s="511"/>
      <c r="AV793" s="511"/>
      <c r="AW793" s="511"/>
      <c r="AX793" s="511"/>
      <c r="AY793" s="511"/>
      <c r="AZ793" s="511"/>
      <c r="BA793" s="511"/>
      <c r="BB793" s="511"/>
      <c r="BC793" s="511"/>
    </row>
    <row r="794" spans="1:55" ht="16.5" customHeight="1" x14ac:dyDescent="0.3">
      <c r="A794" s="511"/>
      <c r="B794" s="511"/>
      <c r="C794" s="511"/>
      <c r="D794" s="511"/>
      <c r="E794" s="511"/>
      <c r="F794" s="511"/>
      <c r="G794" s="511"/>
      <c r="H794" s="511"/>
      <c r="I794" s="511"/>
      <c r="J794" s="511"/>
      <c r="K794" s="511"/>
      <c r="L794" s="511"/>
      <c r="M794" s="511"/>
      <c r="N794" s="511"/>
      <c r="O794" s="511"/>
      <c r="P794" s="511"/>
      <c r="Q794" s="511"/>
      <c r="R794" s="511"/>
      <c r="S794" s="511"/>
      <c r="T794" s="511"/>
      <c r="U794" s="511"/>
      <c r="V794" s="511"/>
      <c r="W794" s="511"/>
      <c r="X794" s="511"/>
      <c r="Y794" s="511"/>
      <c r="Z794" s="511"/>
      <c r="AA794" s="511"/>
      <c r="AB794" s="511"/>
      <c r="AC794" s="511"/>
      <c r="AD794" s="511"/>
      <c r="AE794" s="511"/>
      <c r="AF794" s="511"/>
      <c r="AG794" s="511"/>
      <c r="AH794" s="511"/>
      <c r="AI794" s="511"/>
      <c r="AJ794" s="511"/>
      <c r="AK794" s="511"/>
      <c r="AL794" s="511"/>
      <c r="AM794" s="511"/>
      <c r="AN794" s="511"/>
      <c r="AO794" s="511"/>
      <c r="AP794" s="511"/>
      <c r="AQ794" s="511"/>
      <c r="AR794" s="511"/>
      <c r="AS794" s="511"/>
      <c r="AT794" s="511"/>
      <c r="AU794" s="511"/>
      <c r="AV794" s="511"/>
      <c r="AW794" s="511"/>
      <c r="AX794" s="511"/>
      <c r="AY794" s="511"/>
      <c r="AZ794" s="511"/>
      <c r="BA794" s="511"/>
      <c r="BB794" s="511"/>
      <c r="BC794" s="511"/>
    </row>
    <row r="795" spans="1:55" ht="16.5" customHeight="1" x14ac:dyDescent="0.3">
      <c r="A795" s="511"/>
      <c r="B795" s="511"/>
      <c r="C795" s="511"/>
      <c r="D795" s="511"/>
      <c r="E795" s="511"/>
      <c r="F795" s="511"/>
      <c r="G795" s="511"/>
      <c r="H795" s="511"/>
      <c r="I795" s="511"/>
      <c r="J795" s="511"/>
      <c r="K795" s="511"/>
      <c r="L795" s="511"/>
      <c r="M795" s="511"/>
      <c r="N795" s="511"/>
      <c r="O795" s="511"/>
      <c r="P795" s="511"/>
      <c r="Q795" s="511"/>
      <c r="R795" s="511"/>
      <c r="S795" s="511"/>
      <c r="T795" s="511"/>
      <c r="U795" s="511"/>
      <c r="V795" s="511"/>
      <c r="W795" s="511"/>
      <c r="X795" s="511"/>
      <c r="Y795" s="511"/>
      <c r="Z795" s="511"/>
      <c r="AA795" s="511"/>
      <c r="AB795" s="511"/>
      <c r="AC795" s="511"/>
      <c r="AD795" s="511"/>
      <c r="AE795" s="511"/>
      <c r="AF795" s="511"/>
      <c r="AG795" s="511"/>
      <c r="AH795" s="511"/>
      <c r="AI795" s="511"/>
      <c r="AJ795" s="511"/>
      <c r="AK795" s="511"/>
      <c r="AL795" s="511"/>
      <c r="AM795" s="511"/>
      <c r="AN795" s="511"/>
      <c r="AO795" s="511"/>
      <c r="AP795" s="511"/>
      <c r="AQ795" s="511"/>
      <c r="AR795" s="511"/>
      <c r="AS795" s="511"/>
      <c r="AT795" s="511"/>
      <c r="AU795" s="511"/>
      <c r="AV795" s="511"/>
      <c r="AW795" s="511"/>
      <c r="AX795" s="511"/>
      <c r="AY795" s="511"/>
      <c r="AZ795" s="511"/>
      <c r="BA795" s="511"/>
      <c r="BB795" s="511"/>
      <c r="BC795" s="511"/>
    </row>
    <row r="796" spans="1:55" ht="16.5" customHeight="1" x14ac:dyDescent="0.3">
      <c r="A796" s="511"/>
      <c r="B796" s="511"/>
      <c r="C796" s="511"/>
      <c r="D796" s="511"/>
      <c r="E796" s="511"/>
      <c r="F796" s="511"/>
      <c r="G796" s="511"/>
      <c r="H796" s="511"/>
      <c r="I796" s="511"/>
      <c r="J796" s="511"/>
      <c r="K796" s="511"/>
      <c r="L796" s="511"/>
      <c r="M796" s="511"/>
      <c r="N796" s="511"/>
      <c r="O796" s="511"/>
      <c r="P796" s="511"/>
      <c r="Q796" s="511"/>
      <c r="R796" s="511"/>
      <c r="S796" s="511"/>
      <c r="T796" s="511"/>
      <c r="U796" s="511"/>
      <c r="V796" s="511"/>
      <c r="W796" s="511"/>
      <c r="X796" s="511"/>
      <c r="Y796" s="511"/>
      <c r="Z796" s="511"/>
      <c r="AA796" s="511"/>
      <c r="AB796" s="511"/>
      <c r="AC796" s="511"/>
      <c r="AD796" s="511"/>
      <c r="AE796" s="511"/>
      <c r="AF796" s="511"/>
      <c r="AG796" s="511"/>
      <c r="AH796" s="511"/>
      <c r="AI796" s="511"/>
      <c r="AJ796" s="511"/>
      <c r="AK796" s="511"/>
      <c r="AL796" s="511"/>
      <c r="AM796" s="511"/>
      <c r="AN796" s="511"/>
      <c r="AO796" s="511"/>
      <c r="AP796" s="511"/>
      <c r="AQ796" s="511"/>
      <c r="AR796" s="511"/>
      <c r="AS796" s="511"/>
      <c r="AT796" s="511"/>
      <c r="AU796" s="511"/>
      <c r="AV796" s="511"/>
      <c r="AW796" s="511"/>
      <c r="AX796" s="511"/>
      <c r="AY796" s="511"/>
      <c r="AZ796" s="511"/>
      <c r="BA796" s="511"/>
      <c r="BB796" s="511"/>
      <c r="BC796" s="511"/>
    </row>
    <row r="797" spans="1:55" ht="16.5" customHeight="1" x14ac:dyDescent="0.3">
      <c r="A797" s="511"/>
      <c r="B797" s="511"/>
      <c r="C797" s="511"/>
      <c r="D797" s="511"/>
      <c r="E797" s="511"/>
      <c r="F797" s="511"/>
      <c r="G797" s="511"/>
      <c r="H797" s="511"/>
      <c r="I797" s="511"/>
      <c r="J797" s="511"/>
      <c r="K797" s="511"/>
      <c r="L797" s="511"/>
      <c r="M797" s="511"/>
      <c r="N797" s="511"/>
      <c r="O797" s="511"/>
      <c r="P797" s="511"/>
      <c r="Q797" s="511"/>
      <c r="R797" s="511"/>
      <c r="S797" s="511"/>
      <c r="T797" s="511"/>
      <c r="U797" s="511"/>
      <c r="V797" s="511"/>
      <c r="W797" s="511"/>
      <c r="X797" s="511"/>
      <c r="Y797" s="511"/>
      <c r="Z797" s="511"/>
      <c r="AA797" s="511"/>
      <c r="AB797" s="511"/>
      <c r="AC797" s="511"/>
      <c r="AD797" s="511"/>
      <c r="AE797" s="511"/>
      <c r="AF797" s="511"/>
      <c r="AG797" s="511"/>
      <c r="AH797" s="511"/>
      <c r="AI797" s="511"/>
      <c r="AJ797" s="511"/>
      <c r="AK797" s="511"/>
      <c r="AL797" s="511"/>
      <c r="AM797" s="511"/>
      <c r="AN797" s="511"/>
      <c r="AO797" s="511"/>
      <c r="AP797" s="511"/>
      <c r="AQ797" s="511"/>
      <c r="AR797" s="511"/>
      <c r="AS797" s="511"/>
      <c r="AT797" s="511"/>
      <c r="AU797" s="511"/>
      <c r="AV797" s="511"/>
      <c r="AW797" s="511"/>
      <c r="AX797" s="511"/>
      <c r="AY797" s="511"/>
      <c r="AZ797" s="511"/>
      <c r="BA797" s="511"/>
      <c r="BB797" s="511"/>
      <c r="BC797" s="511"/>
    </row>
    <row r="798" spans="1:55" ht="16.5" customHeight="1" x14ac:dyDescent="0.3">
      <c r="A798" s="511"/>
      <c r="B798" s="511"/>
      <c r="C798" s="511"/>
      <c r="D798" s="511"/>
      <c r="E798" s="511"/>
      <c r="F798" s="511"/>
      <c r="G798" s="511"/>
      <c r="H798" s="511"/>
      <c r="I798" s="511"/>
      <c r="J798" s="511"/>
      <c r="K798" s="511"/>
      <c r="L798" s="511"/>
      <c r="M798" s="511"/>
      <c r="N798" s="511"/>
      <c r="O798" s="511"/>
      <c r="P798" s="511"/>
      <c r="Q798" s="511"/>
      <c r="R798" s="511"/>
      <c r="S798" s="511"/>
      <c r="T798" s="511"/>
      <c r="U798" s="511"/>
      <c r="V798" s="511"/>
      <c r="W798" s="511"/>
      <c r="X798" s="511"/>
      <c r="Y798" s="511"/>
      <c r="Z798" s="511"/>
      <c r="AA798" s="511"/>
      <c r="AB798" s="511"/>
      <c r="AC798" s="511"/>
      <c r="AD798" s="511"/>
      <c r="AE798" s="511"/>
      <c r="AF798" s="511"/>
      <c r="AG798" s="511"/>
      <c r="AH798" s="511"/>
      <c r="AI798" s="511"/>
      <c r="AJ798" s="511"/>
      <c r="AK798" s="511"/>
      <c r="AL798" s="511"/>
      <c r="AM798" s="511"/>
      <c r="AN798" s="511"/>
      <c r="AO798" s="511"/>
      <c r="AP798" s="511"/>
      <c r="AQ798" s="511"/>
      <c r="AR798" s="511"/>
      <c r="AS798" s="511"/>
      <c r="AT798" s="511"/>
      <c r="AU798" s="511"/>
      <c r="AV798" s="511"/>
      <c r="AW798" s="511"/>
      <c r="AX798" s="511"/>
      <c r="AY798" s="511"/>
      <c r="AZ798" s="511"/>
      <c r="BA798" s="511"/>
      <c r="BB798" s="511"/>
      <c r="BC798" s="511"/>
    </row>
    <row r="799" spans="1:55" ht="16.5" customHeight="1" x14ac:dyDescent="0.3">
      <c r="A799" s="511"/>
      <c r="B799" s="511"/>
      <c r="C799" s="511"/>
      <c r="D799" s="511"/>
      <c r="E799" s="511"/>
      <c r="F799" s="511"/>
      <c r="G799" s="511"/>
      <c r="H799" s="511"/>
      <c r="I799" s="511"/>
      <c r="J799" s="511"/>
      <c r="K799" s="511"/>
      <c r="L799" s="511"/>
      <c r="M799" s="511"/>
      <c r="N799" s="511"/>
      <c r="O799" s="511"/>
      <c r="P799" s="511"/>
      <c r="Q799" s="511"/>
      <c r="R799" s="511"/>
      <c r="S799" s="511"/>
      <c r="T799" s="511"/>
      <c r="U799" s="511"/>
      <c r="V799" s="511"/>
      <c r="W799" s="511"/>
      <c r="X799" s="511"/>
      <c r="Y799" s="511"/>
      <c r="Z799" s="511"/>
      <c r="AA799" s="511"/>
      <c r="AB799" s="511"/>
      <c r="AC799" s="511"/>
      <c r="AD799" s="511"/>
      <c r="AE799" s="511"/>
      <c r="AF799" s="511"/>
      <c r="AG799" s="511"/>
      <c r="AH799" s="511"/>
      <c r="AI799" s="511"/>
      <c r="AJ799" s="511"/>
      <c r="AK799" s="511"/>
      <c r="AL799" s="511"/>
      <c r="AM799" s="511"/>
      <c r="AN799" s="511"/>
      <c r="AO799" s="511"/>
      <c r="AP799" s="511"/>
      <c r="AQ799" s="511"/>
      <c r="AR799" s="511"/>
      <c r="AS799" s="511"/>
      <c r="AT799" s="511"/>
      <c r="AU799" s="511"/>
      <c r="AV799" s="511"/>
      <c r="AW799" s="511"/>
      <c r="AX799" s="511"/>
      <c r="AY799" s="511"/>
      <c r="AZ799" s="511"/>
      <c r="BA799" s="511"/>
      <c r="BB799" s="511"/>
      <c r="BC799" s="511"/>
    </row>
    <row r="800" spans="1:55" ht="16.5" customHeight="1" x14ac:dyDescent="0.3">
      <c r="A800" s="511"/>
      <c r="B800" s="511"/>
      <c r="C800" s="511"/>
      <c r="D800" s="511"/>
      <c r="E800" s="511"/>
      <c r="F800" s="511"/>
      <c r="G800" s="511"/>
      <c r="H800" s="511"/>
      <c r="I800" s="511"/>
      <c r="J800" s="511"/>
      <c r="K800" s="511"/>
      <c r="L800" s="511"/>
      <c r="M800" s="511"/>
      <c r="N800" s="511"/>
      <c r="O800" s="511"/>
      <c r="P800" s="511"/>
      <c r="Q800" s="511"/>
      <c r="R800" s="511"/>
      <c r="S800" s="511"/>
      <c r="T800" s="511"/>
      <c r="U800" s="511"/>
      <c r="V800" s="511"/>
      <c r="W800" s="511"/>
      <c r="X800" s="511"/>
      <c r="Y800" s="511"/>
      <c r="Z800" s="511"/>
      <c r="AA800" s="511"/>
      <c r="AB800" s="511"/>
      <c r="AC800" s="511"/>
      <c r="AD800" s="511"/>
      <c r="AE800" s="511"/>
      <c r="AF800" s="511"/>
      <c r="AG800" s="511"/>
      <c r="AH800" s="511"/>
      <c r="AI800" s="511"/>
      <c r="AJ800" s="511"/>
      <c r="AK800" s="511"/>
      <c r="AL800" s="511"/>
      <c r="AM800" s="511"/>
      <c r="AN800" s="511"/>
      <c r="AO800" s="511"/>
      <c r="AP800" s="511"/>
      <c r="AQ800" s="511"/>
      <c r="AR800" s="511"/>
      <c r="AS800" s="511"/>
      <c r="AT800" s="511"/>
      <c r="AU800" s="511"/>
      <c r="AV800" s="511"/>
      <c r="AW800" s="511"/>
      <c r="AX800" s="511"/>
      <c r="AY800" s="511"/>
      <c r="AZ800" s="511"/>
      <c r="BA800" s="511"/>
      <c r="BB800" s="511"/>
      <c r="BC800" s="511"/>
    </row>
    <row r="801" spans="1:55" ht="16.5" customHeight="1" x14ac:dyDescent="0.3">
      <c r="A801" s="511"/>
      <c r="B801" s="511"/>
      <c r="C801" s="511"/>
      <c r="D801" s="511"/>
      <c r="E801" s="511"/>
      <c r="F801" s="511"/>
      <c r="G801" s="511"/>
      <c r="H801" s="511"/>
      <c r="I801" s="511"/>
      <c r="J801" s="511"/>
      <c r="K801" s="511"/>
      <c r="L801" s="511"/>
      <c r="M801" s="511"/>
      <c r="N801" s="511"/>
      <c r="O801" s="511"/>
      <c r="P801" s="511"/>
      <c r="Q801" s="511"/>
      <c r="R801" s="511"/>
      <c r="S801" s="511"/>
      <c r="T801" s="511"/>
      <c r="U801" s="511"/>
      <c r="V801" s="511"/>
      <c r="W801" s="511"/>
      <c r="X801" s="511"/>
      <c r="Y801" s="511"/>
      <c r="Z801" s="511"/>
      <c r="AA801" s="511"/>
      <c r="AB801" s="511"/>
      <c r="AC801" s="511"/>
      <c r="AD801" s="511"/>
      <c r="AE801" s="511"/>
      <c r="AF801" s="511"/>
      <c r="AG801" s="511"/>
      <c r="AH801" s="511"/>
      <c r="AI801" s="511"/>
      <c r="AJ801" s="511"/>
      <c r="AK801" s="511"/>
      <c r="AL801" s="511"/>
      <c r="AM801" s="511"/>
      <c r="AN801" s="511"/>
      <c r="AO801" s="511"/>
      <c r="AP801" s="511"/>
      <c r="AQ801" s="511"/>
      <c r="AR801" s="511"/>
      <c r="AS801" s="511"/>
      <c r="AT801" s="511"/>
      <c r="AU801" s="511"/>
      <c r="AV801" s="511"/>
      <c r="AW801" s="511"/>
      <c r="AX801" s="511"/>
      <c r="AY801" s="511"/>
      <c r="AZ801" s="511"/>
      <c r="BA801" s="511"/>
      <c r="BB801" s="511"/>
      <c r="BC801" s="511"/>
    </row>
    <row r="802" spans="1:55" ht="16.5" customHeight="1" x14ac:dyDescent="0.3">
      <c r="A802" s="511"/>
      <c r="B802" s="511"/>
      <c r="C802" s="511"/>
      <c r="D802" s="511"/>
      <c r="E802" s="511"/>
      <c r="F802" s="511"/>
      <c r="G802" s="511"/>
      <c r="H802" s="511"/>
      <c r="I802" s="511"/>
      <c r="J802" s="511"/>
      <c r="K802" s="511"/>
      <c r="L802" s="511"/>
      <c r="M802" s="511"/>
      <c r="N802" s="511"/>
      <c r="O802" s="511"/>
      <c r="P802" s="511"/>
      <c r="Q802" s="511"/>
      <c r="R802" s="511"/>
      <c r="S802" s="511"/>
      <c r="T802" s="511"/>
      <c r="U802" s="511"/>
      <c r="V802" s="511"/>
      <c r="W802" s="511"/>
      <c r="X802" s="511"/>
      <c r="Y802" s="511"/>
      <c r="Z802" s="511"/>
      <c r="AA802" s="511"/>
      <c r="AB802" s="511"/>
      <c r="AC802" s="511"/>
      <c r="AD802" s="511"/>
      <c r="AE802" s="511"/>
      <c r="AF802" s="511"/>
      <c r="AG802" s="511"/>
      <c r="AH802" s="511"/>
      <c r="AI802" s="511"/>
      <c r="AJ802" s="511"/>
      <c r="AK802" s="511"/>
      <c r="AL802" s="511"/>
      <c r="AM802" s="511"/>
      <c r="AN802" s="511"/>
      <c r="AO802" s="511"/>
      <c r="AP802" s="511"/>
      <c r="AQ802" s="511"/>
      <c r="AR802" s="511"/>
      <c r="AS802" s="511"/>
      <c r="AT802" s="511"/>
      <c r="AU802" s="511"/>
      <c r="AV802" s="511"/>
      <c r="AW802" s="511"/>
      <c r="AX802" s="511"/>
      <c r="AY802" s="511"/>
      <c r="AZ802" s="511"/>
      <c r="BA802" s="511"/>
      <c r="BB802" s="511"/>
      <c r="BC802" s="511"/>
    </row>
    <row r="803" spans="1:55" ht="16.5" customHeight="1" x14ac:dyDescent="0.3">
      <c r="A803" s="511"/>
      <c r="B803" s="511"/>
      <c r="C803" s="511"/>
      <c r="D803" s="511"/>
      <c r="E803" s="511"/>
      <c r="F803" s="511"/>
      <c r="G803" s="511"/>
      <c r="H803" s="511"/>
      <c r="I803" s="511"/>
      <c r="J803" s="511"/>
      <c r="K803" s="511"/>
      <c r="L803" s="511"/>
      <c r="M803" s="511"/>
      <c r="N803" s="511"/>
      <c r="O803" s="511"/>
      <c r="P803" s="511"/>
      <c r="Q803" s="511"/>
      <c r="R803" s="511"/>
      <c r="S803" s="511"/>
      <c r="T803" s="511"/>
      <c r="U803" s="511"/>
      <c r="V803" s="511"/>
      <c r="W803" s="511"/>
      <c r="X803" s="511"/>
      <c r="Y803" s="511"/>
      <c r="Z803" s="511"/>
      <c r="AA803" s="511"/>
      <c r="AB803" s="511"/>
      <c r="AC803" s="511"/>
      <c r="AD803" s="511"/>
      <c r="AE803" s="511"/>
      <c r="AF803" s="511"/>
      <c r="AG803" s="511"/>
      <c r="AH803" s="511"/>
      <c r="AI803" s="511"/>
      <c r="AJ803" s="511"/>
      <c r="AK803" s="511"/>
      <c r="AL803" s="511"/>
      <c r="AM803" s="511"/>
      <c r="AN803" s="511"/>
      <c r="AO803" s="511"/>
      <c r="AP803" s="511"/>
      <c r="AQ803" s="511"/>
      <c r="AR803" s="511"/>
      <c r="AS803" s="511"/>
      <c r="AT803" s="511"/>
      <c r="AU803" s="511"/>
      <c r="AV803" s="511"/>
      <c r="AW803" s="511"/>
      <c r="AX803" s="511"/>
      <c r="AY803" s="511"/>
      <c r="AZ803" s="511"/>
      <c r="BA803" s="511"/>
      <c r="BB803" s="511"/>
      <c r="BC803" s="511"/>
    </row>
    <row r="804" spans="1:55" ht="16.5" customHeight="1" x14ac:dyDescent="0.3">
      <c r="A804" s="511"/>
      <c r="B804" s="511"/>
      <c r="C804" s="511"/>
      <c r="D804" s="511"/>
      <c r="E804" s="511"/>
      <c r="F804" s="511"/>
      <c r="G804" s="511"/>
      <c r="H804" s="511"/>
      <c r="I804" s="511"/>
      <c r="J804" s="511"/>
      <c r="K804" s="511"/>
      <c r="L804" s="511"/>
      <c r="M804" s="511"/>
      <c r="N804" s="511"/>
      <c r="O804" s="511"/>
      <c r="P804" s="511"/>
      <c r="Q804" s="511"/>
      <c r="R804" s="511"/>
      <c r="S804" s="511"/>
      <c r="T804" s="511"/>
      <c r="U804" s="511"/>
      <c r="V804" s="511"/>
      <c r="W804" s="511"/>
      <c r="X804" s="511"/>
      <c r="Y804" s="511"/>
      <c r="Z804" s="511"/>
      <c r="AA804" s="511"/>
      <c r="AB804" s="511"/>
      <c r="AC804" s="511"/>
      <c r="AD804" s="511"/>
      <c r="AE804" s="511"/>
      <c r="AF804" s="511"/>
      <c r="AG804" s="511"/>
      <c r="AH804" s="511"/>
      <c r="AI804" s="511"/>
      <c r="AJ804" s="511"/>
      <c r="AK804" s="511"/>
      <c r="AL804" s="511"/>
      <c r="AM804" s="511"/>
      <c r="AN804" s="511"/>
      <c r="AO804" s="511"/>
      <c r="AP804" s="511"/>
      <c r="AQ804" s="511"/>
      <c r="AR804" s="511"/>
      <c r="AS804" s="511"/>
      <c r="AT804" s="511"/>
      <c r="AU804" s="511"/>
      <c r="AV804" s="511"/>
      <c r="AW804" s="511"/>
      <c r="AX804" s="511"/>
      <c r="AY804" s="511"/>
      <c r="AZ804" s="511"/>
      <c r="BA804" s="511"/>
      <c r="BB804" s="511"/>
      <c r="BC804" s="511"/>
    </row>
    <row r="805" spans="1:55" ht="16.5" customHeight="1" x14ac:dyDescent="0.3">
      <c r="A805" s="511"/>
      <c r="B805" s="511"/>
      <c r="C805" s="511"/>
      <c r="D805" s="511"/>
      <c r="E805" s="511"/>
      <c r="F805" s="511"/>
      <c r="G805" s="511"/>
      <c r="H805" s="511"/>
      <c r="I805" s="511"/>
      <c r="J805" s="511"/>
      <c r="K805" s="511"/>
      <c r="L805" s="511"/>
      <c r="M805" s="511"/>
      <c r="N805" s="511"/>
      <c r="O805" s="511"/>
      <c r="P805" s="511"/>
      <c r="Q805" s="511"/>
      <c r="R805" s="511"/>
      <c r="S805" s="511"/>
      <c r="T805" s="511"/>
      <c r="U805" s="511"/>
      <c r="V805" s="511"/>
      <c r="W805" s="511"/>
      <c r="X805" s="511"/>
      <c r="Y805" s="511"/>
      <c r="Z805" s="511"/>
      <c r="AA805" s="511"/>
      <c r="AB805" s="511"/>
      <c r="AC805" s="511"/>
      <c r="AD805" s="511"/>
      <c r="AE805" s="511"/>
      <c r="AF805" s="511"/>
      <c r="AG805" s="511"/>
      <c r="AH805" s="511"/>
      <c r="AI805" s="511"/>
      <c r="AJ805" s="511"/>
      <c r="AK805" s="511"/>
      <c r="AL805" s="511"/>
      <c r="AM805" s="511"/>
      <c r="AN805" s="511"/>
      <c r="AO805" s="511"/>
      <c r="AP805" s="511"/>
      <c r="AQ805" s="511"/>
      <c r="AR805" s="511"/>
      <c r="AS805" s="511"/>
      <c r="AT805" s="511"/>
      <c r="AU805" s="511"/>
      <c r="AV805" s="511"/>
      <c r="AW805" s="511"/>
      <c r="AX805" s="511"/>
      <c r="AY805" s="511"/>
      <c r="AZ805" s="511"/>
      <c r="BA805" s="511"/>
      <c r="BB805" s="511"/>
      <c r="BC805" s="511"/>
    </row>
    <row r="806" spans="1:55" ht="16.5" customHeight="1" x14ac:dyDescent="0.3">
      <c r="A806" s="511"/>
      <c r="B806" s="511"/>
      <c r="C806" s="511"/>
      <c r="D806" s="511"/>
      <c r="E806" s="511"/>
      <c r="F806" s="511"/>
      <c r="G806" s="511"/>
      <c r="H806" s="511"/>
      <c r="I806" s="511"/>
      <c r="J806" s="511"/>
      <c r="K806" s="511"/>
      <c r="L806" s="511"/>
      <c r="M806" s="511"/>
      <c r="N806" s="511"/>
      <c r="O806" s="511"/>
      <c r="P806" s="511"/>
      <c r="Q806" s="511"/>
      <c r="R806" s="511"/>
      <c r="S806" s="511"/>
      <c r="T806" s="511"/>
      <c r="U806" s="511"/>
      <c r="V806" s="511"/>
      <c r="W806" s="511"/>
      <c r="X806" s="511"/>
      <c r="Y806" s="511"/>
      <c r="Z806" s="511"/>
      <c r="AA806" s="511"/>
      <c r="AB806" s="511"/>
      <c r="AC806" s="511"/>
      <c r="AD806" s="511"/>
      <c r="AE806" s="511"/>
      <c r="AF806" s="511"/>
      <c r="AG806" s="511"/>
      <c r="AH806" s="511"/>
      <c r="AI806" s="511"/>
      <c r="AJ806" s="511"/>
      <c r="AK806" s="511"/>
      <c r="AL806" s="511"/>
      <c r="AM806" s="511"/>
      <c r="AN806" s="511"/>
      <c r="AO806" s="511"/>
      <c r="AP806" s="511"/>
      <c r="AQ806" s="511"/>
      <c r="AR806" s="511"/>
      <c r="AS806" s="511"/>
      <c r="AT806" s="511"/>
      <c r="AU806" s="511"/>
      <c r="AV806" s="511"/>
      <c r="AW806" s="511"/>
      <c r="AX806" s="511"/>
      <c r="AY806" s="511"/>
      <c r="AZ806" s="511"/>
      <c r="BA806" s="511"/>
      <c r="BB806" s="511"/>
      <c r="BC806" s="511"/>
    </row>
    <row r="807" spans="1:55" ht="16.5" customHeight="1" x14ac:dyDescent="0.3">
      <c r="A807" s="511"/>
      <c r="B807" s="511"/>
      <c r="C807" s="511"/>
      <c r="D807" s="511"/>
      <c r="E807" s="511"/>
      <c r="F807" s="511"/>
      <c r="G807" s="511"/>
      <c r="H807" s="511"/>
      <c r="I807" s="511"/>
      <c r="J807" s="511"/>
      <c r="K807" s="511"/>
      <c r="L807" s="511"/>
      <c r="M807" s="511"/>
      <c r="N807" s="511"/>
      <c r="O807" s="511"/>
      <c r="P807" s="511"/>
      <c r="Q807" s="511"/>
      <c r="R807" s="511"/>
      <c r="S807" s="511"/>
      <c r="T807" s="511"/>
      <c r="U807" s="511"/>
      <c r="V807" s="511"/>
      <c r="W807" s="511"/>
      <c r="X807" s="511"/>
      <c r="Y807" s="511"/>
      <c r="Z807" s="511"/>
      <c r="AA807" s="511"/>
      <c r="AB807" s="511"/>
      <c r="AC807" s="511"/>
      <c r="AD807" s="511"/>
      <c r="AE807" s="511"/>
      <c r="AF807" s="511"/>
      <c r="AG807" s="511"/>
      <c r="AH807" s="511"/>
      <c r="AI807" s="511"/>
      <c r="AJ807" s="511"/>
      <c r="AK807" s="511"/>
      <c r="AL807" s="511"/>
      <c r="AM807" s="511"/>
      <c r="AN807" s="511"/>
      <c r="AO807" s="511"/>
      <c r="AP807" s="511"/>
      <c r="AQ807" s="511"/>
      <c r="AR807" s="511"/>
      <c r="AS807" s="511"/>
      <c r="AT807" s="511"/>
      <c r="AU807" s="511"/>
      <c r="AV807" s="511"/>
      <c r="AW807" s="511"/>
      <c r="AX807" s="511"/>
      <c r="AY807" s="511"/>
      <c r="AZ807" s="511"/>
      <c r="BA807" s="511"/>
      <c r="BB807" s="511"/>
      <c r="BC807" s="511"/>
    </row>
    <row r="808" spans="1:55" ht="16.5" customHeight="1" x14ac:dyDescent="0.3">
      <c r="A808" s="511"/>
      <c r="B808" s="511"/>
      <c r="C808" s="511"/>
      <c r="D808" s="511"/>
      <c r="E808" s="511"/>
      <c r="F808" s="511"/>
      <c r="G808" s="511"/>
      <c r="H808" s="511"/>
      <c r="I808" s="511"/>
      <c r="J808" s="511"/>
      <c r="K808" s="511"/>
      <c r="L808" s="511"/>
      <c r="M808" s="511"/>
      <c r="N808" s="511"/>
      <c r="O808" s="511"/>
      <c r="P808" s="511"/>
      <c r="Q808" s="511"/>
      <c r="R808" s="511"/>
      <c r="S808" s="511"/>
      <c r="T808" s="511"/>
      <c r="U808" s="511"/>
      <c r="V808" s="511"/>
      <c r="W808" s="511"/>
      <c r="X808" s="511"/>
      <c r="Y808" s="511"/>
      <c r="Z808" s="511"/>
      <c r="AA808" s="511"/>
      <c r="AB808" s="511"/>
      <c r="AC808" s="511"/>
      <c r="AD808" s="511"/>
      <c r="AE808" s="511"/>
      <c r="AF808" s="511"/>
      <c r="AG808" s="511"/>
      <c r="AH808" s="511"/>
      <c r="AI808" s="511"/>
      <c r="AJ808" s="511"/>
      <c r="AK808" s="511"/>
      <c r="AL808" s="511"/>
      <c r="AM808" s="511"/>
      <c r="AN808" s="511"/>
      <c r="AO808" s="511"/>
      <c r="AP808" s="511"/>
      <c r="AQ808" s="511"/>
      <c r="AR808" s="511"/>
      <c r="AS808" s="511"/>
      <c r="AT808" s="511"/>
      <c r="AU808" s="511"/>
      <c r="AV808" s="511"/>
      <c r="AW808" s="511"/>
      <c r="AX808" s="511"/>
      <c r="AY808" s="511"/>
      <c r="AZ808" s="511"/>
      <c r="BA808" s="511"/>
      <c r="BB808" s="511"/>
      <c r="BC808" s="511"/>
    </row>
    <row r="809" spans="1:55" ht="16.5" customHeight="1" x14ac:dyDescent="0.3">
      <c r="A809" s="511"/>
      <c r="B809" s="511"/>
      <c r="C809" s="511"/>
      <c r="D809" s="511"/>
      <c r="E809" s="511"/>
      <c r="F809" s="511"/>
      <c r="G809" s="511"/>
      <c r="H809" s="511"/>
      <c r="I809" s="511"/>
      <c r="J809" s="511"/>
      <c r="K809" s="511"/>
      <c r="L809" s="511"/>
      <c r="M809" s="511"/>
      <c r="N809" s="511"/>
      <c r="O809" s="511"/>
      <c r="P809" s="511"/>
      <c r="Q809" s="511"/>
      <c r="R809" s="511"/>
      <c r="S809" s="511"/>
      <c r="T809" s="511"/>
      <c r="U809" s="511"/>
      <c r="V809" s="511"/>
      <c r="W809" s="511"/>
      <c r="X809" s="511"/>
      <c r="Y809" s="511"/>
      <c r="Z809" s="511"/>
      <c r="AA809" s="511"/>
      <c r="AB809" s="511"/>
      <c r="AC809" s="511"/>
      <c r="AD809" s="511"/>
      <c r="AE809" s="511"/>
      <c r="AF809" s="511"/>
      <c r="AG809" s="511"/>
      <c r="AH809" s="511"/>
      <c r="AI809" s="511"/>
      <c r="AJ809" s="511"/>
      <c r="AK809" s="511"/>
      <c r="AL809" s="511"/>
      <c r="AM809" s="511"/>
      <c r="AN809" s="511"/>
      <c r="AO809" s="511"/>
      <c r="AP809" s="511"/>
      <c r="AQ809" s="511"/>
      <c r="AR809" s="511"/>
      <c r="AS809" s="511"/>
      <c r="AT809" s="511"/>
      <c r="AU809" s="511"/>
      <c r="AV809" s="511"/>
      <c r="AW809" s="511"/>
      <c r="AX809" s="511"/>
      <c r="AY809" s="511"/>
      <c r="AZ809" s="511"/>
      <c r="BA809" s="511"/>
      <c r="BB809" s="511"/>
      <c r="BC809" s="511"/>
    </row>
    <row r="810" spans="1:55" ht="16.5" customHeight="1" x14ac:dyDescent="0.3">
      <c r="A810" s="511"/>
      <c r="B810" s="511"/>
      <c r="C810" s="511"/>
      <c r="D810" s="511"/>
      <c r="E810" s="511"/>
      <c r="F810" s="511"/>
      <c r="G810" s="511"/>
      <c r="H810" s="511"/>
      <c r="I810" s="511"/>
      <c r="J810" s="511"/>
      <c r="K810" s="511"/>
      <c r="L810" s="511"/>
      <c r="M810" s="511"/>
      <c r="N810" s="511"/>
      <c r="O810" s="511"/>
      <c r="P810" s="511"/>
      <c r="Q810" s="511"/>
      <c r="R810" s="511"/>
      <c r="S810" s="511"/>
      <c r="T810" s="511"/>
      <c r="U810" s="511"/>
      <c r="V810" s="511"/>
      <c r="W810" s="511"/>
      <c r="X810" s="511"/>
      <c r="Y810" s="511"/>
      <c r="Z810" s="511"/>
      <c r="AA810" s="511"/>
      <c r="AB810" s="511"/>
      <c r="AC810" s="511"/>
      <c r="AD810" s="511"/>
      <c r="AE810" s="511"/>
      <c r="AF810" s="511"/>
      <c r="AG810" s="511"/>
      <c r="AH810" s="511"/>
      <c r="AI810" s="511"/>
      <c r="AJ810" s="511"/>
      <c r="AK810" s="511"/>
      <c r="AL810" s="511"/>
      <c r="AM810" s="511"/>
      <c r="AN810" s="511"/>
      <c r="AO810" s="511"/>
      <c r="AP810" s="511"/>
      <c r="AQ810" s="511"/>
      <c r="AR810" s="511"/>
      <c r="AS810" s="511"/>
      <c r="AT810" s="511"/>
      <c r="AU810" s="511"/>
      <c r="AV810" s="511"/>
      <c r="AW810" s="511"/>
      <c r="AX810" s="511"/>
      <c r="AY810" s="511"/>
      <c r="AZ810" s="511"/>
      <c r="BA810" s="511"/>
      <c r="BB810" s="511"/>
      <c r="BC810" s="511"/>
    </row>
    <row r="811" spans="1:55" ht="16.5" customHeight="1" x14ac:dyDescent="0.3">
      <c r="A811" s="511"/>
      <c r="B811" s="511"/>
      <c r="C811" s="511"/>
      <c r="D811" s="511"/>
      <c r="E811" s="511"/>
      <c r="F811" s="511"/>
      <c r="G811" s="511"/>
      <c r="H811" s="511"/>
      <c r="I811" s="511"/>
      <c r="J811" s="511"/>
      <c r="K811" s="511"/>
      <c r="L811" s="511"/>
      <c r="M811" s="511"/>
      <c r="N811" s="511"/>
      <c r="O811" s="511"/>
      <c r="P811" s="511"/>
      <c r="Q811" s="511"/>
      <c r="R811" s="511"/>
      <c r="S811" s="511"/>
      <c r="T811" s="511"/>
      <c r="U811" s="511"/>
      <c r="V811" s="511"/>
      <c r="W811" s="511"/>
      <c r="X811" s="511"/>
      <c r="Y811" s="511"/>
      <c r="Z811" s="511"/>
      <c r="AA811" s="511"/>
      <c r="AB811" s="511"/>
      <c r="AC811" s="511"/>
      <c r="AD811" s="511"/>
      <c r="AE811" s="511"/>
      <c r="AF811" s="511"/>
      <c r="AG811" s="511"/>
      <c r="AH811" s="511"/>
      <c r="AI811" s="511"/>
      <c r="AJ811" s="511"/>
      <c r="AK811" s="511"/>
      <c r="AL811" s="511"/>
      <c r="AM811" s="511"/>
      <c r="AN811" s="511"/>
      <c r="AO811" s="511"/>
      <c r="AP811" s="511"/>
      <c r="AQ811" s="511"/>
      <c r="AR811" s="511"/>
      <c r="AS811" s="511"/>
      <c r="AT811" s="511"/>
      <c r="AU811" s="511"/>
      <c r="AV811" s="511"/>
      <c r="AW811" s="511"/>
      <c r="AX811" s="511"/>
      <c r="AY811" s="511"/>
      <c r="AZ811" s="511"/>
      <c r="BA811" s="511"/>
      <c r="BB811" s="511"/>
      <c r="BC811" s="511"/>
    </row>
    <row r="812" spans="1:55" ht="16.5" customHeight="1" x14ac:dyDescent="0.3">
      <c r="A812" s="511"/>
      <c r="B812" s="511"/>
      <c r="C812" s="511"/>
      <c r="D812" s="511"/>
      <c r="E812" s="511"/>
      <c r="F812" s="511"/>
      <c r="G812" s="511"/>
      <c r="H812" s="511"/>
      <c r="I812" s="511"/>
      <c r="J812" s="511"/>
      <c r="K812" s="511"/>
      <c r="L812" s="511"/>
      <c r="M812" s="511"/>
      <c r="N812" s="511"/>
      <c r="O812" s="511"/>
      <c r="P812" s="511"/>
      <c r="Q812" s="511"/>
      <c r="R812" s="511"/>
      <c r="S812" s="511"/>
      <c r="T812" s="511"/>
      <c r="U812" s="511"/>
      <c r="V812" s="511"/>
      <c r="W812" s="511"/>
      <c r="X812" s="511"/>
      <c r="Y812" s="511"/>
      <c r="Z812" s="511"/>
      <c r="AA812" s="511"/>
      <c r="AB812" s="511"/>
      <c r="AC812" s="511"/>
      <c r="AD812" s="511"/>
      <c r="AE812" s="511"/>
      <c r="AF812" s="511"/>
      <c r="AG812" s="511"/>
      <c r="AH812" s="511"/>
      <c r="AI812" s="511"/>
      <c r="AJ812" s="511"/>
      <c r="AK812" s="511"/>
      <c r="AL812" s="511"/>
      <c r="AM812" s="511"/>
      <c r="AN812" s="511"/>
      <c r="AO812" s="511"/>
      <c r="AP812" s="511"/>
      <c r="AQ812" s="511"/>
      <c r="AR812" s="511"/>
      <c r="AS812" s="511"/>
      <c r="AT812" s="511"/>
      <c r="AU812" s="511"/>
      <c r="AV812" s="511"/>
      <c r="AW812" s="511"/>
      <c r="AX812" s="511"/>
      <c r="AY812" s="511"/>
      <c r="AZ812" s="511"/>
      <c r="BA812" s="511"/>
      <c r="BB812" s="511"/>
      <c r="BC812" s="511"/>
    </row>
    <row r="813" spans="1:55" ht="16.5" customHeight="1" x14ac:dyDescent="0.3">
      <c r="A813" s="511"/>
      <c r="B813" s="511"/>
      <c r="C813" s="511"/>
      <c r="D813" s="511"/>
      <c r="E813" s="511"/>
      <c r="F813" s="511"/>
      <c r="G813" s="511"/>
      <c r="H813" s="511"/>
      <c r="I813" s="511"/>
      <c r="J813" s="511"/>
      <c r="K813" s="511"/>
      <c r="L813" s="511"/>
      <c r="M813" s="511"/>
      <c r="N813" s="511"/>
      <c r="O813" s="511"/>
      <c r="P813" s="511"/>
      <c r="Q813" s="511"/>
      <c r="R813" s="511"/>
      <c r="S813" s="511"/>
      <c r="T813" s="511"/>
      <c r="U813" s="511"/>
      <c r="V813" s="511"/>
      <c r="W813" s="511"/>
      <c r="X813" s="511"/>
      <c r="Y813" s="511"/>
      <c r="Z813" s="511"/>
      <c r="AA813" s="511"/>
      <c r="AB813" s="511"/>
      <c r="AC813" s="511"/>
      <c r="AD813" s="511"/>
      <c r="AE813" s="511"/>
      <c r="AF813" s="511"/>
      <c r="AG813" s="511"/>
      <c r="AH813" s="511"/>
      <c r="AI813" s="511"/>
      <c r="AJ813" s="511"/>
      <c r="AK813" s="511"/>
      <c r="AL813" s="511"/>
      <c r="AM813" s="511"/>
      <c r="AN813" s="511"/>
      <c r="AO813" s="511"/>
      <c r="AP813" s="511"/>
      <c r="AQ813" s="511"/>
      <c r="AR813" s="511"/>
      <c r="AS813" s="511"/>
      <c r="AT813" s="511"/>
      <c r="AU813" s="511"/>
      <c r="AV813" s="511"/>
      <c r="AW813" s="511"/>
      <c r="AX813" s="511"/>
      <c r="AY813" s="511"/>
      <c r="AZ813" s="511"/>
      <c r="BA813" s="511"/>
      <c r="BB813" s="511"/>
      <c r="BC813" s="511"/>
    </row>
    <row r="814" spans="1:55" ht="16.5" customHeight="1" x14ac:dyDescent="0.3">
      <c r="A814" s="511"/>
      <c r="B814" s="511"/>
      <c r="C814" s="511"/>
      <c r="D814" s="511"/>
      <c r="E814" s="511"/>
      <c r="F814" s="511"/>
      <c r="G814" s="511"/>
      <c r="H814" s="511"/>
      <c r="I814" s="511"/>
      <c r="J814" s="511"/>
      <c r="K814" s="511"/>
      <c r="L814" s="511"/>
      <c r="M814" s="511"/>
      <c r="N814" s="511"/>
      <c r="O814" s="511"/>
      <c r="P814" s="511"/>
      <c r="Q814" s="511"/>
      <c r="R814" s="511"/>
      <c r="S814" s="511"/>
      <c r="T814" s="511"/>
      <c r="U814" s="511"/>
      <c r="V814" s="511"/>
      <c r="W814" s="511"/>
      <c r="X814" s="511"/>
      <c r="Y814" s="511"/>
      <c r="Z814" s="511"/>
      <c r="AA814" s="511"/>
      <c r="AB814" s="511"/>
      <c r="AC814" s="511"/>
      <c r="AD814" s="511"/>
      <c r="AE814" s="511"/>
      <c r="AF814" s="511"/>
      <c r="AG814" s="511"/>
      <c r="AH814" s="511"/>
      <c r="AI814" s="511"/>
      <c r="AJ814" s="511"/>
      <c r="AK814" s="511"/>
      <c r="AL814" s="511"/>
      <c r="AM814" s="511"/>
      <c r="AN814" s="511"/>
      <c r="AO814" s="511"/>
      <c r="AP814" s="511"/>
      <c r="AQ814" s="511"/>
      <c r="AR814" s="511"/>
      <c r="AS814" s="511"/>
      <c r="AT814" s="511"/>
      <c r="AU814" s="511"/>
      <c r="AV814" s="511"/>
      <c r="AW814" s="511"/>
      <c r="AX814" s="511"/>
      <c r="AY814" s="511"/>
      <c r="AZ814" s="511"/>
      <c r="BA814" s="511"/>
      <c r="BB814" s="511"/>
      <c r="BC814" s="511"/>
    </row>
    <row r="815" spans="1:55" ht="16.5" customHeight="1" x14ac:dyDescent="0.3">
      <c r="A815" s="511"/>
      <c r="B815" s="511"/>
      <c r="C815" s="511"/>
      <c r="D815" s="511"/>
      <c r="E815" s="511"/>
      <c r="F815" s="511"/>
      <c r="G815" s="511"/>
      <c r="H815" s="511"/>
      <c r="I815" s="511"/>
      <c r="J815" s="511"/>
      <c r="K815" s="511"/>
      <c r="L815" s="511"/>
      <c r="M815" s="511"/>
      <c r="N815" s="511"/>
      <c r="O815" s="511"/>
      <c r="P815" s="511"/>
      <c r="Q815" s="511"/>
      <c r="R815" s="511"/>
      <c r="S815" s="511"/>
      <c r="T815" s="511"/>
      <c r="U815" s="511"/>
      <c r="V815" s="511"/>
      <c r="W815" s="511"/>
      <c r="X815" s="511"/>
      <c r="Y815" s="511"/>
      <c r="Z815" s="511"/>
      <c r="AA815" s="511"/>
      <c r="AB815" s="511"/>
      <c r="AC815" s="511"/>
      <c r="AD815" s="511"/>
      <c r="AE815" s="511"/>
      <c r="AF815" s="511"/>
      <c r="AG815" s="511"/>
      <c r="AH815" s="511"/>
      <c r="AI815" s="511"/>
      <c r="AJ815" s="511"/>
      <c r="AK815" s="511"/>
      <c r="AL815" s="511"/>
      <c r="AM815" s="511"/>
      <c r="AN815" s="511"/>
      <c r="AO815" s="511"/>
      <c r="AP815" s="511"/>
      <c r="AQ815" s="511"/>
      <c r="AR815" s="511"/>
      <c r="AS815" s="511"/>
      <c r="AT815" s="511"/>
      <c r="AU815" s="511"/>
      <c r="AV815" s="511"/>
      <c r="AW815" s="511"/>
      <c r="AX815" s="511"/>
      <c r="AY815" s="511"/>
      <c r="AZ815" s="511"/>
      <c r="BA815" s="511"/>
      <c r="BB815" s="511"/>
      <c r="BC815" s="511"/>
    </row>
    <row r="816" spans="1:55" ht="16.5" customHeight="1" x14ac:dyDescent="0.3">
      <c r="A816" s="511"/>
      <c r="B816" s="511"/>
      <c r="C816" s="511"/>
      <c r="D816" s="511"/>
      <c r="E816" s="511"/>
      <c r="F816" s="511"/>
      <c r="G816" s="511"/>
      <c r="H816" s="511"/>
      <c r="I816" s="511"/>
      <c r="J816" s="511"/>
      <c r="K816" s="511"/>
      <c r="L816" s="511"/>
      <c r="M816" s="511"/>
      <c r="N816" s="511"/>
      <c r="O816" s="511"/>
      <c r="P816" s="511"/>
      <c r="Q816" s="511"/>
      <c r="R816" s="511"/>
      <c r="S816" s="511"/>
      <c r="T816" s="511"/>
      <c r="U816" s="511"/>
      <c r="V816" s="511"/>
      <c r="W816" s="511"/>
      <c r="X816" s="511"/>
      <c r="Y816" s="511"/>
      <c r="Z816" s="511"/>
      <c r="AA816" s="511"/>
      <c r="AB816" s="511"/>
      <c r="AC816" s="511"/>
      <c r="AD816" s="511"/>
      <c r="AE816" s="511"/>
      <c r="AF816" s="511"/>
      <c r="AG816" s="511"/>
      <c r="AH816" s="511"/>
      <c r="AI816" s="511"/>
      <c r="AJ816" s="511"/>
      <c r="AK816" s="511"/>
      <c r="AL816" s="511"/>
      <c r="AM816" s="511"/>
      <c r="AN816" s="511"/>
      <c r="AO816" s="511"/>
      <c r="AP816" s="511"/>
      <c r="AQ816" s="511"/>
      <c r="AR816" s="511"/>
      <c r="AS816" s="511"/>
      <c r="AT816" s="511"/>
      <c r="AU816" s="511"/>
      <c r="AV816" s="511"/>
      <c r="AW816" s="511"/>
      <c r="AX816" s="511"/>
      <c r="AY816" s="511"/>
      <c r="AZ816" s="511"/>
      <c r="BA816" s="511"/>
      <c r="BB816" s="511"/>
      <c r="BC816" s="511"/>
    </row>
    <row r="817" spans="1:55" ht="16.5" customHeight="1" x14ac:dyDescent="0.3">
      <c r="A817" s="511"/>
      <c r="B817" s="511"/>
      <c r="C817" s="511"/>
      <c r="D817" s="511"/>
      <c r="E817" s="511"/>
      <c r="F817" s="511"/>
      <c r="G817" s="511"/>
      <c r="H817" s="511"/>
      <c r="I817" s="511"/>
      <c r="J817" s="511"/>
      <c r="K817" s="511"/>
      <c r="L817" s="511"/>
      <c r="M817" s="511"/>
      <c r="N817" s="511"/>
      <c r="O817" s="511"/>
      <c r="P817" s="511"/>
      <c r="Q817" s="511"/>
      <c r="R817" s="511"/>
      <c r="S817" s="511"/>
      <c r="T817" s="511"/>
      <c r="U817" s="511"/>
      <c r="V817" s="511"/>
      <c r="W817" s="511"/>
      <c r="X817" s="511"/>
      <c r="Y817" s="511"/>
      <c r="Z817" s="511"/>
      <c r="AA817" s="511"/>
      <c r="AB817" s="511"/>
      <c r="AC817" s="511"/>
      <c r="AD817" s="511"/>
      <c r="AE817" s="511"/>
      <c r="AF817" s="511"/>
      <c r="AG817" s="511"/>
      <c r="AH817" s="511"/>
      <c r="AI817" s="511"/>
      <c r="AJ817" s="511"/>
      <c r="AK817" s="511"/>
      <c r="AL817" s="511"/>
      <c r="AM817" s="511"/>
      <c r="AN817" s="511"/>
      <c r="AO817" s="511"/>
      <c r="AP817" s="511"/>
      <c r="AQ817" s="511"/>
      <c r="AR817" s="511"/>
      <c r="AS817" s="511"/>
      <c r="AT817" s="511"/>
      <c r="AU817" s="511"/>
      <c r="AV817" s="511"/>
      <c r="AW817" s="511"/>
      <c r="AX817" s="511"/>
      <c r="AY817" s="511"/>
      <c r="AZ817" s="511"/>
      <c r="BA817" s="511"/>
      <c r="BB817" s="511"/>
      <c r="BC817" s="511"/>
    </row>
    <row r="818" spans="1:55" ht="16.5" customHeight="1" x14ac:dyDescent="0.3">
      <c r="A818" s="511"/>
      <c r="B818" s="511"/>
      <c r="C818" s="511"/>
      <c r="D818" s="511"/>
      <c r="E818" s="511"/>
      <c r="F818" s="511"/>
      <c r="G818" s="511"/>
      <c r="H818" s="511"/>
      <c r="I818" s="511"/>
      <c r="J818" s="511"/>
      <c r="K818" s="511"/>
      <c r="L818" s="511"/>
      <c r="M818" s="511"/>
      <c r="N818" s="511"/>
      <c r="O818" s="511"/>
      <c r="P818" s="511"/>
      <c r="Q818" s="511"/>
      <c r="R818" s="511"/>
      <c r="S818" s="511"/>
      <c r="T818" s="511"/>
      <c r="U818" s="511"/>
      <c r="V818" s="511"/>
      <c r="W818" s="511"/>
      <c r="X818" s="511"/>
      <c r="Y818" s="511"/>
      <c r="Z818" s="511"/>
      <c r="AA818" s="511"/>
      <c r="AB818" s="511"/>
      <c r="AC818" s="511"/>
      <c r="AD818" s="511"/>
      <c r="AE818" s="511"/>
      <c r="AF818" s="511"/>
      <c r="AG818" s="511"/>
      <c r="AH818" s="511"/>
      <c r="AI818" s="511"/>
      <c r="AJ818" s="511"/>
      <c r="AK818" s="511"/>
      <c r="AL818" s="511"/>
      <c r="AM818" s="511"/>
      <c r="AN818" s="511"/>
      <c r="AO818" s="511"/>
      <c r="AP818" s="511"/>
      <c r="AQ818" s="511"/>
      <c r="AR818" s="511"/>
      <c r="AS818" s="511"/>
      <c r="AT818" s="511"/>
      <c r="AU818" s="511"/>
      <c r="AV818" s="511"/>
      <c r="AW818" s="511"/>
      <c r="AX818" s="511"/>
      <c r="AY818" s="511"/>
      <c r="AZ818" s="511"/>
      <c r="BA818" s="511"/>
      <c r="BB818" s="511"/>
      <c r="BC818" s="511"/>
    </row>
    <row r="819" spans="1:55" ht="16.5" customHeight="1" x14ac:dyDescent="0.3">
      <c r="A819" s="511"/>
      <c r="B819" s="511"/>
      <c r="C819" s="511"/>
      <c r="D819" s="511"/>
      <c r="E819" s="511"/>
      <c r="F819" s="511"/>
      <c r="G819" s="511"/>
      <c r="H819" s="511"/>
      <c r="I819" s="511"/>
      <c r="J819" s="511"/>
      <c r="K819" s="511"/>
      <c r="L819" s="511"/>
      <c r="M819" s="511"/>
      <c r="N819" s="511"/>
      <c r="O819" s="511"/>
      <c r="P819" s="511"/>
      <c r="Q819" s="511"/>
      <c r="R819" s="511"/>
      <c r="S819" s="511"/>
      <c r="T819" s="511"/>
      <c r="U819" s="511"/>
      <c r="V819" s="511"/>
      <c r="W819" s="511"/>
      <c r="X819" s="511"/>
      <c r="Y819" s="511"/>
      <c r="Z819" s="511"/>
      <c r="AA819" s="511"/>
      <c r="AB819" s="511"/>
      <c r="AC819" s="511"/>
      <c r="AD819" s="511"/>
      <c r="AE819" s="511"/>
      <c r="AF819" s="511"/>
      <c r="AG819" s="511"/>
      <c r="AH819" s="511"/>
      <c r="AI819" s="511"/>
      <c r="AJ819" s="511"/>
      <c r="AK819" s="511"/>
      <c r="AL819" s="511"/>
      <c r="AM819" s="511"/>
      <c r="AN819" s="511"/>
      <c r="AO819" s="511"/>
      <c r="AP819" s="511"/>
      <c r="AQ819" s="511"/>
      <c r="AR819" s="511"/>
      <c r="AS819" s="511"/>
      <c r="AT819" s="511"/>
      <c r="AU819" s="511"/>
      <c r="AV819" s="511"/>
      <c r="AW819" s="511"/>
      <c r="AX819" s="511"/>
      <c r="AY819" s="511"/>
      <c r="AZ819" s="511"/>
      <c r="BA819" s="511"/>
      <c r="BB819" s="511"/>
      <c r="BC819" s="511"/>
    </row>
    <row r="820" spans="1:55" ht="16.5" customHeight="1" x14ac:dyDescent="0.3">
      <c r="A820" s="511"/>
      <c r="B820" s="511"/>
      <c r="C820" s="511"/>
      <c r="D820" s="511"/>
      <c r="E820" s="511"/>
      <c r="F820" s="511"/>
      <c r="G820" s="511"/>
      <c r="H820" s="511"/>
      <c r="I820" s="511"/>
      <c r="J820" s="511"/>
      <c r="K820" s="511"/>
      <c r="L820" s="511"/>
      <c r="M820" s="511"/>
      <c r="N820" s="511"/>
      <c r="O820" s="511"/>
      <c r="P820" s="511"/>
      <c r="Q820" s="511"/>
      <c r="R820" s="511"/>
      <c r="S820" s="511"/>
      <c r="T820" s="511"/>
      <c r="U820" s="511"/>
      <c r="V820" s="511"/>
      <c r="W820" s="511"/>
      <c r="X820" s="511"/>
      <c r="Y820" s="511"/>
      <c r="Z820" s="511"/>
      <c r="AA820" s="511"/>
      <c r="AB820" s="511"/>
      <c r="AC820" s="511"/>
      <c r="AD820" s="511"/>
      <c r="AE820" s="511"/>
      <c r="AF820" s="511"/>
      <c r="AG820" s="511"/>
      <c r="AH820" s="511"/>
      <c r="AI820" s="511"/>
      <c r="AJ820" s="511"/>
      <c r="AK820" s="511"/>
      <c r="AL820" s="511"/>
      <c r="AM820" s="511"/>
      <c r="AN820" s="511"/>
      <c r="AO820" s="511"/>
      <c r="AP820" s="511"/>
      <c r="AQ820" s="511"/>
      <c r="AR820" s="511"/>
      <c r="AS820" s="511"/>
      <c r="AT820" s="511"/>
      <c r="AU820" s="511"/>
      <c r="AV820" s="511"/>
      <c r="AW820" s="511"/>
      <c r="AX820" s="511"/>
      <c r="AY820" s="511"/>
      <c r="AZ820" s="511"/>
      <c r="BA820" s="511"/>
      <c r="BB820" s="511"/>
      <c r="BC820" s="511"/>
    </row>
    <row r="821" spans="1:55" ht="16.5" customHeight="1" x14ac:dyDescent="0.3">
      <c r="A821" s="511"/>
      <c r="B821" s="511"/>
      <c r="C821" s="511"/>
      <c r="D821" s="511"/>
      <c r="E821" s="511"/>
      <c r="F821" s="511"/>
      <c r="G821" s="511"/>
      <c r="H821" s="511"/>
      <c r="I821" s="511"/>
      <c r="J821" s="511"/>
      <c r="K821" s="511"/>
      <c r="L821" s="511"/>
      <c r="M821" s="511"/>
      <c r="N821" s="511"/>
      <c r="O821" s="511"/>
      <c r="P821" s="511"/>
      <c r="Q821" s="511"/>
      <c r="R821" s="511"/>
      <c r="S821" s="511"/>
      <c r="T821" s="511"/>
      <c r="U821" s="511"/>
      <c r="V821" s="511"/>
      <c r="W821" s="511"/>
      <c r="X821" s="511"/>
      <c r="Y821" s="511"/>
      <c r="Z821" s="511"/>
      <c r="AA821" s="511"/>
      <c r="AB821" s="511"/>
      <c r="AC821" s="511"/>
      <c r="AD821" s="511"/>
      <c r="AE821" s="511"/>
      <c r="AF821" s="511"/>
      <c r="AG821" s="511"/>
      <c r="AH821" s="511"/>
      <c r="AI821" s="511"/>
      <c r="AJ821" s="511"/>
      <c r="AK821" s="511"/>
      <c r="AL821" s="511"/>
      <c r="AM821" s="511"/>
      <c r="AN821" s="511"/>
      <c r="AO821" s="511"/>
      <c r="AP821" s="511"/>
      <c r="AQ821" s="511"/>
      <c r="AR821" s="511"/>
      <c r="AS821" s="511"/>
      <c r="AT821" s="511"/>
      <c r="AU821" s="511"/>
      <c r="AV821" s="511"/>
      <c r="AW821" s="511"/>
      <c r="AX821" s="511"/>
      <c r="AY821" s="511"/>
      <c r="AZ821" s="511"/>
      <c r="BA821" s="511"/>
      <c r="BB821" s="511"/>
      <c r="BC821" s="511"/>
    </row>
    <row r="822" spans="1:55" ht="16.5" customHeight="1" x14ac:dyDescent="0.3">
      <c r="A822" s="511"/>
      <c r="B822" s="511"/>
      <c r="C822" s="511"/>
      <c r="D822" s="511"/>
      <c r="E822" s="511"/>
      <c r="F822" s="511"/>
      <c r="G822" s="511"/>
      <c r="H822" s="511"/>
      <c r="I822" s="511"/>
      <c r="J822" s="511"/>
      <c r="K822" s="511"/>
      <c r="L822" s="511"/>
      <c r="M822" s="511"/>
      <c r="N822" s="511"/>
      <c r="O822" s="511"/>
      <c r="P822" s="511"/>
      <c r="Q822" s="511"/>
      <c r="R822" s="511"/>
      <c r="S822" s="511"/>
      <c r="T822" s="511"/>
      <c r="U822" s="511"/>
      <c r="V822" s="511"/>
      <c r="W822" s="511"/>
      <c r="X822" s="511"/>
      <c r="Y822" s="511"/>
      <c r="Z822" s="511"/>
      <c r="AA822" s="511"/>
      <c r="AB822" s="511"/>
      <c r="AC822" s="511"/>
      <c r="AD822" s="511"/>
      <c r="AE822" s="511"/>
      <c r="AF822" s="511"/>
      <c r="AG822" s="511"/>
      <c r="AH822" s="511"/>
      <c r="AI822" s="511"/>
      <c r="AJ822" s="511"/>
      <c r="AK822" s="511"/>
      <c r="AL822" s="511"/>
      <c r="AM822" s="511"/>
      <c r="AN822" s="511"/>
      <c r="AO822" s="511"/>
      <c r="AP822" s="511"/>
      <c r="AQ822" s="511"/>
      <c r="AR822" s="511"/>
      <c r="AS822" s="511"/>
      <c r="AT822" s="511"/>
      <c r="AU822" s="511"/>
      <c r="AV822" s="511"/>
      <c r="AW822" s="511"/>
      <c r="AX822" s="511"/>
      <c r="AY822" s="511"/>
      <c r="AZ822" s="511"/>
      <c r="BA822" s="511"/>
      <c r="BB822" s="511"/>
      <c r="BC822" s="511"/>
    </row>
    <row r="823" spans="1:55" ht="16.5" customHeight="1" x14ac:dyDescent="0.3">
      <c r="A823" s="511"/>
      <c r="B823" s="511"/>
      <c r="C823" s="511"/>
      <c r="D823" s="511"/>
      <c r="E823" s="511"/>
      <c r="F823" s="511"/>
      <c r="G823" s="511"/>
      <c r="H823" s="511"/>
      <c r="I823" s="511"/>
      <c r="J823" s="511"/>
      <c r="K823" s="511"/>
      <c r="L823" s="511"/>
      <c r="M823" s="511"/>
      <c r="N823" s="511"/>
      <c r="O823" s="511"/>
      <c r="P823" s="511"/>
      <c r="Q823" s="511"/>
      <c r="R823" s="511"/>
      <c r="S823" s="511"/>
      <c r="T823" s="511"/>
      <c r="U823" s="511"/>
      <c r="V823" s="511"/>
      <c r="W823" s="511"/>
      <c r="X823" s="511"/>
      <c r="Y823" s="511"/>
      <c r="Z823" s="511"/>
      <c r="AA823" s="511"/>
      <c r="AB823" s="511"/>
      <c r="AC823" s="511"/>
      <c r="AD823" s="511"/>
      <c r="AE823" s="511"/>
      <c r="AF823" s="511"/>
      <c r="AG823" s="511"/>
      <c r="AH823" s="511"/>
      <c r="AI823" s="511"/>
      <c r="AJ823" s="511"/>
      <c r="AK823" s="511"/>
      <c r="AL823" s="511"/>
      <c r="AM823" s="511"/>
      <c r="AN823" s="511"/>
      <c r="AO823" s="511"/>
      <c r="AP823" s="511"/>
      <c r="AQ823" s="511"/>
      <c r="AR823" s="511"/>
      <c r="AS823" s="511"/>
      <c r="AT823" s="511"/>
      <c r="AU823" s="511"/>
      <c r="AV823" s="511"/>
      <c r="AW823" s="511"/>
      <c r="AX823" s="511"/>
      <c r="AY823" s="511"/>
      <c r="AZ823" s="511"/>
      <c r="BA823" s="511"/>
      <c r="BB823" s="511"/>
      <c r="BC823" s="511"/>
    </row>
    <row r="824" spans="1:55" ht="16.5" customHeight="1" x14ac:dyDescent="0.3">
      <c r="A824" s="511"/>
      <c r="B824" s="511"/>
      <c r="C824" s="511"/>
      <c r="D824" s="511"/>
      <c r="E824" s="511"/>
      <c r="F824" s="511"/>
      <c r="G824" s="511"/>
      <c r="H824" s="511"/>
      <c r="I824" s="511"/>
      <c r="J824" s="511"/>
      <c r="K824" s="511"/>
      <c r="L824" s="511"/>
      <c r="M824" s="511"/>
      <c r="N824" s="511"/>
      <c r="O824" s="511"/>
      <c r="P824" s="511"/>
      <c r="Q824" s="511"/>
      <c r="R824" s="511"/>
      <c r="S824" s="511"/>
      <c r="T824" s="511"/>
      <c r="U824" s="511"/>
      <c r="V824" s="511"/>
      <c r="W824" s="511"/>
      <c r="X824" s="511"/>
      <c r="Y824" s="511"/>
      <c r="Z824" s="511"/>
      <c r="AA824" s="511"/>
      <c r="AB824" s="511"/>
      <c r="AC824" s="511"/>
      <c r="AD824" s="511"/>
      <c r="AE824" s="511"/>
      <c r="AF824" s="511"/>
      <c r="AG824" s="511"/>
      <c r="AH824" s="511"/>
      <c r="AI824" s="511"/>
      <c r="AJ824" s="511"/>
      <c r="AK824" s="511"/>
      <c r="AL824" s="511"/>
      <c r="AM824" s="511"/>
      <c r="AN824" s="511"/>
      <c r="AO824" s="511"/>
      <c r="AP824" s="511"/>
      <c r="AQ824" s="511"/>
      <c r="AR824" s="511"/>
      <c r="AS824" s="511"/>
      <c r="AT824" s="511"/>
      <c r="AU824" s="511"/>
      <c r="AV824" s="511"/>
      <c r="AW824" s="511"/>
      <c r="AX824" s="511"/>
      <c r="AY824" s="511"/>
      <c r="AZ824" s="511"/>
      <c r="BA824" s="511"/>
      <c r="BB824" s="511"/>
      <c r="BC824" s="511"/>
    </row>
    <row r="825" spans="1:55" ht="16.5" customHeight="1" x14ac:dyDescent="0.3">
      <c r="A825" s="511"/>
      <c r="B825" s="511"/>
      <c r="C825" s="511"/>
      <c r="D825" s="511"/>
      <c r="E825" s="511"/>
      <c r="F825" s="511"/>
      <c r="G825" s="511"/>
      <c r="H825" s="511"/>
      <c r="I825" s="511"/>
      <c r="J825" s="511"/>
      <c r="K825" s="511"/>
      <c r="L825" s="511"/>
      <c r="M825" s="511"/>
      <c r="N825" s="511"/>
      <c r="O825" s="511"/>
      <c r="P825" s="511"/>
      <c r="Q825" s="511"/>
      <c r="R825" s="511"/>
      <c r="S825" s="511"/>
      <c r="T825" s="511"/>
      <c r="U825" s="511"/>
      <c r="V825" s="511"/>
      <c r="W825" s="511"/>
      <c r="X825" s="511"/>
      <c r="Y825" s="511"/>
      <c r="Z825" s="511"/>
      <c r="AA825" s="511"/>
      <c r="AB825" s="511"/>
      <c r="AC825" s="511"/>
      <c r="AD825" s="511"/>
      <c r="AE825" s="511"/>
      <c r="AF825" s="511"/>
      <c r="AG825" s="511"/>
      <c r="AH825" s="511"/>
      <c r="AI825" s="511"/>
      <c r="AJ825" s="511"/>
      <c r="AK825" s="511"/>
      <c r="AL825" s="511"/>
      <c r="AM825" s="511"/>
      <c r="AN825" s="511"/>
      <c r="AO825" s="511"/>
      <c r="AP825" s="511"/>
      <c r="AQ825" s="511"/>
      <c r="AR825" s="511"/>
      <c r="AS825" s="511"/>
      <c r="AT825" s="511"/>
      <c r="AU825" s="511"/>
      <c r="AV825" s="511"/>
      <c r="AW825" s="511"/>
      <c r="AX825" s="511"/>
      <c r="AY825" s="511"/>
      <c r="AZ825" s="511"/>
      <c r="BA825" s="511"/>
      <c r="BB825" s="511"/>
      <c r="BC825" s="511"/>
    </row>
    <row r="826" spans="1:55" ht="16.5" customHeight="1" x14ac:dyDescent="0.3">
      <c r="A826" s="511"/>
      <c r="B826" s="511"/>
      <c r="C826" s="511"/>
      <c r="D826" s="511"/>
      <c r="E826" s="511"/>
      <c r="F826" s="511"/>
      <c r="G826" s="511"/>
      <c r="H826" s="511"/>
      <c r="I826" s="511"/>
      <c r="J826" s="511"/>
      <c r="K826" s="511"/>
      <c r="L826" s="511"/>
      <c r="M826" s="511"/>
      <c r="N826" s="511"/>
      <c r="O826" s="511"/>
      <c r="P826" s="511"/>
      <c r="Q826" s="511"/>
      <c r="R826" s="511"/>
      <c r="S826" s="511"/>
      <c r="T826" s="511"/>
      <c r="U826" s="511"/>
      <c r="V826" s="511"/>
      <c r="W826" s="511"/>
      <c r="X826" s="511"/>
      <c r="Y826" s="511"/>
      <c r="Z826" s="511"/>
      <c r="AA826" s="511"/>
      <c r="AB826" s="511"/>
      <c r="AC826" s="511"/>
      <c r="AD826" s="511"/>
      <c r="AE826" s="511"/>
      <c r="AF826" s="511"/>
      <c r="AG826" s="511"/>
      <c r="AH826" s="511"/>
      <c r="AI826" s="511"/>
      <c r="AJ826" s="511"/>
      <c r="AK826" s="511"/>
      <c r="AL826" s="511"/>
      <c r="AM826" s="511"/>
      <c r="AN826" s="511"/>
      <c r="AO826" s="511"/>
      <c r="AP826" s="511"/>
      <c r="AQ826" s="511"/>
      <c r="AR826" s="511"/>
      <c r="AS826" s="511"/>
      <c r="AT826" s="511"/>
      <c r="AU826" s="511"/>
      <c r="AV826" s="511"/>
      <c r="AW826" s="511"/>
      <c r="AX826" s="511"/>
      <c r="AY826" s="511"/>
      <c r="AZ826" s="511"/>
      <c r="BA826" s="511"/>
      <c r="BB826" s="511"/>
      <c r="BC826" s="511"/>
    </row>
    <row r="827" spans="1:55" ht="16.5" customHeight="1" x14ac:dyDescent="0.3">
      <c r="A827" s="511"/>
      <c r="B827" s="511"/>
      <c r="C827" s="511"/>
      <c r="D827" s="511"/>
      <c r="E827" s="511"/>
      <c r="F827" s="511"/>
      <c r="G827" s="511"/>
      <c r="H827" s="511"/>
      <c r="I827" s="511"/>
      <c r="J827" s="511"/>
      <c r="K827" s="511"/>
      <c r="L827" s="511"/>
      <c r="M827" s="511"/>
      <c r="N827" s="511"/>
      <c r="O827" s="511"/>
      <c r="P827" s="511"/>
      <c r="Q827" s="511"/>
      <c r="R827" s="511"/>
      <c r="S827" s="511"/>
      <c r="T827" s="511"/>
      <c r="U827" s="511"/>
      <c r="V827" s="511"/>
      <c r="W827" s="511"/>
      <c r="X827" s="511"/>
      <c r="Y827" s="511"/>
      <c r="Z827" s="511"/>
      <c r="AA827" s="511"/>
      <c r="AB827" s="511"/>
      <c r="AC827" s="511"/>
      <c r="AD827" s="511"/>
      <c r="AE827" s="511"/>
      <c r="AF827" s="511"/>
      <c r="AG827" s="511"/>
      <c r="AH827" s="511"/>
      <c r="AI827" s="511"/>
      <c r="AJ827" s="511"/>
      <c r="AK827" s="511"/>
      <c r="AL827" s="511"/>
      <c r="AM827" s="511"/>
      <c r="AN827" s="511"/>
      <c r="AO827" s="511"/>
      <c r="AP827" s="511"/>
      <c r="AQ827" s="511"/>
      <c r="AR827" s="511"/>
      <c r="AS827" s="511"/>
      <c r="AT827" s="511"/>
      <c r="AU827" s="511"/>
      <c r="AV827" s="511"/>
      <c r="AW827" s="511"/>
      <c r="AX827" s="511"/>
      <c r="AY827" s="511"/>
      <c r="AZ827" s="511"/>
      <c r="BA827" s="511"/>
      <c r="BB827" s="511"/>
      <c r="BC827" s="511"/>
    </row>
    <row r="828" spans="1:55" ht="16.5" customHeight="1" x14ac:dyDescent="0.3">
      <c r="A828" s="511"/>
      <c r="B828" s="511"/>
      <c r="C828" s="511"/>
      <c r="D828" s="511"/>
      <c r="E828" s="511"/>
      <c r="F828" s="511"/>
      <c r="G828" s="511"/>
      <c r="H828" s="511"/>
      <c r="I828" s="511"/>
      <c r="J828" s="511"/>
      <c r="K828" s="511"/>
      <c r="L828" s="511"/>
      <c r="M828" s="511"/>
      <c r="N828" s="511"/>
      <c r="O828" s="511"/>
      <c r="P828" s="511"/>
      <c r="Q828" s="511"/>
      <c r="R828" s="511"/>
      <c r="S828" s="511"/>
      <c r="T828" s="511"/>
      <c r="U828" s="511"/>
      <c r="V828" s="511"/>
      <c r="W828" s="511"/>
      <c r="X828" s="511"/>
      <c r="Y828" s="511"/>
      <c r="Z828" s="511"/>
      <c r="AA828" s="511"/>
      <c r="AB828" s="511"/>
      <c r="AC828" s="511"/>
      <c r="AD828" s="511"/>
      <c r="AE828" s="511"/>
      <c r="AF828" s="511"/>
      <c r="AG828" s="511"/>
      <c r="AH828" s="511"/>
      <c r="AI828" s="511"/>
      <c r="AJ828" s="511"/>
      <c r="AK828" s="511"/>
      <c r="AL828" s="511"/>
      <c r="AM828" s="511"/>
      <c r="AN828" s="511"/>
      <c r="AO828" s="511"/>
      <c r="AP828" s="511"/>
      <c r="AQ828" s="511"/>
      <c r="AR828" s="511"/>
      <c r="AS828" s="511"/>
      <c r="AT828" s="511"/>
      <c r="AU828" s="511"/>
      <c r="AV828" s="511"/>
      <c r="AW828" s="511"/>
      <c r="AX828" s="511"/>
      <c r="AY828" s="511"/>
      <c r="AZ828" s="511"/>
      <c r="BA828" s="511"/>
      <c r="BB828" s="511"/>
      <c r="BC828" s="511"/>
    </row>
    <row r="829" spans="1:55" ht="16.5" customHeight="1" x14ac:dyDescent="0.3">
      <c r="A829" s="511"/>
      <c r="B829" s="511"/>
      <c r="C829" s="511"/>
      <c r="D829" s="511"/>
      <c r="E829" s="511"/>
      <c r="F829" s="511"/>
      <c r="G829" s="511"/>
      <c r="H829" s="511"/>
      <c r="I829" s="511"/>
      <c r="J829" s="511"/>
      <c r="K829" s="511"/>
      <c r="L829" s="511"/>
      <c r="M829" s="511"/>
      <c r="N829" s="511"/>
      <c r="O829" s="511"/>
      <c r="P829" s="511"/>
      <c r="Q829" s="511"/>
      <c r="R829" s="511"/>
      <c r="S829" s="511"/>
      <c r="T829" s="511"/>
      <c r="U829" s="511"/>
      <c r="V829" s="511"/>
      <c r="W829" s="511"/>
      <c r="X829" s="511"/>
      <c r="Y829" s="511"/>
      <c r="Z829" s="511"/>
      <c r="AA829" s="511"/>
      <c r="AB829" s="511"/>
      <c r="AC829" s="511"/>
      <c r="AD829" s="511"/>
      <c r="AE829" s="511"/>
      <c r="AF829" s="511"/>
      <c r="AG829" s="511"/>
      <c r="AH829" s="511"/>
      <c r="AI829" s="511"/>
      <c r="AJ829" s="511"/>
      <c r="AK829" s="511"/>
      <c r="AL829" s="511"/>
      <c r="AM829" s="511"/>
      <c r="AN829" s="511"/>
      <c r="AO829" s="511"/>
      <c r="AP829" s="511"/>
      <c r="AQ829" s="511"/>
      <c r="AR829" s="511"/>
      <c r="AS829" s="511"/>
      <c r="AT829" s="511"/>
      <c r="AU829" s="511"/>
      <c r="AV829" s="511"/>
      <c r="AW829" s="511"/>
      <c r="AX829" s="511"/>
      <c r="AY829" s="511"/>
      <c r="AZ829" s="511"/>
      <c r="BA829" s="511"/>
      <c r="BB829" s="511"/>
      <c r="BC829" s="511"/>
    </row>
    <row r="830" spans="1:55" ht="16.5" customHeight="1" x14ac:dyDescent="0.3">
      <c r="A830" s="511"/>
      <c r="B830" s="511"/>
      <c r="C830" s="511"/>
      <c r="D830" s="511"/>
      <c r="E830" s="511"/>
      <c r="F830" s="511"/>
      <c r="G830" s="511"/>
      <c r="H830" s="511"/>
      <c r="I830" s="511"/>
      <c r="J830" s="511"/>
      <c r="K830" s="511"/>
      <c r="L830" s="511"/>
      <c r="M830" s="511"/>
      <c r="N830" s="511"/>
      <c r="O830" s="511"/>
      <c r="P830" s="511"/>
      <c r="Q830" s="511"/>
      <c r="R830" s="511"/>
      <c r="S830" s="511"/>
      <c r="T830" s="511"/>
      <c r="U830" s="511"/>
      <c r="V830" s="511"/>
      <c r="W830" s="511"/>
      <c r="X830" s="511"/>
      <c r="Y830" s="511"/>
      <c r="Z830" s="511"/>
      <c r="AA830" s="511"/>
      <c r="AB830" s="511"/>
      <c r="AC830" s="511"/>
      <c r="AD830" s="511"/>
      <c r="AE830" s="511"/>
      <c r="AF830" s="511"/>
      <c r="AG830" s="511"/>
      <c r="AH830" s="511"/>
      <c r="AI830" s="511"/>
      <c r="AJ830" s="511"/>
      <c r="AK830" s="511"/>
      <c r="AL830" s="511"/>
      <c r="AM830" s="511"/>
      <c r="AN830" s="511"/>
      <c r="AO830" s="511"/>
      <c r="AP830" s="511"/>
      <c r="AQ830" s="511"/>
      <c r="AR830" s="511"/>
      <c r="AS830" s="511"/>
      <c r="AT830" s="511"/>
      <c r="AU830" s="511"/>
      <c r="AV830" s="511"/>
      <c r="AW830" s="511"/>
      <c r="AX830" s="511"/>
      <c r="AY830" s="511"/>
      <c r="AZ830" s="511"/>
      <c r="BA830" s="511"/>
      <c r="BB830" s="511"/>
      <c r="BC830" s="511"/>
    </row>
    <row r="831" spans="1:55" ht="16.5" customHeight="1" x14ac:dyDescent="0.3">
      <c r="A831" s="511"/>
      <c r="B831" s="511"/>
      <c r="C831" s="511"/>
      <c r="D831" s="511"/>
      <c r="E831" s="511"/>
      <c r="F831" s="511"/>
      <c r="G831" s="511"/>
      <c r="H831" s="511"/>
      <c r="I831" s="511"/>
      <c r="J831" s="511"/>
      <c r="K831" s="511"/>
      <c r="L831" s="511"/>
      <c r="M831" s="511"/>
      <c r="N831" s="511"/>
      <c r="O831" s="511"/>
      <c r="P831" s="511"/>
      <c r="Q831" s="511"/>
      <c r="R831" s="511"/>
      <c r="S831" s="511"/>
      <c r="T831" s="511"/>
      <c r="U831" s="511"/>
      <c r="V831" s="511"/>
      <c r="W831" s="511"/>
      <c r="X831" s="511"/>
      <c r="Y831" s="511"/>
      <c r="Z831" s="511"/>
      <c r="AA831" s="511"/>
      <c r="AB831" s="511"/>
      <c r="AC831" s="511"/>
      <c r="AD831" s="511"/>
      <c r="AE831" s="511"/>
      <c r="AF831" s="511"/>
      <c r="AG831" s="511"/>
      <c r="AH831" s="511"/>
      <c r="AI831" s="511"/>
      <c r="AJ831" s="511"/>
      <c r="AK831" s="511"/>
      <c r="AL831" s="511"/>
      <c r="AM831" s="511"/>
      <c r="AN831" s="511"/>
      <c r="AO831" s="511"/>
      <c r="AP831" s="511"/>
      <c r="AQ831" s="511"/>
      <c r="AR831" s="511"/>
      <c r="AS831" s="511"/>
      <c r="AT831" s="511"/>
      <c r="AU831" s="511"/>
      <c r="AV831" s="511"/>
      <c r="AW831" s="511"/>
      <c r="AX831" s="511"/>
      <c r="AY831" s="511"/>
      <c r="AZ831" s="511"/>
      <c r="BA831" s="511"/>
      <c r="BB831" s="511"/>
      <c r="BC831" s="511"/>
    </row>
    <row r="832" spans="1:55" ht="16.5" customHeight="1" x14ac:dyDescent="0.3">
      <c r="A832" s="511"/>
      <c r="B832" s="511"/>
      <c r="C832" s="511"/>
      <c r="D832" s="511"/>
      <c r="E832" s="511"/>
      <c r="F832" s="511"/>
      <c r="G832" s="511"/>
      <c r="H832" s="511"/>
      <c r="I832" s="511"/>
      <c r="J832" s="511"/>
      <c r="K832" s="511"/>
      <c r="L832" s="511"/>
      <c r="M832" s="511"/>
      <c r="N832" s="511"/>
      <c r="O832" s="511"/>
      <c r="P832" s="511"/>
      <c r="Q832" s="511"/>
      <c r="R832" s="511"/>
      <c r="S832" s="511"/>
      <c r="T832" s="511"/>
      <c r="U832" s="511"/>
      <c r="V832" s="511"/>
      <c r="W832" s="511"/>
      <c r="X832" s="511"/>
      <c r="Y832" s="511"/>
      <c r="Z832" s="511"/>
      <c r="AA832" s="511"/>
      <c r="AB832" s="511"/>
      <c r="AC832" s="511"/>
      <c r="AD832" s="511"/>
      <c r="AE832" s="511"/>
      <c r="AF832" s="511"/>
      <c r="AG832" s="511"/>
      <c r="AH832" s="511"/>
      <c r="AI832" s="511"/>
      <c r="AJ832" s="511"/>
      <c r="AK832" s="511"/>
      <c r="AL832" s="511"/>
      <c r="AM832" s="511"/>
      <c r="AN832" s="511"/>
      <c r="AO832" s="511"/>
      <c r="AP832" s="511"/>
      <c r="AQ832" s="511"/>
      <c r="AR832" s="511"/>
      <c r="AS832" s="511"/>
      <c r="AT832" s="511"/>
      <c r="AU832" s="511"/>
      <c r="AV832" s="511"/>
      <c r="AW832" s="511"/>
      <c r="AX832" s="511"/>
      <c r="AY832" s="511"/>
      <c r="AZ832" s="511"/>
      <c r="BA832" s="511"/>
      <c r="BB832" s="511"/>
      <c r="BC832" s="511"/>
    </row>
    <row r="833" spans="1:55" ht="16.5" customHeight="1" x14ac:dyDescent="0.3">
      <c r="A833" s="511"/>
      <c r="B833" s="511"/>
      <c r="C833" s="511"/>
      <c r="D833" s="511"/>
      <c r="E833" s="511"/>
      <c r="F833" s="511"/>
      <c r="G833" s="511"/>
      <c r="H833" s="511"/>
      <c r="I833" s="511"/>
      <c r="J833" s="511"/>
      <c r="K833" s="511"/>
      <c r="L833" s="511"/>
      <c r="M833" s="511"/>
      <c r="N833" s="511"/>
      <c r="O833" s="511"/>
      <c r="P833" s="511"/>
      <c r="Q833" s="511"/>
      <c r="R833" s="511"/>
      <c r="S833" s="511"/>
      <c r="T833" s="511"/>
      <c r="U833" s="511"/>
      <c r="V833" s="511"/>
      <c r="W833" s="511"/>
      <c r="X833" s="511"/>
      <c r="Y833" s="511"/>
      <c r="Z833" s="511"/>
      <c r="AA833" s="511"/>
      <c r="AB833" s="511"/>
      <c r="AC833" s="511"/>
      <c r="AD833" s="511"/>
      <c r="AE833" s="511"/>
      <c r="AF833" s="511"/>
      <c r="AG833" s="511"/>
      <c r="AH833" s="511"/>
      <c r="AI833" s="511"/>
      <c r="AJ833" s="511"/>
      <c r="AK833" s="511"/>
      <c r="AL833" s="511"/>
      <c r="AM833" s="511"/>
      <c r="AN833" s="511"/>
      <c r="AO833" s="511"/>
      <c r="AP833" s="511"/>
      <c r="AQ833" s="511"/>
      <c r="AR833" s="511"/>
      <c r="AS833" s="511"/>
      <c r="AT833" s="511"/>
      <c r="AU833" s="511"/>
      <c r="AV833" s="511"/>
      <c r="AW833" s="511"/>
      <c r="AX833" s="511"/>
      <c r="AY833" s="511"/>
      <c r="AZ833" s="511"/>
      <c r="BA833" s="511"/>
      <c r="BB833" s="511"/>
      <c r="BC833" s="511"/>
    </row>
    <row r="834" spans="1:55" ht="16.5" customHeight="1" x14ac:dyDescent="0.3">
      <c r="A834" s="511"/>
      <c r="B834" s="511"/>
      <c r="C834" s="511"/>
      <c r="D834" s="511"/>
      <c r="E834" s="511"/>
      <c r="F834" s="511"/>
      <c r="G834" s="511"/>
      <c r="H834" s="511"/>
      <c r="I834" s="511"/>
      <c r="J834" s="511"/>
      <c r="K834" s="511"/>
      <c r="L834" s="511"/>
      <c r="M834" s="511"/>
      <c r="N834" s="511"/>
      <c r="O834" s="511"/>
      <c r="P834" s="511"/>
      <c r="Q834" s="511"/>
      <c r="R834" s="511"/>
      <c r="S834" s="511"/>
      <c r="T834" s="511"/>
      <c r="U834" s="511"/>
      <c r="V834" s="511"/>
      <c r="W834" s="511"/>
      <c r="X834" s="511"/>
      <c r="Y834" s="511"/>
      <c r="Z834" s="511"/>
      <c r="AA834" s="511"/>
      <c r="AB834" s="511"/>
      <c r="AC834" s="511"/>
      <c r="AD834" s="511"/>
      <c r="AE834" s="511"/>
      <c r="AF834" s="511"/>
      <c r="AG834" s="511"/>
      <c r="AH834" s="511"/>
      <c r="AI834" s="511"/>
      <c r="AJ834" s="511"/>
      <c r="AK834" s="511"/>
      <c r="AL834" s="511"/>
      <c r="AM834" s="511"/>
      <c r="AN834" s="511"/>
      <c r="AO834" s="511"/>
      <c r="AP834" s="511"/>
      <c r="AQ834" s="511"/>
      <c r="AR834" s="511"/>
      <c r="AS834" s="511"/>
      <c r="AT834" s="511"/>
      <c r="AU834" s="511"/>
      <c r="AV834" s="511"/>
      <c r="AW834" s="511"/>
      <c r="AX834" s="511"/>
      <c r="AY834" s="511"/>
      <c r="AZ834" s="511"/>
      <c r="BA834" s="511"/>
      <c r="BB834" s="511"/>
      <c r="BC834" s="511"/>
    </row>
    <row r="835" spans="1:55" ht="16.5" customHeight="1" x14ac:dyDescent="0.3">
      <c r="A835" s="511"/>
      <c r="B835" s="511"/>
      <c r="C835" s="511"/>
      <c r="D835" s="511"/>
      <c r="E835" s="511"/>
      <c r="F835" s="511"/>
      <c r="G835" s="511"/>
      <c r="H835" s="511"/>
      <c r="I835" s="511"/>
      <c r="J835" s="511"/>
      <c r="K835" s="511"/>
      <c r="L835" s="511"/>
      <c r="M835" s="511"/>
      <c r="N835" s="511"/>
      <c r="O835" s="511"/>
      <c r="P835" s="511"/>
      <c r="Q835" s="511"/>
      <c r="R835" s="511"/>
      <c r="S835" s="511"/>
      <c r="T835" s="511"/>
      <c r="U835" s="511"/>
      <c r="V835" s="511"/>
      <c r="W835" s="511"/>
      <c r="X835" s="511"/>
      <c r="Y835" s="511"/>
      <c r="Z835" s="511"/>
      <c r="AA835" s="511"/>
      <c r="AB835" s="511"/>
      <c r="AC835" s="511"/>
      <c r="AD835" s="511"/>
      <c r="AE835" s="511"/>
      <c r="AF835" s="511"/>
      <c r="AG835" s="511"/>
      <c r="AH835" s="511"/>
      <c r="AI835" s="511"/>
      <c r="AJ835" s="511"/>
      <c r="AK835" s="511"/>
      <c r="AL835" s="511"/>
      <c r="AM835" s="511"/>
      <c r="AN835" s="511"/>
      <c r="AO835" s="511"/>
      <c r="AP835" s="511"/>
      <c r="AQ835" s="511"/>
      <c r="AR835" s="511"/>
      <c r="AS835" s="511"/>
      <c r="AT835" s="511"/>
      <c r="AU835" s="511"/>
      <c r="AV835" s="511"/>
      <c r="AW835" s="511"/>
      <c r="AX835" s="511"/>
      <c r="AY835" s="511"/>
      <c r="AZ835" s="511"/>
      <c r="BA835" s="511"/>
      <c r="BB835" s="511"/>
      <c r="BC835" s="511"/>
    </row>
    <row r="836" spans="1:55" ht="16.5" customHeight="1" x14ac:dyDescent="0.3">
      <c r="A836" s="511"/>
      <c r="B836" s="511"/>
      <c r="C836" s="511"/>
      <c r="D836" s="511"/>
      <c r="E836" s="511"/>
      <c r="F836" s="511"/>
      <c r="G836" s="511"/>
      <c r="H836" s="511"/>
      <c r="I836" s="511"/>
      <c r="J836" s="511"/>
      <c r="K836" s="511"/>
      <c r="L836" s="511"/>
      <c r="M836" s="511"/>
      <c r="N836" s="511"/>
      <c r="O836" s="511"/>
      <c r="P836" s="511"/>
      <c r="Q836" s="511"/>
      <c r="R836" s="511"/>
      <c r="S836" s="511"/>
      <c r="T836" s="511"/>
      <c r="U836" s="511"/>
      <c r="V836" s="511"/>
      <c r="W836" s="511"/>
      <c r="X836" s="511"/>
      <c r="Y836" s="511"/>
      <c r="Z836" s="511"/>
      <c r="AA836" s="511"/>
      <c r="AB836" s="511"/>
      <c r="AC836" s="511"/>
      <c r="AD836" s="511"/>
      <c r="AE836" s="511"/>
      <c r="AF836" s="511"/>
      <c r="AG836" s="511"/>
      <c r="AH836" s="511"/>
      <c r="AI836" s="511"/>
      <c r="AJ836" s="511"/>
      <c r="AK836" s="511"/>
      <c r="AL836" s="511"/>
      <c r="AM836" s="511"/>
      <c r="AN836" s="511"/>
      <c r="AO836" s="511"/>
      <c r="AP836" s="511"/>
      <c r="AQ836" s="511"/>
      <c r="AR836" s="511"/>
      <c r="AS836" s="511"/>
      <c r="AT836" s="511"/>
      <c r="AU836" s="511"/>
      <c r="AV836" s="511"/>
      <c r="AW836" s="511"/>
      <c r="AX836" s="511"/>
      <c r="AY836" s="511"/>
      <c r="AZ836" s="511"/>
      <c r="BA836" s="511"/>
      <c r="BB836" s="511"/>
      <c r="BC836" s="511"/>
    </row>
    <row r="837" spans="1:55" ht="16.5" customHeight="1" x14ac:dyDescent="0.3">
      <c r="A837" s="511"/>
      <c r="B837" s="511"/>
      <c r="C837" s="511"/>
      <c r="D837" s="511"/>
      <c r="E837" s="511"/>
      <c r="F837" s="511"/>
      <c r="G837" s="511"/>
      <c r="H837" s="511"/>
      <c r="I837" s="511"/>
      <c r="J837" s="511"/>
      <c r="K837" s="511"/>
      <c r="L837" s="511"/>
      <c r="M837" s="511"/>
      <c r="N837" s="511"/>
      <c r="O837" s="511"/>
      <c r="P837" s="511"/>
      <c r="Q837" s="511"/>
      <c r="R837" s="511"/>
      <c r="S837" s="511"/>
      <c r="T837" s="511"/>
      <c r="U837" s="511"/>
      <c r="V837" s="511"/>
      <c r="W837" s="511"/>
      <c r="X837" s="511"/>
      <c r="Y837" s="511"/>
      <c r="Z837" s="511"/>
      <c r="AA837" s="511"/>
      <c r="AB837" s="511"/>
      <c r="AC837" s="511"/>
      <c r="AD837" s="511"/>
      <c r="AE837" s="511"/>
      <c r="AF837" s="511"/>
      <c r="AG837" s="511"/>
      <c r="AH837" s="511"/>
      <c r="AI837" s="511"/>
      <c r="AJ837" s="511"/>
      <c r="AK837" s="511"/>
      <c r="AL837" s="511"/>
      <c r="AM837" s="511"/>
      <c r="AN837" s="511"/>
      <c r="AO837" s="511"/>
      <c r="AP837" s="511"/>
      <c r="AQ837" s="511"/>
      <c r="AR837" s="511"/>
      <c r="AS837" s="511"/>
      <c r="AT837" s="511"/>
      <c r="AU837" s="511"/>
      <c r="AV837" s="511"/>
      <c r="AW837" s="511"/>
      <c r="AX837" s="511"/>
      <c r="AY837" s="511"/>
      <c r="AZ837" s="511"/>
      <c r="BA837" s="511"/>
      <c r="BB837" s="511"/>
      <c r="BC837" s="511"/>
    </row>
    <row r="838" spans="1:55" ht="16.5" customHeight="1" x14ac:dyDescent="0.3">
      <c r="A838" s="511"/>
      <c r="B838" s="511"/>
      <c r="C838" s="511"/>
      <c r="D838" s="511"/>
      <c r="E838" s="511"/>
      <c r="F838" s="511"/>
      <c r="G838" s="511"/>
      <c r="H838" s="511"/>
      <c r="I838" s="511"/>
      <c r="J838" s="511"/>
      <c r="K838" s="511"/>
      <c r="L838" s="511"/>
      <c r="M838" s="511"/>
      <c r="N838" s="511"/>
      <c r="O838" s="511"/>
      <c r="P838" s="511"/>
      <c r="Q838" s="511"/>
      <c r="R838" s="511"/>
      <c r="S838" s="511"/>
      <c r="T838" s="511"/>
      <c r="U838" s="511"/>
      <c r="V838" s="511"/>
      <c r="W838" s="511"/>
      <c r="X838" s="511"/>
      <c r="Y838" s="511"/>
      <c r="Z838" s="511"/>
      <c r="AA838" s="511"/>
      <c r="AB838" s="511"/>
      <c r="AC838" s="511"/>
      <c r="AD838" s="511"/>
      <c r="AE838" s="511"/>
      <c r="AF838" s="511"/>
      <c r="AG838" s="511"/>
      <c r="AH838" s="511"/>
      <c r="AI838" s="511"/>
      <c r="AJ838" s="511"/>
      <c r="AK838" s="511"/>
      <c r="AL838" s="511"/>
      <c r="AM838" s="511"/>
      <c r="AN838" s="511"/>
      <c r="AO838" s="511"/>
      <c r="AP838" s="511"/>
      <c r="AQ838" s="511"/>
      <c r="AR838" s="511"/>
      <c r="AS838" s="511"/>
      <c r="AT838" s="511"/>
      <c r="AU838" s="511"/>
      <c r="AV838" s="511"/>
      <c r="AW838" s="511"/>
      <c r="AX838" s="511"/>
      <c r="AY838" s="511"/>
      <c r="AZ838" s="511"/>
      <c r="BA838" s="511"/>
      <c r="BB838" s="511"/>
      <c r="BC838" s="511"/>
    </row>
    <row r="839" spans="1:55" ht="16.5" customHeight="1" x14ac:dyDescent="0.3">
      <c r="A839" s="511"/>
      <c r="B839" s="511"/>
      <c r="C839" s="511"/>
      <c r="D839" s="511"/>
      <c r="E839" s="511"/>
      <c r="F839" s="511"/>
      <c r="G839" s="511"/>
      <c r="H839" s="511"/>
      <c r="I839" s="511"/>
      <c r="J839" s="511"/>
      <c r="K839" s="511"/>
      <c r="L839" s="511"/>
      <c r="M839" s="511"/>
      <c r="N839" s="511"/>
      <c r="O839" s="511"/>
      <c r="P839" s="511"/>
      <c r="Q839" s="511"/>
      <c r="R839" s="511"/>
      <c r="S839" s="511"/>
      <c r="T839" s="511"/>
      <c r="U839" s="511"/>
      <c r="V839" s="511"/>
      <c r="W839" s="511"/>
      <c r="X839" s="511"/>
      <c r="Y839" s="511"/>
      <c r="Z839" s="511"/>
      <c r="AA839" s="511"/>
      <c r="AB839" s="511"/>
      <c r="AC839" s="511"/>
      <c r="AD839" s="511"/>
      <c r="AE839" s="511"/>
      <c r="AF839" s="511"/>
      <c r="AG839" s="511"/>
      <c r="AH839" s="511"/>
      <c r="AI839" s="511"/>
      <c r="AJ839" s="511"/>
      <c r="AK839" s="511"/>
      <c r="AL839" s="511"/>
      <c r="AM839" s="511"/>
      <c r="AN839" s="511"/>
      <c r="AO839" s="511"/>
      <c r="AP839" s="511"/>
      <c r="AQ839" s="511"/>
      <c r="AR839" s="511"/>
      <c r="AS839" s="511"/>
      <c r="AT839" s="511"/>
      <c r="AU839" s="511"/>
      <c r="AV839" s="511"/>
      <c r="AW839" s="511"/>
      <c r="AX839" s="511"/>
      <c r="AY839" s="511"/>
      <c r="AZ839" s="511"/>
      <c r="BA839" s="511"/>
      <c r="BB839" s="511"/>
      <c r="BC839" s="511"/>
    </row>
    <row r="840" spans="1:55" ht="16.5" customHeight="1" x14ac:dyDescent="0.3">
      <c r="A840" s="511"/>
      <c r="B840" s="511"/>
      <c r="C840" s="511"/>
      <c r="D840" s="511"/>
      <c r="E840" s="511"/>
      <c r="F840" s="511"/>
      <c r="G840" s="511"/>
      <c r="H840" s="511"/>
      <c r="I840" s="511"/>
      <c r="J840" s="511"/>
      <c r="K840" s="511"/>
      <c r="L840" s="511"/>
      <c r="M840" s="511"/>
      <c r="N840" s="511"/>
      <c r="O840" s="511"/>
      <c r="P840" s="511"/>
      <c r="Q840" s="511"/>
      <c r="R840" s="511"/>
      <c r="S840" s="511"/>
      <c r="T840" s="511"/>
      <c r="U840" s="511"/>
      <c r="V840" s="511"/>
      <c r="W840" s="511"/>
      <c r="X840" s="511"/>
      <c r="Y840" s="511"/>
      <c r="Z840" s="511"/>
      <c r="AA840" s="511"/>
      <c r="AB840" s="511"/>
      <c r="AC840" s="511"/>
      <c r="AD840" s="511"/>
      <c r="AE840" s="511"/>
      <c r="AF840" s="511"/>
      <c r="AG840" s="511"/>
      <c r="AH840" s="511"/>
      <c r="AI840" s="511"/>
      <c r="AJ840" s="511"/>
      <c r="AK840" s="511"/>
      <c r="AL840" s="511"/>
      <c r="AM840" s="511"/>
      <c r="AN840" s="511"/>
      <c r="AO840" s="511"/>
      <c r="AP840" s="511"/>
      <c r="AQ840" s="511"/>
      <c r="AR840" s="511"/>
      <c r="AS840" s="511"/>
      <c r="AT840" s="511"/>
      <c r="AU840" s="511"/>
      <c r="AV840" s="511"/>
      <c r="AW840" s="511"/>
      <c r="AX840" s="511"/>
      <c r="AY840" s="511"/>
      <c r="AZ840" s="511"/>
      <c r="BA840" s="511"/>
      <c r="BB840" s="511"/>
      <c r="BC840" s="511"/>
    </row>
    <row r="841" spans="1:55" ht="16.5" customHeight="1" x14ac:dyDescent="0.3">
      <c r="A841" s="511"/>
      <c r="B841" s="511"/>
      <c r="C841" s="511"/>
      <c r="D841" s="511"/>
      <c r="E841" s="511"/>
      <c r="F841" s="511"/>
      <c r="G841" s="511"/>
      <c r="H841" s="511"/>
      <c r="I841" s="511"/>
      <c r="J841" s="511"/>
      <c r="K841" s="511"/>
      <c r="L841" s="511"/>
      <c r="M841" s="511"/>
      <c r="N841" s="511"/>
      <c r="O841" s="511"/>
      <c r="P841" s="511"/>
      <c r="Q841" s="511"/>
      <c r="R841" s="511"/>
      <c r="S841" s="511"/>
      <c r="T841" s="511"/>
      <c r="U841" s="511"/>
      <c r="V841" s="511"/>
      <c r="W841" s="511"/>
      <c r="X841" s="511"/>
      <c r="Y841" s="511"/>
      <c r="Z841" s="511"/>
      <c r="AA841" s="511"/>
      <c r="AB841" s="511"/>
      <c r="AC841" s="511"/>
      <c r="AD841" s="511"/>
      <c r="AE841" s="511"/>
      <c r="AF841" s="511"/>
      <c r="AG841" s="511"/>
      <c r="AH841" s="511"/>
      <c r="AI841" s="511"/>
      <c r="AJ841" s="511"/>
      <c r="AK841" s="511"/>
      <c r="AL841" s="511"/>
      <c r="AM841" s="511"/>
      <c r="AN841" s="511"/>
      <c r="AO841" s="511"/>
      <c r="AP841" s="511"/>
      <c r="AQ841" s="511"/>
      <c r="AR841" s="511"/>
      <c r="AS841" s="511"/>
      <c r="AT841" s="511"/>
      <c r="AU841" s="511"/>
      <c r="AV841" s="511"/>
      <c r="AW841" s="511"/>
      <c r="AX841" s="511"/>
      <c r="AY841" s="511"/>
      <c r="AZ841" s="511"/>
      <c r="BA841" s="511"/>
      <c r="BB841" s="511"/>
      <c r="BC841" s="511"/>
    </row>
    <row r="842" spans="1:55" ht="16.5" customHeight="1" x14ac:dyDescent="0.3">
      <c r="A842" s="511"/>
      <c r="B842" s="511"/>
      <c r="C842" s="511"/>
      <c r="D842" s="511"/>
      <c r="E842" s="511"/>
      <c r="F842" s="511"/>
      <c r="G842" s="511"/>
      <c r="H842" s="511"/>
      <c r="I842" s="511"/>
      <c r="J842" s="511"/>
      <c r="K842" s="511"/>
      <c r="L842" s="511"/>
      <c r="M842" s="511"/>
      <c r="N842" s="511"/>
      <c r="O842" s="511"/>
      <c r="P842" s="511"/>
      <c r="Q842" s="511"/>
      <c r="R842" s="511"/>
      <c r="S842" s="511"/>
      <c r="T842" s="511"/>
      <c r="U842" s="511"/>
      <c r="V842" s="511"/>
      <c r="W842" s="511"/>
      <c r="X842" s="511"/>
      <c r="Y842" s="511"/>
      <c r="Z842" s="511"/>
      <c r="AA842" s="511"/>
      <c r="AB842" s="511"/>
      <c r="AC842" s="511"/>
      <c r="AD842" s="511"/>
      <c r="AE842" s="511"/>
      <c r="AF842" s="511"/>
      <c r="AG842" s="511"/>
      <c r="AH842" s="511"/>
      <c r="AI842" s="511"/>
      <c r="AJ842" s="511"/>
      <c r="AK842" s="511"/>
      <c r="AL842" s="511"/>
      <c r="AM842" s="511"/>
      <c r="AN842" s="511"/>
      <c r="AO842" s="511"/>
      <c r="AP842" s="511"/>
      <c r="AQ842" s="511"/>
      <c r="AR842" s="511"/>
      <c r="AS842" s="511"/>
      <c r="AT842" s="511"/>
      <c r="AU842" s="511"/>
      <c r="AV842" s="511"/>
      <c r="AW842" s="511"/>
      <c r="AX842" s="511"/>
      <c r="AY842" s="511"/>
      <c r="AZ842" s="511"/>
      <c r="BA842" s="511"/>
      <c r="BB842" s="511"/>
      <c r="BC842" s="511"/>
    </row>
    <row r="843" spans="1:55" ht="16.5" customHeight="1" x14ac:dyDescent="0.3">
      <c r="A843" s="511"/>
      <c r="B843" s="511"/>
      <c r="C843" s="511"/>
      <c r="D843" s="511"/>
      <c r="E843" s="511"/>
      <c r="F843" s="511"/>
      <c r="G843" s="511"/>
      <c r="H843" s="511"/>
      <c r="I843" s="511"/>
      <c r="J843" s="511"/>
      <c r="K843" s="511"/>
      <c r="L843" s="511"/>
      <c r="M843" s="511"/>
      <c r="N843" s="511"/>
      <c r="O843" s="511"/>
      <c r="P843" s="511"/>
      <c r="Q843" s="511"/>
      <c r="R843" s="511"/>
      <c r="S843" s="511"/>
      <c r="T843" s="511"/>
      <c r="U843" s="511"/>
      <c r="V843" s="511"/>
      <c r="W843" s="511"/>
      <c r="X843" s="511"/>
      <c r="Y843" s="511"/>
      <c r="Z843" s="511"/>
      <c r="AA843" s="511"/>
      <c r="AB843" s="511"/>
      <c r="AC843" s="511"/>
      <c r="AD843" s="511"/>
      <c r="AE843" s="511"/>
      <c r="AF843" s="511"/>
      <c r="AG843" s="511"/>
      <c r="AH843" s="511"/>
      <c r="AI843" s="511"/>
      <c r="AJ843" s="511"/>
      <c r="AK843" s="511"/>
      <c r="AL843" s="511"/>
      <c r="AM843" s="511"/>
      <c r="AN843" s="511"/>
      <c r="AO843" s="511"/>
      <c r="AP843" s="511"/>
      <c r="AQ843" s="511"/>
      <c r="AR843" s="511"/>
      <c r="AS843" s="511"/>
      <c r="AT843" s="511"/>
      <c r="AU843" s="511"/>
      <c r="AV843" s="511"/>
      <c r="AW843" s="511"/>
      <c r="AX843" s="511"/>
      <c r="AY843" s="511"/>
      <c r="AZ843" s="511"/>
      <c r="BA843" s="511"/>
      <c r="BB843" s="511"/>
      <c r="BC843" s="511"/>
    </row>
    <row r="844" spans="1:55" ht="16.5" customHeight="1" x14ac:dyDescent="0.3">
      <c r="A844" s="511"/>
      <c r="B844" s="511"/>
      <c r="C844" s="511"/>
      <c r="D844" s="511"/>
      <c r="E844" s="511"/>
      <c r="F844" s="511"/>
      <c r="G844" s="511"/>
      <c r="H844" s="511"/>
      <c r="I844" s="511"/>
      <c r="J844" s="511"/>
      <c r="K844" s="511"/>
      <c r="L844" s="511"/>
      <c r="M844" s="511"/>
      <c r="N844" s="511"/>
      <c r="O844" s="511"/>
      <c r="P844" s="511"/>
      <c r="Q844" s="511"/>
      <c r="R844" s="511"/>
      <c r="S844" s="511"/>
      <c r="T844" s="511"/>
      <c r="U844" s="511"/>
      <c r="V844" s="511"/>
      <c r="W844" s="511"/>
      <c r="X844" s="511"/>
      <c r="Y844" s="511"/>
      <c r="Z844" s="511"/>
      <c r="AA844" s="511"/>
      <c r="AB844" s="511"/>
      <c r="AC844" s="511"/>
      <c r="AD844" s="511"/>
      <c r="AE844" s="511"/>
      <c r="AF844" s="511"/>
      <c r="AG844" s="511"/>
      <c r="AH844" s="511"/>
      <c r="AI844" s="511"/>
      <c r="AJ844" s="511"/>
      <c r="AK844" s="511"/>
      <c r="AL844" s="511"/>
      <c r="AM844" s="511"/>
      <c r="AN844" s="511"/>
      <c r="AO844" s="511"/>
      <c r="AP844" s="511"/>
      <c r="AQ844" s="511"/>
      <c r="AR844" s="511"/>
      <c r="AS844" s="511"/>
      <c r="AT844" s="511"/>
      <c r="AU844" s="511"/>
      <c r="AV844" s="511"/>
      <c r="AW844" s="511"/>
      <c r="AX844" s="511"/>
      <c r="AY844" s="511"/>
      <c r="AZ844" s="511"/>
      <c r="BA844" s="511"/>
      <c r="BB844" s="511"/>
      <c r="BC844" s="511"/>
    </row>
    <row r="845" spans="1:55" ht="16.5" customHeight="1" x14ac:dyDescent="0.3">
      <c r="A845" s="511"/>
      <c r="B845" s="511"/>
      <c r="C845" s="511"/>
      <c r="D845" s="511"/>
      <c r="E845" s="511"/>
      <c r="F845" s="511"/>
      <c r="G845" s="511"/>
      <c r="H845" s="511"/>
      <c r="I845" s="511"/>
      <c r="J845" s="511"/>
      <c r="K845" s="511"/>
      <c r="L845" s="511"/>
      <c r="M845" s="511"/>
      <c r="N845" s="511"/>
      <c r="O845" s="511"/>
      <c r="P845" s="511"/>
      <c r="Q845" s="511"/>
      <c r="R845" s="511"/>
      <c r="S845" s="511"/>
      <c r="T845" s="511"/>
      <c r="U845" s="511"/>
      <c r="V845" s="511"/>
      <c r="W845" s="511"/>
      <c r="X845" s="511"/>
      <c r="Y845" s="511"/>
      <c r="Z845" s="511"/>
      <c r="AA845" s="511"/>
      <c r="AB845" s="511"/>
      <c r="AC845" s="511"/>
      <c r="AD845" s="511"/>
      <c r="AE845" s="511"/>
      <c r="AF845" s="511"/>
      <c r="AG845" s="511"/>
      <c r="AH845" s="511"/>
      <c r="AI845" s="511"/>
      <c r="AJ845" s="511"/>
      <c r="AK845" s="511"/>
      <c r="AL845" s="511"/>
      <c r="AM845" s="511"/>
      <c r="AN845" s="511"/>
      <c r="AO845" s="511"/>
      <c r="AP845" s="511"/>
      <c r="AQ845" s="511"/>
      <c r="AR845" s="511"/>
      <c r="AS845" s="511"/>
      <c r="AT845" s="511"/>
      <c r="AU845" s="511"/>
      <c r="AV845" s="511"/>
      <c r="AW845" s="511"/>
      <c r="AX845" s="511"/>
      <c r="AY845" s="511"/>
      <c r="AZ845" s="511"/>
      <c r="BA845" s="511"/>
      <c r="BB845" s="511"/>
      <c r="BC845" s="511"/>
    </row>
    <row r="846" spans="1:55" ht="16.5" customHeight="1" x14ac:dyDescent="0.3">
      <c r="A846" s="511"/>
      <c r="B846" s="511"/>
      <c r="C846" s="511"/>
      <c r="D846" s="511"/>
      <c r="E846" s="511"/>
      <c r="F846" s="511"/>
      <c r="G846" s="511"/>
      <c r="H846" s="511"/>
      <c r="I846" s="511"/>
      <c r="J846" s="511"/>
      <c r="K846" s="511"/>
      <c r="L846" s="511"/>
      <c r="M846" s="511"/>
      <c r="N846" s="511"/>
      <c r="O846" s="511"/>
      <c r="P846" s="511"/>
      <c r="Q846" s="511"/>
      <c r="R846" s="511"/>
      <c r="S846" s="511"/>
      <c r="T846" s="511"/>
      <c r="U846" s="511"/>
      <c r="V846" s="511"/>
      <c r="W846" s="511"/>
      <c r="X846" s="511"/>
      <c r="Y846" s="511"/>
      <c r="Z846" s="511"/>
      <c r="AA846" s="511"/>
      <c r="AB846" s="511"/>
      <c r="AC846" s="511"/>
      <c r="AD846" s="511"/>
      <c r="AE846" s="511"/>
      <c r="AF846" s="511"/>
      <c r="AG846" s="511"/>
      <c r="AH846" s="511"/>
      <c r="AI846" s="511"/>
      <c r="AJ846" s="511"/>
      <c r="AK846" s="511"/>
      <c r="AL846" s="511"/>
      <c r="AM846" s="511"/>
      <c r="AN846" s="511"/>
      <c r="AO846" s="511"/>
      <c r="AP846" s="511"/>
      <c r="AQ846" s="511"/>
      <c r="AR846" s="511"/>
      <c r="AS846" s="511"/>
      <c r="AT846" s="511"/>
      <c r="AU846" s="511"/>
      <c r="AV846" s="511"/>
      <c r="AW846" s="511"/>
      <c r="AX846" s="511"/>
      <c r="AY846" s="511"/>
      <c r="AZ846" s="511"/>
      <c r="BA846" s="511"/>
      <c r="BB846" s="511"/>
      <c r="BC846" s="511"/>
    </row>
    <row r="847" spans="1:55" ht="16.5" customHeight="1" x14ac:dyDescent="0.3">
      <c r="A847" s="511"/>
      <c r="B847" s="511"/>
      <c r="C847" s="511"/>
      <c r="D847" s="511"/>
      <c r="E847" s="511"/>
      <c r="F847" s="511"/>
      <c r="G847" s="511"/>
      <c r="H847" s="511"/>
      <c r="I847" s="511"/>
      <c r="J847" s="511"/>
      <c r="K847" s="511"/>
      <c r="L847" s="511"/>
      <c r="M847" s="511"/>
      <c r="N847" s="511"/>
      <c r="O847" s="511"/>
      <c r="P847" s="511"/>
      <c r="Q847" s="511"/>
      <c r="R847" s="511"/>
      <c r="S847" s="511"/>
      <c r="T847" s="511"/>
      <c r="U847" s="511"/>
      <c r="V847" s="511"/>
      <c r="W847" s="511"/>
      <c r="X847" s="511"/>
      <c r="Y847" s="511"/>
      <c r="Z847" s="511"/>
      <c r="AA847" s="511"/>
      <c r="AB847" s="511"/>
      <c r="AC847" s="511"/>
      <c r="AD847" s="511"/>
      <c r="AE847" s="511"/>
      <c r="AF847" s="511"/>
      <c r="AG847" s="511"/>
      <c r="AH847" s="511"/>
      <c r="AI847" s="511"/>
      <c r="AJ847" s="511"/>
      <c r="AK847" s="511"/>
      <c r="AL847" s="511"/>
      <c r="AM847" s="511"/>
      <c r="AN847" s="511"/>
      <c r="AO847" s="511"/>
      <c r="AP847" s="511"/>
      <c r="AQ847" s="511"/>
      <c r="AR847" s="511"/>
      <c r="AS847" s="511"/>
      <c r="AT847" s="511"/>
      <c r="AU847" s="511"/>
      <c r="AV847" s="511"/>
      <c r="AW847" s="511"/>
      <c r="AX847" s="511"/>
      <c r="AY847" s="511"/>
      <c r="AZ847" s="511"/>
      <c r="BA847" s="511"/>
      <c r="BB847" s="511"/>
      <c r="BC847" s="511"/>
    </row>
    <row r="848" spans="1:55" ht="16.5" customHeight="1" x14ac:dyDescent="0.3">
      <c r="A848" s="511"/>
      <c r="B848" s="511"/>
      <c r="C848" s="511"/>
      <c r="D848" s="511"/>
      <c r="E848" s="511"/>
      <c r="F848" s="511"/>
      <c r="G848" s="511"/>
      <c r="H848" s="511"/>
      <c r="I848" s="511"/>
      <c r="J848" s="511"/>
      <c r="K848" s="511"/>
      <c r="L848" s="511"/>
      <c r="M848" s="511"/>
      <c r="N848" s="511"/>
      <c r="O848" s="511"/>
      <c r="P848" s="511"/>
      <c r="Q848" s="511"/>
      <c r="R848" s="511"/>
      <c r="S848" s="511"/>
      <c r="T848" s="511"/>
      <c r="U848" s="511"/>
      <c r="V848" s="511"/>
      <c r="W848" s="511"/>
      <c r="X848" s="511"/>
      <c r="Y848" s="511"/>
      <c r="Z848" s="511"/>
      <c r="AA848" s="511"/>
      <c r="AB848" s="511"/>
      <c r="AC848" s="511"/>
      <c r="AD848" s="511"/>
      <c r="AE848" s="511"/>
      <c r="AF848" s="511"/>
      <c r="AG848" s="511"/>
      <c r="AH848" s="511"/>
      <c r="AI848" s="511"/>
      <c r="AJ848" s="511"/>
      <c r="AK848" s="511"/>
      <c r="AL848" s="511"/>
      <c r="AM848" s="511"/>
      <c r="AN848" s="511"/>
      <c r="AO848" s="511"/>
      <c r="AP848" s="511"/>
      <c r="AQ848" s="511"/>
      <c r="AR848" s="511"/>
      <c r="AS848" s="511"/>
      <c r="AT848" s="511"/>
      <c r="AU848" s="511"/>
      <c r="AV848" s="511"/>
      <c r="AW848" s="511"/>
      <c r="AX848" s="511"/>
      <c r="AY848" s="511"/>
      <c r="AZ848" s="511"/>
      <c r="BA848" s="511"/>
      <c r="BB848" s="511"/>
      <c r="BC848" s="511"/>
    </row>
    <row r="849" spans="1:55" ht="16.5" customHeight="1" x14ac:dyDescent="0.3">
      <c r="A849" s="511"/>
      <c r="B849" s="511"/>
      <c r="C849" s="511"/>
      <c r="D849" s="511"/>
      <c r="E849" s="511"/>
      <c r="F849" s="511"/>
      <c r="G849" s="511"/>
      <c r="H849" s="511"/>
      <c r="I849" s="511"/>
      <c r="J849" s="511"/>
      <c r="K849" s="511"/>
      <c r="L849" s="511"/>
      <c r="M849" s="511"/>
      <c r="N849" s="511"/>
      <c r="O849" s="511"/>
      <c r="P849" s="511"/>
      <c r="Q849" s="511"/>
      <c r="R849" s="511"/>
      <c r="S849" s="511"/>
      <c r="T849" s="511"/>
      <c r="U849" s="511"/>
      <c r="V849" s="511"/>
      <c r="W849" s="511"/>
      <c r="X849" s="511"/>
      <c r="Y849" s="511"/>
      <c r="Z849" s="511"/>
      <c r="AA849" s="511"/>
      <c r="AB849" s="511"/>
      <c r="AC849" s="511"/>
      <c r="AD849" s="511"/>
      <c r="AE849" s="511"/>
      <c r="AF849" s="511"/>
      <c r="AG849" s="511"/>
      <c r="AH849" s="511"/>
      <c r="AI849" s="511"/>
      <c r="AJ849" s="511"/>
      <c r="AK849" s="511"/>
      <c r="AL849" s="511"/>
      <c r="AM849" s="511"/>
      <c r="AN849" s="511"/>
      <c r="AO849" s="511"/>
      <c r="AP849" s="511"/>
      <c r="AQ849" s="511"/>
      <c r="AR849" s="511"/>
      <c r="AS849" s="511"/>
      <c r="AT849" s="511"/>
      <c r="AU849" s="511"/>
      <c r="AV849" s="511"/>
      <c r="AW849" s="511"/>
      <c r="AX849" s="511"/>
      <c r="AY849" s="511"/>
      <c r="AZ849" s="511"/>
      <c r="BA849" s="511"/>
      <c r="BB849" s="511"/>
      <c r="BC849" s="511"/>
    </row>
    <row r="850" spans="1:55" ht="16.5" customHeight="1" x14ac:dyDescent="0.3">
      <c r="A850" s="511"/>
      <c r="B850" s="511"/>
      <c r="C850" s="511"/>
      <c r="D850" s="511"/>
      <c r="E850" s="511"/>
      <c r="F850" s="511"/>
      <c r="G850" s="511"/>
      <c r="H850" s="511"/>
      <c r="I850" s="511"/>
      <c r="J850" s="511"/>
      <c r="K850" s="511"/>
      <c r="L850" s="511"/>
      <c r="M850" s="511"/>
      <c r="N850" s="511"/>
      <c r="O850" s="511"/>
      <c r="P850" s="511"/>
      <c r="Q850" s="511"/>
      <c r="R850" s="511"/>
      <c r="S850" s="511"/>
      <c r="T850" s="511"/>
      <c r="U850" s="511"/>
      <c r="V850" s="511"/>
      <c r="W850" s="511"/>
      <c r="X850" s="511"/>
      <c r="Y850" s="511"/>
      <c r="Z850" s="511"/>
      <c r="AA850" s="511"/>
      <c r="AB850" s="511"/>
      <c r="AC850" s="511"/>
      <c r="AD850" s="511"/>
      <c r="AE850" s="511"/>
      <c r="AF850" s="511"/>
      <c r="AG850" s="511"/>
      <c r="AH850" s="511"/>
      <c r="AI850" s="511"/>
      <c r="AJ850" s="511"/>
      <c r="AK850" s="511"/>
      <c r="AL850" s="511"/>
      <c r="AM850" s="511"/>
      <c r="AN850" s="511"/>
      <c r="AO850" s="511"/>
      <c r="AP850" s="511"/>
      <c r="AQ850" s="511"/>
      <c r="AR850" s="511"/>
      <c r="AS850" s="511"/>
      <c r="AT850" s="511"/>
      <c r="AU850" s="511"/>
      <c r="AV850" s="511"/>
      <c r="AW850" s="511"/>
      <c r="AX850" s="511"/>
      <c r="AY850" s="511"/>
      <c r="AZ850" s="511"/>
      <c r="BA850" s="511"/>
      <c r="BB850" s="511"/>
      <c r="BC850" s="511"/>
    </row>
    <row r="851" spans="1:55" ht="16.5" customHeight="1" x14ac:dyDescent="0.3">
      <c r="A851" s="511"/>
      <c r="B851" s="511"/>
      <c r="C851" s="511"/>
      <c r="D851" s="511"/>
      <c r="E851" s="511"/>
      <c r="F851" s="511"/>
      <c r="G851" s="511"/>
      <c r="H851" s="511"/>
      <c r="I851" s="511"/>
      <c r="J851" s="511"/>
      <c r="K851" s="511"/>
      <c r="L851" s="511"/>
      <c r="M851" s="511"/>
      <c r="N851" s="511"/>
      <c r="O851" s="511"/>
      <c r="P851" s="511"/>
      <c r="Q851" s="511"/>
      <c r="R851" s="511"/>
      <c r="S851" s="511"/>
      <c r="T851" s="511"/>
      <c r="U851" s="511"/>
      <c r="V851" s="511"/>
      <c r="W851" s="511"/>
      <c r="X851" s="511"/>
      <c r="Y851" s="511"/>
      <c r="Z851" s="511"/>
      <c r="AA851" s="511"/>
      <c r="AB851" s="511"/>
      <c r="AC851" s="511"/>
      <c r="AD851" s="511"/>
      <c r="AE851" s="511"/>
      <c r="AF851" s="511"/>
      <c r="AG851" s="511"/>
      <c r="AH851" s="511"/>
      <c r="AI851" s="511"/>
      <c r="AJ851" s="511"/>
      <c r="AK851" s="511"/>
      <c r="AL851" s="511"/>
      <c r="AM851" s="511"/>
      <c r="AN851" s="511"/>
      <c r="AO851" s="511"/>
      <c r="AP851" s="511"/>
      <c r="AQ851" s="511"/>
      <c r="AR851" s="511"/>
      <c r="AS851" s="511"/>
      <c r="AT851" s="511"/>
      <c r="AU851" s="511"/>
      <c r="AV851" s="511"/>
      <c r="AW851" s="511"/>
      <c r="AX851" s="511"/>
      <c r="AY851" s="511"/>
      <c r="AZ851" s="511"/>
      <c r="BA851" s="511"/>
      <c r="BB851" s="511"/>
      <c r="BC851" s="511"/>
    </row>
    <row r="852" spans="1:55" ht="16.5" customHeight="1" x14ac:dyDescent="0.3">
      <c r="A852" s="511"/>
      <c r="B852" s="511"/>
      <c r="C852" s="511"/>
      <c r="D852" s="511"/>
      <c r="E852" s="511"/>
      <c r="F852" s="511"/>
      <c r="G852" s="511"/>
      <c r="H852" s="511"/>
      <c r="I852" s="511"/>
      <c r="J852" s="511"/>
      <c r="K852" s="511"/>
      <c r="L852" s="511"/>
      <c r="M852" s="511"/>
      <c r="N852" s="511"/>
      <c r="O852" s="511"/>
      <c r="P852" s="511"/>
      <c r="Q852" s="511"/>
      <c r="R852" s="511"/>
      <c r="S852" s="511"/>
      <c r="T852" s="511"/>
      <c r="U852" s="511"/>
      <c r="V852" s="511"/>
      <c r="W852" s="511"/>
      <c r="X852" s="511"/>
      <c r="Y852" s="511"/>
      <c r="Z852" s="511"/>
      <c r="AA852" s="511"/>
      <c r="AB852" s="511"/>
      <c r="AC852" s="511"/>
      <c r="AD852" s="511"/>
      <c r="AE852" s="511"/>
      <c r="AF852" s="511"/>
      <c r="AG852" s="511"/>
      <c r="AH852" s="511"/>
      <c r="AI852" s="511"/>
      <c r="AJ852" s="511"/>
      <c r="AK852" s="511"/>
      <c r="AL852" s="511"/>
      <c r="AM852" s="511"/>
      <c r="AN852" s="511"/>
      <c r="AO852" s="511"/>
      <c r="AP852" s="511"/>
      <c r="AQ852" s="511"/>
      <c r="AR852" s="511"/>
      <c r="AS852" s="511"/>
      <c r="AT852" s="511"/>
      <c r="AU852" s="511"/>
      <c r="AV852" s="511"/>
      <c r="AW852" s="511"/>
      <c r="AX852" s="511"/>
      <c r="AY852" s="511"/>
      <c r="AZ852" s="511"/>
      <c r="BA852" s="511"/>
      <c r="BB852" s="511"/>
      <c r="BC852" s="511"/>
    </row>
    <row r="853" spans="1:55" ht="16.5" customHeight="1" x14ac:dyDescent="0.3">
      <c r="A853" s="511"/>
      <c r="B853" s="511"/>
      <c r="C853" s="511"/>
      <c r="D853" s="511"/>
      <c r="E853" s="511"/>
      <c r="F853" s="511"/>
      <c r="G853" s="511"/>
      <c r="H853" s="511"/>
      <c r="I853" s="511"/>
      <c r="J853" s="511"/>
      <c r="K853" s="511"/>
      <c r="L853" s="511"/>
      <c r="M853" s="511"/>
      <c r="N853" s="511"/>
      <c r="O853" s="511"/>
      <c r="P853" s="511"/>
      <c r="Q853" s="511"/>
      <c r="R853" s="511"/>
      <c r="S853" s="511"/>
      <c r="T853" s="511"/>
      <c r="U853" s="511"/>
      <c r="V853" s="511"/>
      <c r="W853" s="511"/>
      <c r="X853" s="511"/>
      <c r="Y853" s="511"/>
      <c r="Z853" s="511"/>
      <c r="AA853" s="511"/>
      <c r="AB853" s="511"/>
      <c r="AC853" s="511"/>
      <c r="AD853" s="511"/>
      <c r="AE853" s="511"/>
      <c r="AF853" s="511"/>
      <c r="AG853" s="511"/>
      <c r="AH853" s="511"/>
      <c r="AI853" s="511"/>
      <c r="AJ853" s="511"/>
      <c r="AK853" s="511"/>
      <c r="AL853" s="511"/>
      <c r="AM853" s="511"/>
      <c r="AN853" s="511"/>
      <c r="AO853" s="511"/>
      <c r="AP853" s="511"/>
      <c r="AQ853" s="511"/>
      <c r="AR853" s="511"/>
      <c r="AS853" s="511"/>
      <c r="AT853" s="511"/>
      <c r="AU853" s="511"/>
      <c r="AV853" s="511"/>
      <c r="AW853" s="511"/>
      <c r="AX853" s="511"/>
      <c r="AY853" s="511"/>
      <c r="AZ853" s="511"/>
      <c r="BA853" s="511"/>
      <c r="BB853" s="511"/>
      <c r="BC853" s="511"/>
    </row>
    <row r="854" spans="1:55" ht="16.5" customHeight="1" x14ac:dyDescent="0.3">
      <c r="A854" s="511"/>
      <c r="B854" s="511"/>
      <c r="C854" s="511"/>
      <c r="D854" s="511"/>
      <c r="E854" s="511"/>
      <c r="F854" s="511"/>
      <c r="G854" s="511"/>
      <c r="H854" s="511"/>
      <c r="I854" s="511"/>
      <c r="J854" s="511"/>
      <c r="K854" s="511"/>
      <c r="L854" s="511"/>
      <c r="M854" s="511"/>
      <c r="N854" s="511"/>
      <c r="O854" s="511"/>
      <c r="P854" s="511"/>
      <c r="Q854" s="511"/>
      <c r="R854" s="511"/>
      <c r="S854" s="511"/>
      <c r="T854" s="511"/>
      <c r="U854" s="511"/>
      <c r="V854" s="511"/>
      <c r="W854" s="511"/>
      <c r="X854" s="511"/>
      <c r="Y854" s="511"/>
      <c r="Z854" s="511"/>
      <c r="AA854" s="511"/>
      <c r="AB854" s="511"/>
      <c r="AC854" s="511"/>
      <c r="AD854" s="511"/>
      <c r="AE854" s="511"/>
      <c r="AF854" s="511"/>
      <c r="AG854" s="511"/>
      <c r="AH854" s="511"/>
      <c r="AI854" s="511"/>
      <c r="AJ854" s="511"/>
      <c r="AK854" s="511"/>
      <c r="AL854" s="511"/>
      <c r="AM854" s="511"/>
      <c r="AN854" s="511"/>
      <c r="AO854" s="511"/>
      <c r="AP854" s="511"/>
      <c r="AQ854" s="511"/>
      <c r="AR854" s="511"/>
      <c r="AS854" s="511"/>
      <c r="AT854" s="511"/>
      <c r="AU854" s="511"/>
      <c r="AV854" s="511"/>
      <c r="AW854" s="511"/>
      <c r="AX854" s="511"/>
      <c r="AY854" s="511"/>
      <c r="AZ854" s="511"/>
      <c r="BA854" s="511"/>
      <c r="BB854" s="511"/>
      <c r="BC854" s="511"/>
    </row>
    <row r="855" spans="1:55" ht="16.5" customHeight="1" x14ac:dyDescent="0.3">
      <c r="A855" s="511"/>
      <c r="B855" s="511"/>
      <c r="C855" s="511"/>
      <c r="D855" s="511"/>
      <c r="E855" s="511"/>
      <c r="F855" s="511"/>
      <c r="G855" s="511"/>
      <c r="H855" s="511"/>
      <c r="I855" s="511"/>
      <c r="J855" s="511"/>
      <c r="K855" s="511"/>
      <c r="L855" s="511"/>
      <c r="M855" s="511"/>
      <c r="N855" s="511"/>
      <c r="O855" s="511"/>
      <c r="P855" s="511"/>
      <c r="Q855" s="511"/>
      <c r="R855" s="511"/>
      <c r="S855" s="511"/>
      <c r="T855" s="511"/>
      <c r="U855" s="511"/>
      <c r="V855" s="511"/>
      <c r="W855" s="511"/>
      <c r="X855" s="511"/>
      <c r="Y855" s="511"/>
      <c r="Z855" s="511"/>
      <c r="AA855" s="511"/>
      <c r="AB855" s="511"/>
      <c r="AC855" s="511"/>
      <c r="AD855" s="511"/>
      <c r="AE855" s="511"/>
      <c r="AF855" s="511"/>
      <c r="AG855" s="511"/>
      <c r="AH855" s="511"/>
      <c r="AI855" s="511"/>
      <c r="AJ855" s="511"/>
      <c r="AK855" s="511"/>
      <c r="AL855" s="511"/>
      <c r="AM855" s="511"/>
      <c r="AN855" s="511"/>
      <c r="AO855" s="511"/>
      <c r="AP855" s="511"/>
      <c r="AQ855" s="511"/>
      <c r="AR855" s="511"/>
      <c r="AS855" s="511"/>
      <c r="AT855" s="511"/>
      <c r="AU855" s="511"/>
      <c r="AV855" s="511"/>
      <c r="AW855" s="511"/>
      <c r="AX855" s="511"/>
      <c r="AY855" s="511"/>
      <c r="AZ855" s="511"/>
      <c r="BA855" s="511"/>
      <c r="BB855" s="511"/>
      <c r="BC855" s="511"/>
    </row>
    <row r="856" spans="1:55" ht="16.5" customHeight="1" x14ac:dyDescent="0.3">
      <c r="A856" s="511"/>
      <c r="B856" s="511"/>
      <c r="C856" s="511"/>
      <c r="D856" s="511"/>
      <c r="E856" s="511"/>
      <c r="F856" s="511"/>
      <c r="G856" s="511"/>
      <c r="H856" s="511"/>
      <c r="I856" s="511"/>
      <c r="J856" s="511"/>
      <c r="K856" s="511"/>
      <c r="L856" s="511"/>
      <c r="M856" s="511"/>
      <c r="N856" s="511"/>
      <c r="O856" s="511"/>
      <c r="P856" s="511"/>
      <c r="Q856" s="511"/>
      <c r="R856" s="511"/>
      <c r="S856" s="511"/>
      <c r="T856" s="511"/>
      <c r="U856" s="511"/>
      <c r="V856" s="511"/>
      <c r="W856" s="511"/>
      <c r="X856" s="511"/>
      <c r="Y856" s="511"/>
      <c r="Z856" s="511"/>
      <c r="AA856" s="511"/>
      <c r="AB856" s="511"/>
      <c r="AC856" s="511"/>
      <c r="AD856" s="511"/>
      <c r="AE856" s="511"/>
      <c r="AF856" s="511"/>
      <c r="AG856" s="511"/>
      <c r="AH856" s="511"/>
      <c r="AI856" s="511"/>
      <c r="AJ856" s="511"/>
      <c r="AK856" s="511"/>
      <c r="AL856" s="511"/>
      <c r="AM856" s="511"/>
      <c r="AN856" s="511"/>
      <c r="AO856" s="511"/>
      <c r="AP856" s="511"/>
      <c r="AQ856" s="511"/>
      <c r="AR856" s="511"/>
      <c r="AS856" s="511"/>
      <c r="AT856" s="511"/>
      <c r="AU856" s="511"/>
      <c r="AV856" s="511"/>
      <c r="AW856" s="511"/>
      <c r="AX856" s="511"/>
      <c r="AY856" s="511"/>
      <c r="AZ856" s="511"/>
      <c r="BA856" s="511"/>
      <c r="BB856" s="511"/>
      <c r="BC856" s="511"/>
    </row>
    <row r="857" spans="1:55" ht="16.5" customHeight="1" x14ac:dyDescent="0.3">
      <c r="A857" s="511"/>
      <c r="B857" s="511"/>
      <c r="C857" s="511"/>
      <c r="D857" s="511"/>
      <c r="E857" s="511"/>
      <c r="F857" s="511"/>
      <c r="G857" s="511"/>
      <c r="H857" s="511"/>
      <c r="I857" s="511"/>
      <c r="J857" s="511"/>
      <c r="K857" s="511"/>
      <c r="L857" s="511"/>
      <c r="M857" s="511"/>
      <c r="N857" s="511"/>
      <c r="O857" s="511"/>
      <c r="P857" s="511"/>
      <c r="Q857" s="511"/>
      <c r="R857" s="511"/>
      <c r="S857" s="511"/>
      <c r="T857" s="511"/>
      <c r="U857" s="511"/>
      <c r="V857" s="511"/>
      <c r="W857" s="511"/>
      <c r="X857" s="511"/>
      <c r="Y857" s="511"/>
      <c r="Z857" s="511"/>
      <c r="AA857" s="511"/>
      <c r="AB857" s="511"/>
      <c r="AC857" s="511"/>
      <c r="AD857" s="511"/>
      <c r="AE857" s="511"/>
      <c r="AF857" s="511"/>
      <c r="AG857" s="511"/>
      <c r="AH857" s="511"/>
      <c r="AI857" s="511"/>
      <c r="AJ857" s="511"/>
      <c r="AK857" s="511"/>
      <c r="AL857" s="511"/>
      <c r="AM857" s="511"/>
      <c r="AN857" s="511"/>
      <c r="AO857" s="511"/>
      <c r="AP857" s="511"/>
      <c r="AQ857" s="511"/>
      <c r="AR857" s="511"/>
      <c r="AS857" s="511"/>
      <c r="AT857" s="511"/>
      <c r="AU857" s="511"/>
      <c r="AV857" s="511"/>
      <c r="AW857" s="511"/>
      <c r="AX857" s="511"/>
      <c r="AY857" s="511"/>
      <c r="AZ857" s="511"/>
      <c r="BA857" s="511"/>
      <c r="BB857" s="511"/>
      <c r="BC857" s="511"/>
    </row>
    <row r="858" spans="1:55" ht="16.5" customHeight="1" x14ac:dyDescent="0.3">
      <c r="A858" s="511"/>
      <c r="B858" s="511"/>
      <c r="C858" s="511"/>
      <c r="D858" s="511"/>
      <c r="E858" s="511"/>
      <c r="F858" s="511"/>
      <c r="G858" s="511"/>
      <c r="H858" s="511"/>
      <c r="I858" s="511"/>
      <c r="J858" s="511"/>
      <c r="K858" s="511"/>
      <c r="L858" s="511"/>
      <c r="M858" s="511"/>
      <c r="N858" s="511"/>
      <c r="O858" s="511"/>
      <c r="P858" s="511"/>
      <c r="Q858" s="511"/>
      <c r="R858" s="511"/>
      <c r="S858" s="511"/>
      <c r="T858" s="511"/>
      <c r="U858" s="511"/>
      <c r="V858" s="511"/>
      <c r="W858" s="511"/>
      <c r="X858" s="511"/>
      <c r="Y858" s="511"/>
      <c r="Z858" s="511"/>
      <c r="AA858" s="511"/>
      <c r="AB858" s="511"/>
      <c r="AC858" s="511"/>
      <c r="AD858" s="511"/>
      <c r="AE858" s="511"/>
      <c r="AF858" s="511"/>
      <c r="AG858" s="511"/>
      <c r="AH858" s="511"/>
      <c r="AI858" s="511"/>
      <c r="AJ858" s="511"/>
      <c r="AK858" s="511"/>
      <c r="AL858" s="511"/>
      <c r="AM858" s="511"/>
      <c r="AN858" s="511"/>
      <c r="AO858" s="511"/>
      <c r="AP858" s="511"/>
      <c r="AQ858" s="511"/>
      <c r="AR858" s="511"/>
      <c r="AS858" s="511"/>
      <c r="AT858" s="511"/>
      <c r="AU858" s="511"/>
      <c r="AV858" s="511"/>
      <c r="AW858" s="511"/>
      <c r="AX858" s="511"/>
      <c r="AY858" s="511"/>
      <c r="AZ858" s="511"/>
      <c r="BA858" s="511"/>
      <c r="BB858" s="511"/>
      <c r="BC858" s="511"/>
    </row>
    <row r="859" spans="1:55" ht="16.5" customHeight="1" x14ac:dyDescent="0.3">
      <c r="A859" s="511"/>
      <c r="B859" s="511"/>
      <c r="C859" s="511"/>
      <c r="D859" s="511"/>
      <c r="E859" s="511"/>
      <c r="F859" s="511"/>
      <c r="G859" s="511"/>
      <c r="H859" s="511"/>
      <c r="I859" s="511"/>
      <c r="J859" s="511"/>
      <c r="K859" s="511"/>
      <c r="L859" s="511"/>
      <c r="M859" s="511"/>
      <c r="N859" s="511"/>
      <c r="O859" s="511"/>
      <c r="P859" s="511"/>
      <c r="Q859" s="511"/>
      <c r="R859" s="511"/>
      <c r="S859" s="511"/>
      <c r="T859" s="511"/>
      <c r="U859" s="511"/>
      <c r="V859" s="511"/>
      <c r="W859" s="511"/>
      <c r="X859" s="511"/>
      <c r="Y859" s="511"/>
      <c r="Z859" s="511"/>
      <c r="AA859" s="511"/>
      <c r="AB859" s="511"/>
      <c r="AC859" s="511"/>
      <c r="AD859" s="511"/>
      <c r="AE859" s="511"/>
      <c r="AF859" s="511"/>
      <c r="AG859" s="511"/>
      <c r="AH859" s="511"/>
      <c r="AI859" s="511"/>
      <c r="AJ859" s="511"/>
      <c r="AK859" s="511"/>
      <c r="AL859" s="511"/>
      <c r="AM859" s="511"/>
      <c r="AN859" s="511"/>
      <c r="AO859" s="511"/>
      <c r="AP859" s="511"/>
      <c r="AQ859" s="511"/>
      <c r="AR859" s="511"/>
      <c r="AS859" s="511"/>
      <c r="AT859" s="511"/>
      <c r="AU859" s="511"/>
      <c r="AV859" s="511"/>
      <c r="AW859" s="511"/>
      <c r="AX859" s="511"/>
      <c r="AY859" s="511"/>
      <c r="AZ859" s="511"/>
      <c r="BA859" s="511"/>
      <c r="BB859" s="511"/>
      <c r="BC859" s="511"/>
    </row>
    <row r="860" spans="1:55" ht="16.5" customHeight="1" x14ac:dyDescent="0.3">
      <c r="A860" s="511"/>
      <c r="B860" s="511"/>
      <c r="C860" s="511"/>
      <c r="D860" s="511"/>
      <c r="E860" s="511"/>
      <c r="F860" s="511"/>
      <c r="G860" s="511"/>
      <c r="H860" s="511"/>
      <c r="I860" s="511"/>
      <c r="J860" s="511"/>
      <c r="K860" s="511"/>
      <c r="L860" s="511"/>
      <c r="M860" s="511"/>
      <c r="N860" s="511"/>
      <c r="O860" s="511"/>
      <c r="P860" s="511"/>
      <c r="Q860" s="511"/>
      <c r="R860" s="511"/>
      <c r="S860" s="511"/>
      <c r="T860" s="511"/>
      <c r="U860" s="511"/>
      <c r="V860" s="511"/>
      <c r="W860" s="511"/>
      <c r="X860" s="511"/>
      <c r="Y860" s="511"/>
      <c r="Z860" s="511"/>
      <c r="AA860" s="511"/>
      <c r="AB860" s="511"/>
      <c r="AC860" s="511"/>
      <c r="AD860" s="511"/>
      <c r="AE860" s="511"/>
      <c r="AF860" s="511"/>
      <c r="AG860" s="511"/>
      <c r="AH860" s="511"/>
      <c r="AI860" s="511"/>
      <c r="AJ860" s="511"/>
      <c r="AK860" s="511"/>
      <c r="AL860" s="511"/>
      <c r="AM860" s="511"/>
      <c r="AN860" s="511"/>
      <c r="AO860" s="511"/>
      <c r="AP860" s="511"/>
      <c r="AQ860" s="511"/>
      <c r="AR860" s="511"/>
      <c r="AS860" s="511"/>
      <c r="AT860" s="511"/>
      <c r="AU860" s="511"/>
      <c r="AV860" s="511"/>
      <c r="AW860" s="511"/>
      <c r="AX860" s="511"/>
      <c r="AY860" s="511"/>
      <c r="AZ860" s="511"/>
      <c r="BA860" s="511"/>
      <c r="BB860" s="511"/>
      <c r="BC860" s="511"/>
    </row>
    <row r="861" spans="1:55" ht="16.5" customHeight="1" x14ac:dyDescent="0.3">
      <c r="A861" s="511"/>
      <c r="B861" s="511"/>
      <c r="C861" s="511"/>
      <c r="D861" s="511"/>
      <c r="E861" s="511"/>
      <c r="F861" s="511"/>
      <c r="G861" s="511"/>
      <c r="H861" s="511"/>
      <c r="I861" s="511"/>
      <c r="J861" s="511"/>
      <c r="K861" s="511"/>
      <c r="L861" s="511"/>
      <c r="M861" s="511"/>
      <c r="N861" s="511"/>
      <c r="O861" s="511"/>
      <c r="P861" s="511"/>
      <c r="Q861" s="511"/>
      <c r="R861" s="511"/>
      <c r="S861" s="511"/>
      <c r="T861" s="511"/>
      <c r="U861" s="511"/>
      <c r="V861" s="511"/>
      <c r="W861" s="511"/>
      <c r="X861" s="511"/>
      <c r="Y861" s="511"/>
      <c r="Z861" s="511"/>
      <c r="AA861" s="511"/>
      <c r="AB861" s="511"/>
      <c r="AC861" s="511"/>
      <c r="AD861" s="511"/>
      <c r="AE861" s="511"/>
      <c r="AF861" s="511"/>
      <c r="AG861" s="511"/>
      <c r="AH861" s="511"/>
      <c r="AI861" s="511"/>
      <c r="AJ861" s="511"/>
      <c r="AK861" s="511"/>
      <c r="AL861" s="511"/>
      <c r="AM861" s="511"/>
      <c r="AN861" s="511"/>
      <c r="AO861" s="511"/>
      <c r="AP861" s="511"/>
      <c r="AQ861" s="511"/>
      <c r="AR861" s="511"/>
      <c r="AS861" s="511"/>
      <c r="AT861" s="511"/>
      <c r="AU861" s="511"/>
      <c r="AV861" s="511"/>
      <c r="AW861" s="511"/>
      <c r="AX861" s="511"/>
      <c r="AY861" s="511"/>
      <c r="AZ861" s="511"/>
      <c r="BA861" s="511"/>
      <c r="BB861" s="511"/>
      <c r="BC861" s="511"/>
    </row>
    <row r="862" spans="1:55" ht="16.5" customHeight="1" x14ac:dyDescent="0.3">
      <c r="A862" s="511"/>
      <c r="B862" s="511"/>
      <c r="C862" s="511"/>
      <c r="D862" s="511"/>
      <c r="E862" s="511"/>
      <c r="F862" s="511"/>
      <c r="G862" s="511"/>
      <c r="H862" s="511"/>
      <c r="I862" s="511"/>
      <c r="J862" s="511"/>
      <c r="K862" s="511"/>
      <c r="L862" s="511"/>
      <c r="M862" s="511"/>
      <c r="N862" s="511"/>
      <c r="O862" s="511"/>
      <c r="P862" s="511"/>
      <c r="Q862" s="511"/>
      <c r="R862" s="511"/>
      <c r="S862" s="511"/>
      <c r="T862" s="511"/>
      <c r="U862" s="511"/>
      <c r="V862" s="511"/>
      <c r="W862" s="511"/>
      <c r="X862" s="511"/>
      <c r="Y862" s="511"/>
      <c r="Z862" s="511"/>
      <c r="AA862" s="511"/>
      <c r="AB862" s="511"/>
      <c r="AC862" s="511"/>
      <c r="AD862" s="511"/>
      <c r="AE862" s="511"/>
      <c r="AF862" s="511"/>
      <c r="AG862" s="511"/>
      <c r="AH862" s="511"/>
      <c r="AI862" s="511"/>
      <c r="AJ862" s="511"/>
      <c r="AK862" s="511"/>
      <c r="AL862" s="511"/>
      <c r="AM862" s="511"/>
      <c r="AN862" s="511"/>
      <c r="AO862" s="511"/>
      <c r="AP862" s="511"/>
      <c r="AQ862" s="511"/>
      <c r="AR862" s="511"/>
      <c r="AS862" s="511"/>
      <c r="AT862" s="511"/>
      <c r="AU862" s="511"/>
      <c r="AV862" s="511"/>
      <c r="AW862" s="511"/>
      <c r="AX862" s="511"/>
      <c r="AY862" s="511"/>
      <c r="AZ862" s="511"/>
      <c r="BA862" s="511"/>
      <c r="BB862" s="511"/>
      <c r="BC862" s="511"/>
    </row>
    <row r="863" spans="1:55" ht="16.5" customHeight="1" x14ac:dyDescent="0.3">
      <c r="A863" s="511"/>
      <c r="B863" s="511"/>
      <c r="C863" s="511"/>
      <c r="D863" s="511"/>
      <c r="E863" s="511"/>
      <c r="F863" s="511"/>
      <c r="G863" s="511"/>
      <c r="H863" s="511"/>
      <c r="I863" s="511"/>
      <c r="J863" s="511"/>
      <c r="K863" s="511"/>
      <c r="L863" s="511"/>
      <c r="M863" s="511"/>
      <c r="N863" s="511"/>
      <c r="O863" s="511"/>
      <c r="P863" s="511"/>
      <c r="Q863" s="511"/>
      <c r="R863" s="511"/>
      <c r="S863" s="511"/>
      <c r="T863" s="511"/>
      <c r="U863" s="511"/>
      <c r="V863" s="511"/>
      <c r="W863" s="511"/>
      <c r="X863" s="511"/>
      <c r="Y863" s="511"/>
      <c r="Z863" s="511"/>
      <c r="AA863" s="511"/>
      <c r="AB863" s="511"/>
      <c r="AC863" s="511"/>
      <c r="AD863" s="511"/>
      <c r="AE863" s="511"/>
      <c r="AF863" s="511"/>
      <c r="AG863" s="511"/>
      <c r="AH863" s="511"/>
      <c r="AI863" s="511"/>
      <c r="AJ863" s="511"/>
      <c r="AK863" s="511"/>
      <c r="AL863" s="511"/>
      <c r="AM863" s="511"/>
      <c r="AN863" s="511"/>
      <c r="AO863" s="511"/>
      <c r="AP863" s="511"/>
      <c r="AQ863" s="511"/>
      <c r="AR863" s="511"/>
      <c r="AS863" s="511"/>
      <c r="AT863" s="511"/>
      <c r="AU863" s="511"/>
      <c r="AV863" s="511"/>
      <c r="AW863" s="511"/>
      <c r="AX863" s="511"/>
      <c r="AY863" s="511"/>
      <c r="AZ863" s="511"/>
      <c r="BA863" s="511"/>
      <c r="BB863" s="511"/>
      <c r="BC863" s="511"/>
    </row>
    <row r="864" spans="1:55" ht="16.5" customHeight="1" x14ac:dyDescent="0.3">
      <c r="A864" s="511"/>
      <c r="B864" s="511"/>
      <c r="C864" s="511"/>
      <c r="D864" s="511"/>
      <c r="E864" s="511"/>
      <c r="F864" s="511"/>
      <c r="G864" s="511"/>
      <c r="H864" s="511"/>
      <c r="I864" s="511"/>
      <c r="J864" s="511"/>
      <c r="K864" s="511"/>
      <c r="L864" s="511"/>
      <c r="M864" s="511"/>
      <c r="N864" s="511"/>
      <c r="O864" s="511"/>
      <c r="P864" s="511"/>
      <c r="Q864" s="511"/>
      <c r="R864" s="511"/>
      <c r="S864" s="511"/>
      <c r="T864" s="511"/>
      <c r="U864" s="511"/>
      <c r="V864" s="511"/>
      <c r="W864" s="511"/>
      <c r="X864" s="511"/>
      <c r="Y864" s="511"/>
      <c r="Z864" s="511"/>
      <c r="AA864" s="511"/>
      <c r="AB864" s="511"/>
      <c r="AC864" s="511"/>
      <c r="AD864" s="511"/>
      <c r="AE864" s="511"/>
      <c r="AF864" s="511"/>
      <c r="AG864" s="511"/>
      <c r="AH864" s="511"/>
      <c r="AI864" s="511"/>
      <c r="AJ864" s="511"/>
      <c r="AK864" s="511"/>
      <c r="AL864" s="511"/>
      <c r="AM864" s="511"/>
      <c r="AN864" s="511"/>
      <c r="AO864" s="511"/>
      <c r="AP864" s="511"/>
      <c r="AQ864" s="511"/>
      <c r="AR864" s="511"/>
      <c r="AS864" s="511"/>
      <c r="AT864" s="511"/>
      <c r="AU864" s="511"/>
      <c r="AV864" s="511"/>
      <c r="AW864" s="511"/>
      <c r="AX864" s="511"/>
      <c r="AY864" s="511"/>
      <c r="AZ864" s="511"/>
      <c r="BA864" s="511"/>
      <c r="BB864" s="511"/>
      <c r="BC864" s="511"/>
    </row>
    <row r="865" spans="1:55" ht="16.5" customHeight="1" x14ac:dyDescent="0.3">
      <c r="A865" s="511"/>
      <c r="B865" s="511"/>
      <c r="C865" s="511"/>
      <c r="D865" s="511"/>
      <c r="E865" s="511"/>
      <c r="F865" s="511"/>
      <c r="G865" s="511"/>
      <c r="H865" s="511"/>
      <c r="I865" s="511"/>
      <c r="J865" s="511"/>
      <c r="K865" s="511"/>
      <c r="L865" s="511"/>
      <c r="M865" s="511"/>
      <c r="N865" s="511"/>
      <c r="O865" s="511"/>
      <c r="P865" s="511"/>
      <c r="Q865" s="511"/>
      <c r="R865" s="511"/>
      <c r="S865" s="511"/>
      <c r="T865" s="511"/>
      <c r="U865" s="511"/>
      <c r="V865" s="511"/>
      <c r="W865" s="511"/>
      <c r="X865" s="511"/>
      <c r="Y865" s="511"/>
      <c r="Z865" s="511"/>
      <c r="AA865" s="511"/>
      <c r="AB865" s="511"/>
      <c r="AC865" s="511"/>
      <c r="AD865" s="511"/>
      <c r="AE865" s="511"/>
      <c r="AF865" s="511"/>
      <c r="AG865" s="511"/>
      <c r="AH865" s="511"/>
      <c r="AI865" s="511"/>
      <c r="AJ865" s="511"/>
      <c r="AK865" s="511"/>
      <c r="AL865" s="511"/>
      <c r="AM865" s="511"/>
      <c r="AN865" s="511"/>
      <c r="AO865" s="511"/>
      <c r="AP865" s="511"/>
      <c r="AQ865" s="511"/>
      <c r="AR865" s="511"/>
      <c r="AS865" s="511"/>
      <c r="AT865" s="511"/>
      <c r="AU865" s="511"/>
      <c r="AV865" s="511"/>
      <c r="AW865" s="511"/>
      <c r="AX865" s="511"/>
      <c r="AY865" s="511"/>
      <c r="AZ865" s="511"/>
      <c r="BA865" s="511"/>
      <c r="BB865" s="511"/>
      <c r="BC865" s="511"/>
    </row>
    <row r="866" spans="1:55" ht="16.5" customHeight="1" x14ac:dyDescent="0.3">
      <c r="A866" s="511"/>
      <c r="B866" s="511"/>
      <c r="C866" s="511"/>
      <c r="D866" s="511"/>
      <c r="E866" s="511"/>
      <c r="F866" s="511"/>
      <c r="G866" s="511"/>
      <c r="H866" s="511"/>
      <c r="I866" s="511"/>
      <c r="J866" s="511"/>
      <c r="K866" s="511"/>
      <c r="L866" s="511"/>
      <c r="M866" s="511"/>
      <c r="N866" s="511"/>
      <c r="O866" s="511"/>
      <c r="P866" s="511"/>
      <c r="Q866" s="511"/>
      <c r="R866" s="511"/>
      <c r="S866" s="511"/>
      <c r="T866" s="511"/>
      <c r="U866" s="511"/>
      <c r="V866" s="511"/>
      <c r="W866" s="511"/>
      <c r="X866" s="511"/>
      <c r="Y866" s="511"/>
      <c r="Z866" s="511"/>
      <c r="AA866" s="511"/>
      <c r="AB866" s="511"/>
      <c r="AC866" s="511"/>
      <c r="AD866" s="511"/>
      <c r="AE866" s="511"/>
      <c r="AF866" s="511"/>
      <c r="AG866" s="511"/>
      <c r="AH866" s="511"/>
      <c r="AI866" s="511"/>
      <c r="AJ866" s="511"/>
      <c r="AK866" s="511"/>
      <c r="AL866" s="511"/>
      <c r="AM866" s="511"/>
      <c r="AN866" s="511"/>
      <c r="AO866" s="511"/>
      <c r="AP866" s="511"/>
      <c r="AQ866" s="511"/>
      <c r="AR866" s="511"/>
      <c r="AS866" s="511"/>
      <c r="AT866" s="511"/>
      <c r="AU866" s="511"/>
      <c r="AV866" s="511"/>
      <c r="AW866" s="511"/>
      <c r="AX866" s="511"/>
      <c r="AY866" s="511"/>
      <c r="AZ866" s="511"/>
      <c r="BA866" s="511"/>
      <c r="BB866" s="511"/>
      <c r="BC866" s="511"/>
    </row>
    <row r="867" spans="1:55" ht="16.5" customHeight="1" x14ac:dyDescent="0.3">
      <c r="A867" s="511"/>
      <c r="B867" s="511"/>
      <c r="C867" s="511"/>
      <c r="D867" s="511"/>
      <c r="E867" s="511"/>
      <c r="F867" s="511"/>
      <c r="G867" s="511"/>
      <c r="H867" s="511"/>
      <c r="I867" s="511"/>
      <c r="J867" s="511"/>
      <c r="K867" s="511"/>
      <c r="L867" s="511"/>
      <c r="M867" s="511"/>
      <c r="N867" s="511"/>
      <c r="O867" s="511"/>
      <c r="P867" s="511"/>
      <c r="Q867" s="511"/>
      <c r="R867" s="511"/>
      <c r="S867" s="511"/>
      <c r="T867" s="511"/>
      <c r="U867" s="511"/>
      <c r="V867" s="511"/>
      <c r="W867" s="511"/>
      <c r="X867" s="511"/>
      <c r="Y867" s="511"/>
      <c r="Z867" s="511"/>
      <c r="AA867" s="511"/>
      <c r="AB867" s="511"/>
      <c r="AC867" s="511"/>
      <c r="AD867" s="511"/>
      <c r="AE867" s="511"/>
      <c r="AF867" s="511"/>
      <c r="AG867" s="511"/>
      <c r="AH867" s="511"/>
      <c r="AI867" s="511"/>
      <c r="AJ867" s="511"/>
      <c r="AK867" s="511"/>
      <c r="AL867" s="511"/>
      <c r="AM867" s="511"/>
      <c r="AN867" s="511"/>
      <c r="AO867" s="511"/>
      <c r="AP867" s="511"/>
      <c r="AQ867" s="511"/>
      <c r="AR867" s="511"/>
      <c r="AS867" s="511"/>
      <c r="AT867" s="511"/>
      <c r="AU867" s="511"/>
      <c r="AV867" s="511"/>
      <c r="AW867" s="511"/>
      <c r="AX867" s="511"/>
      <c r="AY867" s="511"/>
      <c r="AZ867" s="511"/>
      <c r="BA867" s="511"/>
      <c r="BB867" s="511"/>
      <c r="BC867" s="511"/>
    </row>
    <row r="868" spans="1:55" ht="16.5" customHeight="1" x14ac:dyDescent="0.3">
      <c r="A868" s="511"/>
      <c r="B868" s="511"/>
      <c r="C868" s="511"/>
      <c r="D868" s="511"/>
      <c r="E868" s="511"/>
      <c r="F868" s="511"/>
      <c r="G868" s="511"/>
      <c r="H868" s="511"/>
      <c r="I868" s="511"/>
      <c r="J868" s="511"/>
      <c r="K868" s="511"/>
      <c r="L868" s="511"/>
      <c r="M868" s="511"/>
      <c r="N868" s="511"/>
      <c r="O868" s="511"/>
      <c r="P868" s="511"/>
      <c r="Q868" s="511"/>
      <c r="R868" s="511"/>
      <c r="S868" s="511"/>
      <c r="T868" s="511"/>
      <c r="U868" s="511"/>
      <c r="V868" s="511"/>
      <c r="W868" s="511"/>
      <c r="X868" s="511"/>
      <c r="Y868" s="511"/>
      <c r="Z868" s="511"/>
      <c r="AA868" s="511"/>
      <c r="AB868" s="511"/>
      <c r="AC868" s="511"/>
      <c r="AD868" s="511"/>
      <c r="AE868" s="511"/>
      <c r="AF868" s="511"/>
      <c r="AG868" s="511"/>
      <c r="AH868" s="511"/>
      <c r="AI868" s="511"/>
      <c r="AJ868" s="511"/>
      <c r="AK868" s="511"/>
      <c r="AL868" s="511"/>
      <c r="AM868" s="511"/>
      <c r="AN868" s="511"/>
      <c r="AO868" s="511"/>
      <c r="AP868" s="511"/>
      <c r="AQ868" s="511"/>
      <c r="AR868" s="511"/>
      <c r="AS868" s="511"/>
      <c r="AT868" s="511"/>
      <c r="AU868" s="511"/>
      <c r="AV868" s="511"/>
      <c r="AW868" s="511"/>
      <c r="AX868" s="511"/>
      <c r="AY868" s="511"/>
      <c r="AZ868" s="511"/>
      <c r="BA868" s="511"/>
      <c r="BB868" s="511"/>
      <c r="BC868" s="511"/>
    </row>
    <row r="869" spans="1:55" ht="16.5" customHeight="1" x14ac:dyDescent="0.3">
      <c r="A869" s="511"/>
      <c r="B869" s="511"/>
      <c r="C869" s="511"/>
      <c r="D869" s="511"/>
      <c r="E869" s="511"/>
      <c r="F869" s="511"/>
      <c r="G869" s="511"/>
      <c r="H869" s="511"/>
      <c r="I869" s="511"/>
      <c r="J869" s="511"/>
      <c r="K869" s="511"/>
      <c r="L869" s="511"/>
      <c r="M869" s="511"/>
      <c r="N869" s="511"/>
      <c r="O869" s="511"/>
      <c r="P869" s="511"/>
      <c r="Q869" s="511"/>
      <c r="R869" s="511"/>
      <c r="S869" s="511"/>
      <c r="T869" s="511"/>
      <c r="U869" s="511"/>
      <c r="V869" s="511"/>
      <c r="W869" s="511"/>
      <c r="X869" s="511"/>
      <c r="Y869" s="511"/>
      <c r="Z869" s="511"/>
      <c r="AA869" s="511"/>
      <c r="AB869" s="511"/>
      <c r="AC869" s="511"/>
      <c r="AD869" s="511"/>
      <c r="AE869" s="511"/>
      <c r="AF869" s="511"/>
      <c r="AG869" s="511"/>
      <c r="AH869" s="511"/>
      <c r="AI869" s="511"/>
      <c r="AJ869" s="511"/>
      <c r="AK869" s="511"/>
      <c r="AL869" s="511"/>
      <c r="AM869" s="511"/>
      <c r="AN869" s="511"/>
      <c r="AO869" s="511"/>
      <c r="AP869" s="511"/>
      <c r="AQ869" s="511"/>
      <c r="AR869" s="511"/>
      <c r="AS869" s="511"/>
      <c r="AT869" s="511"/>
      <c r="AU869" s="511"/>
      <c r="AV869" s="511"/>
      <c r="AW869" s="511"/>
      <c r="AX869" s="511"/>
      <c r="AY869" s="511"/>
      <c r="AZ869" s="511"/>
      <c r="BA869" s="511"/>
      <c r="BB869" s="511"/>
      <c r="BC869" s="511"/>
    </row>
    <row r="870" spans="1:55" ht="16.5" customHeight="1" x14ac:dyDescent="0.3">
      <c r="A870" s="511"/>
      <c r="B870" s="511"/>
      <c r="C870" s="511"/>
      <c r="D870" s="511"/>
      <c r="E870" s="511"/>
      <c r="F870" s="511"/>
      <c r="G870" s="511"/>
      <c r="H870" s="511"/>
      <c r="I870" s="511"/>
      <c r="J870" s="511"/>
      <c r="K870" s="511"/>
      <c r="L870" s="511"/>
      <c r="M870" s="511"/>
      <c r="N870" s="511"/>
      <c r="O870" s="511"/>
      <c r="P870" s="511"/>
      <c r="Q870" s="511"/>
      <c r="R870" s="511"/>
      <c r="S870" s="511"/>
      <c r="T870" s="511"/>
      <c r="U870" s="511"/>
      <c r="V870" s="511"/>
      <c r="W870" s="511"/>
      <c r="X870" s="511"/>
      <c r="Y870" s="511"/>
      <c r="Z870" s="511"/>
      <c r="AA870" s="511"/>
      <c r="AB870" s="511"/>
      <c r="AC870" s="511"/>
      <c r="AD870" s="511"/>
      <c r="AE870" s="511"/>
      <c r="AF870" s="511"/>
      <c r="AG870" s="511"/>
      <c r="AH870" s="511"/>
      <c r="AI870" s="511"/>
      <c r="AJ870" s="511"/>
      <c r="AK870" s="511"/>
      <c r="AL870" s="511"/>
      <c r="AM870" s="511"/>
      <c r="AN870" s="511"/>
      <c r="AO870" s="511"/>
      <c r="AP870" s="511"/>
      <c r="AQ870" s="511"/>
      <c r="AR870" s="511"/>
      <c r="AS870" s="511"/>
      <c r="AT870" s="511"/>
      <c r="AU870" s="511"/>
      <c r="AV870" s="511"/>
      <c r="AW870" s="511"/>
      <c r="AX870" s="511"/>
      <c r="AY870" s="511"/>
      <c r="AZ870" s="511"/>
      <c r="BA870" s="511"/>
      <c r="BB870" s="511"/>
      <c r="BC870" s="511"/>
    </row>
    <row r="871" spans="1:55" ht="16.5" customHeight="1" x14ac:dyDescent="0.3">
      <c r="A871" s="511"/>
      <c r="B871" s="511"/>
      <c r="C871" s="511"/>
      <c r="D871" s="511"/>
      <c r="E871" s="511"/>
      <c r="F871" s="511"/>
      <c r="G871" s="511"/>
      <c r="H871" s="511"/>
      <c r="I871" s="511"/>
      <c r="J871" s="511"/>
      <c r="K871" s="511"/>
      <c r="L871" s="511"/>
      <c r="M871" s="511"/>
      <c r="N871" s="511"/>
      <c r="O871" s="511"/>
      <c r="P871" s="511"/>
      <c r="Q871" s="511"/>
      <c r="R871" s="511"/>
      <c r="S871" s="511"/>
      <c r="T871" s="511"/>
      <c r="U871" s="511"/>
      <c r="V871" s="511"/>
      <c r="W871" s="511"/>
      <c r="X871" s="511"/>
      <c r="Y871" s="511"/>
      <c r="Z871" s="511"/>
      <c r="AA871" s="511"/>
      <c r="AB871" s="511"/>
      <c r="AC871" s="511"/>
      <c r="AD871" s="511"/>
      <c r="AE871" s="511"/>
      <c r="AF871" s="511"/>
      <c r="AG871" s="511"/>
      <c r="AH871" s="511"/>
      <c r="AI871" s="511"/>
      <c r="AJ871" s="511"/>
      <c r="AK871" s="511"/>
      <c r="AL871" s="511"/>
      <c r="AM871" s="511"/>
      <c r="AN871" s="511"/>
      <c r="AO871" s="511"/>
      <c r="AP871" s="511"/>
      <c r="AQ871" s="511"/>
      <c r="AR871" s="511"/>
      <c r="AS871" s="511"/>
      <c r="AT871" s="511"/>
      <c r="AU871" s="511"/>
      <c r="AV871" s="511"/>
      <c r="AW871" s="511"/>
      <c r="AX871" s="511"/>
      <c r="AY871" s="511"/>
      <c r="AZ871" s="511"/>
      <c r="BA871" s="511"/>
      <c r="BB871" s="511"/>
      <c r="BC871" s="511"/>
    </row>
    <row r="872" spans="1:55" ht="16.5" customHeight="1" x14ac:dyDescent="0.3">
      <c r="A872" s="511"/>
      <c r="B872" s="511"/>
      <c r="C872" s="511"/>
      <c r="D872" s="511"/>
      <c r="E872" s="511"/>
      <c r="F872" s="511"/>
      <c r="G872" s="511"/>
      <c r="H872" s="511"/>
      <c r="I872" s="511"/>
      <c r="J872" s="511"/>
      <c r="K872" s="511"/>
      <c r="L872" s="511"/>
      <c r="M872" s="511"/>
      <c r="N872" s="511"/>
      <c r="O872" s="511"/>
      <c r="P872" s="511"/>
      <c r="Q872" s="511"/>
      <c r="R872" s="511"/>
      <c r="S872" s="511"/>
      <c r="T872" s="511"/>
      <c r="U872" s="511"/>
      <c r="V872" s="511"/>
      <c r="W872" s="511"/>
      <c r="X872" s="511"/>
      <c r="Y872" s="511"/>
      <c r="Z872" s="511"/>
      <c r="AA872" s="511"/>
      <c r="AB872" s="511"/>
      <c r="AC872" s="511"/>
      <c r="AD872" s="511"/>
      <c r="AE872" s="511"/>
      <c r="AF872" s="511"/>
      <c r="AG872" s="511"/>
      <c r="AH872" s="511"/>
      <c r="AI872" s="511"/>
      <c r="AJ872" s="511"/>
      <c r="AK872" s="511"/>
      <c r="AL872" s="511"/>
      <c r="AM872" s="511"/>
      <c r="AN872" s="511"/>
      <c r="AO872" s="511"/>
      <c r="AP872" s="511"/>
      <c r="AQ872" s="511"/>
      <c r="AR872" s="511"/>
      <c r="AS872" s="511"/>
      <c r="AT872" s="511"/>
      <c r="AU872" s="511"/>
      <c r="AV872" s="511"/>
      <c r="AW872" s="511"/>
      <c r="AX872" s="511"/>
      <c r="AY872" s="511"/>
      <c r="AZ872" s="511"/>
      <c r="BA872" s="511"/>
      <c r="BB872" s="511"/>
      <c r="BC872" s="511"/>
    </row>
    <row r="873" spans="1:55" ht="16.5" customHeight="1" x14ac:dyDescent="0.3">
      <c r="A873" s="511"/>
      <c r="B873" s="511"/>
      <c r="C873" s="511"/>
      <c r="D873" s="511"/>
      <c r="E873" s="511"/>
      <c r="F873" s="511"/>
      <c r="G873" s="511"/>
      <c r="H873" s="511"/>
      <c r="I873" s="511"/>
      <c r="J873" s="511"/>
      <c r="K873" s="511"/>
      <c r="L873" s="511"/>
      <c r="M873" s="511"/>
      <c r="N873" s="511"/>
      <c r="O873" s="511"/>
      <c r="P873" s="511"/>
      <c r="Q873" s="511"/>
      <c r="R873" s="511"/>
      <c r="S873" s="511"/>
      <c r="T873" s="511"/>
      <c r="U873" s="511"/>
      <c r="V873" s="511"/>
      <c r="W873" s="511"/>
      <c r="X873" s="511"/>
      <c r="Y873" s="511"/>
      <c r="Z873" s="511"/>
      <c r="AA873" s="511"/>
      <c r="AB873" s="511"/>
      <c r="AC873" s="511"/>
      <c r="AD873" s="511"/>
      <c r="AE873" s="511"/>
      <c r="AF873" s="511"/>
      <c r="AG873" s="511"/>
      <c r="AH873" s="511"/>
      <c r="AI873" s="511"/>
      <c r="AJ873" s="511"/>
      <c r="AK873" s="511"/>
      <c r="AL873" s="511"/>
      <c r="AM873" s="511"/>
      <c r="AN873" s="511"/>
      <c r="AO873" s="511"/>
      <c r="AP873" s="511"/>
      <c r="AQ873" s="511"/>
      <c r="AR873" s="511"/>
      <c r="AS873" s="511"/>
      <c r="AT873" s="511"/>
      <c r="AU873" s="511"/>
      <c r="AV873" s="511"/>
      <c r="AW873" s="511"/>
      <c r="AX873" s="511"/>
      <c r="AY873" s="511"/>
      <c r="AZ873" s="511"/>
      <c r="BA873" s="511"/>
      <c r="BB873" s="511"/>
      <c r="BC873" s="511"/>
    </row>
    <row r="874" spans="1:55" ht="16.5" customHeight="1" x14ac:dyDescent="0.3">
      <c r="A874" s="511"/>
      <c r="B874" s="511"/>
      <c r="C874" s="511"/>
      <c r="D874" s="511"/>
      <c r="E874" s="511"/>
      <c r="F874" s="511"/>
      <c r="G874" s="511"/>
      <c r="H874" s="511"/>
      <c r="I874" s="511"/>
      <c r="J874" s="511"/>
      <c r="K874" s="511"/>
      <c r="L874" s="511"/>
      <c r="M874" s="511"/>
      <c r="N874" s="511"/>
      <c r="O874" s="511"/>
      <c r="P874" s="511"/>
      <c r="Q874" s="511"/>
      <c r="R874" s="511"/>
      <c r="S874" s="511"/>
      <c r="T874" s="511"/>
      <c r="U874" s="511"/>
      <c r="V874" s="511"/>
      <c r="W874" s="511"/>
      <c r="X874" s="511"/>
      <c r="Y874" s="511"/>
      <c r="Z874" s="511"/>
      <c r="AA874" s="511"/>
      <c r="AB874" s="511"/>
      <c r="AC874" s="511"/>
      <c r="AD874" s="511"/>
      <c r="AE874" s="511"/>
      <c r="AF874" s="511"/>
      <c r="AG874" s="511"/>
      <c r="AH874" s="511"/>
      <c r="AI874" s="511"/>
      <c r="AJ874" s="511"/>
      <c r="AK874" s="511"/>
      <c r="AL874" s="511"/>
      <c r="AM874" s="511"/>
      <c r="AN874" s="511"/>
      <c r="AO874" s="511"/>
      <c r="AP874" s="511"/>
      <c r="AQ874" s="511"/>
      <c r="AR874" s="511"/>
      <c r="AS874" s="511"/>
      <c r="AT874" s="511"/>
      <c r="AU874" s="511"/>
      <c r="AV874" s="511"/>
      <c r="AW874" s="511"/>
      <c r="AX874" s="511"/>
      <c r="AY874" s="511"/>
      <c r="AZ874" s="511"/>
      <c r="BA874" s="511"/>
      <c r="BB874" s="511"/>
      <c r="BC874" s="511"/>
    </row>
    <row r="875" spans="1:55" ht="16.5" customHeight="1" x14ac:dyDescent="0.3">
      <c r="A875" s="511"/>
      <c r="B875" s="511"/>
      <c r="C875" s="511"/>
      <c r="D875" s="511"/>
      <c r="E875" s="511"/>
      <c r="F875" s="511"/>
      <c r="G875" s="511"/>
      <c r="H875" s="511"/>
      <c r="I875" s="511"/>
      <c r="J875" s="511"/>
      <c r="K875" s="511"/>
      <c r="L875" s="511"/>
      <c r="M875" s="511"/>
      <c r="N875" s="511"/>
      <c r="O875" s="511"/>
      <c r="P875" s="511"/>
      <c r="Q875" s="511"/>
      <c r="R875" s="511"/>
      <c r="S875" s="511"/>
      <c r="T875" s="511"/>
      <c r="U875" s="511"/>
      <c r="V875" s="511"/>
      <c r="W875" s="511"/>
      <c r="X875" s="511"/>
      <c r="Y875" s="511"/>
      <c r="Z875" s="511"/>
      <c r="AA875" s="511"/>
      <c r="AB875" s="511"/>
      <c r="AC875" s="511"/>
      <c r="AD875" s="511"/>
      <c r="AE875" s="511"/>
      <c r="AF875" s="511"/>
      <c r="AG875" s="511"/>
      <c r="AH875" s="511"/>
      <c r="AI875" s="511"/>
      <c r="AJ875" s="511"/>
      <c r="AK875" s="511"/>
      <c r="AL875" s="511"/>
      <c r="AM875" s="511"/>
      <c r="AN875" s="511"/>
      <c r="AO875" s="511"/>
      <c r="AP875" s="511"/>
      <c r="AQ875" s="511"/>
      <c r="AR875" s="511"/>
      <c r="AS875" s="511"/>
      <c r="AT875" s="511"/>
      <c r="AU875" s="511"/>
      <c r="AV875" s="511"/>
      <c r="AW875" s="511"/>
      <c r="AX875" s="511"/>
      <c r="AY875" s="511"/>
      <c r="AZ875" s="511"/>
      <c r="BA875" s="511"/>
      <c r="BB875" s="511"/>
      <c r="BC875" s="511"/>
    </row>
    <row r="876" spans="1:55" ht="16.5" customHeight="1" x14ac:dyDescent="0.3">
      <c r="A876" s="511"/>
      <c r="B876" s="511"/>
      <c r="C876" s="511"/>
      <c r="D876" s="511"/>
      <c r="E876" s="511"/>
      <c r="F876" s="511"/>
      <c r="G876" s="511"/>
      <c r="H876" s="511"/>
      <c r="I876" s="511"/>
      <c r="J876" s="511"/>
      <c r="K876" s="511"/>
      <c r="L876" s="511"/>
      <c r="M876" s="511"/>
      <c r="N876" s="511"/>
      <c r="O876" s="511"/>
      <c r="P876" s="511"/>
      <c r="Q876" s="511"/>
      <c r="R876" s="511"/>
      <c r="S876" s="511"/>
      <c r="T876" s="511"/>
      <c r="U876" s="511"/>
      <c r="V876" s="511"/>
      <c r="W876" s="511"/>
      <c r="X876" s="511"/>
      <c r="Y876" s="511"/>
      <c r="Z876" s="511"/>
      <c r="AA876" s="511"/>
      <c r="AB876" s="511"/>
      <c r="AC876" s="511"/>
      <c r="AD876" s="511"/>
      <c r="AE876" s="511"/>
      <c r="AF876" s="511"/>
      <c r="AG876" s="511"/>
      <c r="AH876" s="511"/>
      <c r="AI876" s="511"/>
      <c r="AJ876" s="511"/>
      <c r="AK876" s="511"/>
      <c r="AL876" s="511"/>
      <c r="AM876" s="511"/>
      <c r="AN876" s="511"/>
      <c r="AO876" s="511"/>
      <c r="AP876" s="511"/>
      <c r="AQ876" s="511"/>
      <c r="AR876" s="511"/>
      <c r="AS876" s="511"/>
      <c r="AT876" s="511"/>
      <c r="AU876" s="511"/>
      <c r="AV876" s="511"/>
      <c r="AW876" s="511"/>
      <c r="AX876" s="511"/>
      <c r="AY876" s="511"/>
      <c r="AZ876" s="511"/>
      <c r="BA876" s="511"/>
      <c r="BB876" s="511"/>
      <c r="BC876" s="511"/>
    </row>
    <row r="877" spans="1:55" ht="16.5" customHeight="1" x14ac:dyDescent="0.3">
      <c r="A877" s="511"/>
      <c r="B877" s="511"/>
      <c r="C877" s="511"/>
      <c r="D877" s="511"/>
      <c r="E877" s="511"/>
      <c r="F877" s="511"/>
      <c r="G877" s="511"/>
      <c r="H877" s="511"/>
      <c r="I877" s="511"/>
      <c r="J877" s="511"/>
      <c r="K877" s="511"/>
      <c r="L877" s="511"/>
      <c r="M877" s="511"/>
      <c r="N877" s="511"/>
      <c r="O877" s="511"/>
      <c r="P877" s="511"/>
      <c r="Q877" s="511"/>
      <c r="R877" s="511"/>
      <c r="S877" s="511"/>
      <c r="T877" s="511"/>
      <c r="U877" s="511"/>
      <c r="V877" s="511"/>
      <c r="W877" s="511"/>
      <c r="X877" s="511"/>
      <c r="Y877" s="511"/>
      <c r="Z877" s="511"/>
      <c r="AA877" s="511"/>
      <c r="AB877" s="511"/>
      <c r="AC877" s="511"/>
      <c r="AD877" s="511"/>
      <c r="AE877" s="511"/>
      <c r="AF877" s="511"/>
      <c r="AG877" s="511"/>
      <c r="AH877" s="511"/>
      <c r="AI877" s="511"/>
      <c r="AJ877" s="511"/>
      <c r="AK877" s="511"/>
      <c r="AL877" s="511"/>
      <c r="AM877" s="511"/>
      <c r="AN877" s="511"/>
      <c r="AO877" s="511"/>
      <c r="AP877" s="511"/>
      <c r="AQ877" s="511"/>
      <c r="AR877" s="511"/>
      <c r="AS877" s="511"/>
      <c r="AT877" s="511"/>
      <c r="AU877" s="511"/>
      <c r="AV877" s="511"/>
      <c r="AW877" s="511"/>
      <c r="AX877" s="511"/>
      <c r="AY877" s="511"/>
      <c r="AZ877" s="511"/>
      <c r="BA877" s="511"/>
      <c r="BB877" s="511"/>
      <c r="BC877" s="511"/>
    </row>
    <row r="878" spans="1:55" ht="16.5" customHeight="1" x14ac:dyDescent="0.3">
      <c r="A878" s="511"/>
      <c r="B878" s="511"/>
      <c r="C878" s="511"/>
      <c r="D878" s="511"/>
      <c r="E878" s="511"/>
      <c r="F878" s="511"/>
      <c r="G878" s="511"/>
      <c r="H878" s="511"/>
      <c r="I878" s="511"/>
      <c r="J878" s="511"/>
      <c r="K878" s="511"/>
      <c r="L878" s="511"/>
      <c r="M878" s="511"/>
      <c r="N878" s="511"/>
      <c r="O878" s="511"/>
      <c r="P878" s="511"/>
      <c r="Q878" s="511"/>
      <c r="R878" s="511"/>
      <c r="S878" s="511"/>
      <c r="T878" s="511"/>
      <c r="U878" s="511"/>
      <c r="V878" s="511"/>
      <c r="W878" s="511"/>
      <c r="X878" s="511"/>
      <c r="Y878" s="511"/>
      <c r="Z878" s="511"/>
      <c r="AA878" s="511"/>
      <c r="AB878" s="511"/>
      <c r="AC878" s="511"/>
      <c r="AD878" s="511"/>
      <c r="AE878" s="511"/>
      <c r="AF878" s="511"/>
      <c r="AG878" s="511"/>
      <c r="AH878" s="511"/>
      <c r="AI878" s="511"/>
      <c r="AJ878" s="511"/>
      <c r="AK878" s="511"/>
      <c r="AL878" s="511"/>
      <c r="AM878" s="511"/>
      <c r="AN878" s="511"/>
      <c r="AO878" s="511"/>
      <c r="AP878" s="511"/>
      <c r="AQ878" s="511"/>
      <c r="AR878" s="511"/>
      <c r="AS878" s="511"/>
      <c r="AT878" s="511"/>
      <c r="AU878" s="511"/>
      <c r="AV878" s="511"/>
      <c r="AW878" s="511"/>
      <c r="AX878" s="511"/>
      <c r="AY878" s="511"/>
      <c r="AZ878" s="511"/>
      <c r="BA878" s="511"/>
      <c r="BB878" s="511"/>
      <c r="BC878" s="511"/>
    </row>
    <row r="879" spans="1:55" ht="16.5" customHeight="1" x14ac:dyDescent="0.3">
      <c r="A879" s="511"/>
      <c r="B879" s="511"/>
      <c r="C879" s="511"/>
      <c r="D879" s="511"/>
      <c r="E879" s="511"/>
      <c r="F879" s="511"/>
      <c r="G879" s="511"/>
      <c r="H879" s="511"/>
      <c r="I879" s="511"/>
      <c r="J879" s="511"/>
      <c r="K879" s="511"/>
      <c r="L879" s="511"/>
      <c r="M879" s="511"/>
      <c r="N879" s="511"/>
      <c r="O879" s="511"/>
      <c r="P879" s="511"/>
      <c r="Q879" s="511"/>
      <c r="R879" s="511"/>
      <c r="S879" s="511"/>
      <c r="T879" s="511"/>
      <c r="U879" s="511"/>
      <c r="V879" s="511"/>
      <c r="W879" s="511"/>
      <c r="X879" s="511"/>
      <c r="Y879" s="511"/>
      <c r="Z879" s="511"/>
      <c r="AA879" s="511"/>
      <c r="AB879" s="511"/>
      <c r="AC879" s="511"/>
      <c r="AD879" s="511"/>
      <c r="AE879" s="511"/>
      <c r="AF879" s="511"/>
      <c r="AG879" s="511"/>
      <c r="AH879" s="511"/>
      <c r="AI879" s="511"/>
      <c r="AJ879" s="511"/>
      <c r="AK879" s="511"/>
      <c r="AL879" s="511"/>
      <c r="AM879" s="511"/>
      <c r="AN879" s="511"/>
      <c r="AO879" s="511"/>
      <c r="AP879" s="511"/>
      <c r="AQ879" s="511"/>
      <c r="AR879" s="511"/>
      <c r="AS879" s="511"/>
      <c r="AT879" s="511"/>
      <c r="AU879" s="511"/>
      <c r="AV879" s="511"/>
      <c r="AW879" s="511"/>
      <c r="AX879" s="511"/>
      <c r="AY879" s="511"/>
      <c r="AZ879" s="511"/>
      <c r="BA879" s="511"/>
      <c r="BB879" s="511"/>
      <c r="BC879" s="511"/>
    </row>
    <row r="880" spans="1:55" ht="16.5" customHeight="1" x14ac:dyDescent="0.3">
      <c r="E880" s="511"/>
      <c r="F880" s="511"/>
      <c r="G880" s="511"/>
      <c r="H880" s="511"/>
      <c r="I880" s="511"/>
      <c r="J880" s="511"/>
      <c r="K880" s="511"/>
      <c r="L880" s="511"/>
      <c r="M880" s="511"/>
      <c r="N880" s="511"/>
      <c r="O880" s="511"/>
      <c r="P880" s="511"/>
      <c r="Q880" s="511"/>
      <c r="R880" s="511"/>
      <c r="S880" s="511"/>
      <c r="T880" s="511"/>
      <c r="U880" s="511"/>
      <c r="V880" s="511"/>
      <c r="W880" s="511"/>
      <c r="X880" s="511"/>
      <c r="Y880" s="511"/>
      <c r="Z880" s="511"/>
      <c r="AA880" s="511"/>
      <c r="AB880" s="511"/>
      <c r="AC880" s="511"/>
      <c r="AD880" s="511"/>
      <c r="AE880" s="511"/>
      <c r="AF880" s="511"/>
      <c r="AG880" s="511"/>
      <c r="AH880" s="511"/>
      <c r="AI880" s="511"/>
      <c r="AJ880" s="511"/>
      <c r="AK880" s="511"/>
      <c r="AL880" s="511"/>
      <c r="AM880" s="511"/>
      <c r="AN880" s="511"/>
      <c r="AO880" s="511"/>
      <c r="AP880" s="511"/>
      <c r="AQ880" s="511"/>
      <c r="AR880" s="511"/>
      <c r="AS880" s="511"/>
      <c r="AT880" s="511"/>
      <c r="AU880" s="511"/>
      <c r="AV880" s="511"/>
      <c r="AW880" s="511"/>
      <c r="AX880" s="511"/>
      <c r="AY880" s="511"/>
      <c r="AZ880" s="511"/>
      <c r="BA880" s="511"/>
      <c r="BB880" s="511"/>
      <c r="BC880" s="511"/>
    </row>
    <row r="881" spans="5:55" ht="16.5" customHeight="1" x14ac:dyDescent="0.3">
      <c r="E881" s="511"/>
      <c r="F881" s="511"/>
      <c r="G881" s="511"/>
      <c r="H881" s="511"/>
      <c r="I881" s="511"/>
      <c r="J881" s="511"/>
      <c r="K881" s="511"/>
      <c r="L881" s="511"/>
      <c r="M881" s="511"/>
      <c r="N881" s="511"/>
      <c r="O881" s="511"/>
      <c r="P881" s="511"/>
      <c r="Q881" s="511"/>
      <c r="R881" s="511"/>
      <c r="S881" s="511"/>
      <c r="T881" s="511"/>
      <c r="U881" s="511"/>
      <c r="V881" s="511"/>
      <c r="W881" s="511"/>
      <c r="X881" s="511"/>
      <c r="Y881" s="511"/>
      <c r="Z881" s="511"/>
      <c r="AA881" s="511"/>
      <c r="AB881" s="511"/>
      <c r="AC881" s="511"/>
      <c r="AD881" s="511"/>
      <c r="AE881" s="511"/>
      <c r="AF881" s="511"/>
      <c r="AG881" s="511"/>
      <c r="AH881" s="511"/>
      <c r="AI881" s="511"/>
      <c r="AJ881" s="511"/>
      <c r="AK881" s="511"/>
      <c r="AL881" s="511"/>
      <c r="AM881" s="511"/>
      <c r="AN881" s="511"/>
      <c r="AO881" s="511"/>
      <c r="AP881" s="511"/>
      <c r="AQ881" s="511"/>
      <c r="AR881" s="511"/>
      <c r="AS881" s="511"/>
      <c r="AT881" s="511"/>
      <c r="AU881" s="511"/>
      <c r="AV881" s="511"/>
      <c r="AW881" s="511"/>
      <c r="AX881" s="511"/>
      <c r="AY881" s="511"/>
      <c r="AZ881" s="511"/>
      <c r="BA881" s="511"/>
      <c r="BB881" s="511"/>
      <c r="BC881" s="511"/>
    </row>
    <row r="882" spans="5:55" ht="16.5" customHeight="1" x14ac:dyDescent="0.3">
      <c r="E882" s="511"/>
      <c r="F882" s="511"/>
      <c r="G882" s="511"/>
      <c r="H882" s="511"/>
      <c r="I882" s="511"/>
      <c r="J882" s="511"/>
      <c r="K882" s="511"/>
      <c r="L882" s="511"/>
      <c r="M882" s="511"/>
      <c r="N882" s="511"/>
      <c r="O882" s="511"/>
      <c r="P882" s="511"/>
      <c r="Q882" s="511"/>
      <c r="R882" s="511"/>
      <c r="S882" s="511"/>
      <c r="T882" s="511"/>
      <c r="U882" s="511"/>
      <c r="V882" s="511"/>
      <c r="W882" s="511"/>
      <c r="X882" s="511"/>
      <c r="Y882" s="511"/>
      <c r="Z882" s="511"/>
      <c r="AA882" s="511"/>
      <c r="AB882" s="511"/>
      <c r="AC882" s="511"/>
      <c r="AD882" s="511"/>
      <c r="AE882" s="511"/>
      <c r="AF882" s="511"/>
      <c r="AG882" s="511"/>
      <c r="AH882" s="511"/>
      <c r="AI882" s="511"/>
      <c r="AJ882" s="511"/>
      <c r="AK882" s="511"/>
      <c r="AL882" s="511"/>
      <c r="AM882" s="511"/>
      <c r="AN882" s="511"/>
      <c r="AO882" s="511"/>
      <c r="AP882" s="511"/>
      <c r="AQ882" s="511"/>
      <c r="AR882" s="511"/>
      <c r="AS882" s="511"/>
      <c r="AT882" s="511"/>
      <c r="AU882" s="511"/>
      <c r="AV882" s="511"/>
      <c r="AW882" s="511"/>
      <c r="AX882" s="511"/>
      <c r="AY882" s="511"/>
      <c r="AZ882" s="511"/>
      <c r="BA882" s="511"/>
      <c r="BB882" s="511"/>
      <c r="BC882" s="511"/>
    </row>
    <row r="883" spans="5:55" ht="16.5" customHeight="1" x14ac:dyDescent="0.3">
      <c r="E883" s="511"/>
      <c r="F883" s="511"/>
      <c r="G883" s="511"/>
      <c r="H883" s="511"/>
      <c r="I883" s="511"/>
      <c r="J883" s="511"/>
      <c r="K883" s="511"/>
      <c r="L883" s="511"/>
      <c r="M883" s="511"/>
      <c r="N883" s="511"/>
      <c r="O883" s="511"/>
      <c r="P883" s="511"/>
      <c r="U883" s="511"/>
      <c r="V883" s="511"/>
      <c r="W883" s="511"/>
      <c r="X883" s="511"/>
      <c r="Y883" s="511"/>
      <c r="Z883" s="511"/>
      <c r="AA883" s="511"/>
      <c r="AB883" s="511"/>
      <c r="AC883" s="511"/>
      <c r="AD883" s="511"/>
      <c r="AE883" s="511"/>
      <c r="AF883" s="511"/>
      <c r="AG883" s="511"/>
      <c r="AH883" s="511"/>
      <c r="AI883" s="511"/>
      <c r="AJ883" s="511"/>
      <c r="AK883" s="511"/>
      <c r="AL883" s="511"/>
      <c r="AM883" s="511"/>
      <c r="AN883" s="511"/>
      <c r="AO883" s="511"/>
      <c r="AP883" s="511"/>
      <c r="AQ883" s="511"/>
      <c r="AR883" s="511"/>
      <c r="AS883" s="511"/>
      <c r="AT883" s="511"/>
      <c r="AU883" s="511"/>
      <c r="AV883" s="511"/>
      <c r="AW883" s="511"/>
      <c r="AX883" s="511"/>
      <c r="AY883" s="511"/>
      <c r="AZ883" s="511"/>
      <c r="BA883" s="511"/>
      <c r="BB883" s="511"/>
      <c r="BC883" s="511"/>
    </row>
    <row r="884" spans="5:55" ht="16.5" customHeight="1" x14ac:dyDescent="0.3">
      <c r="E884" s="511"/>
      <c r="F884" s="511"/>
      <c r="G884" s="511"/>
      <c r="H884" s="511"/>
      <c r="I884" s="511"/>
      <c r="J884" s="511"/>
      <c r="K884" s="511"/>
      <c r="L884" s="511"/>
      <c r="M884" s="511"/>
      <c r="N884" s="511"/>
      <c r="O884" s="511"/>
      <c r="P884" s="511"/>
      <c r="U884" s="511"/>
      <c r="V884" s="511"/>
      <c r="W884" s="511"/>
      <c r="X884" s="511"/>
      <c r="Y884" s="511"/>
      <c r="Z884" s="511"/>
      <c r="AA884" s="511"/>
      <c r="AB884" s="511"/>
      <c r="AC884" s="511"/>
      <c r="AD884" s="511"/>
      <c r="AE884" s="511"/>
      <c r="AF884" s="511"/>
      <c r="AG884" s="511"/>
      <c r="AH884" s="511"/>
      <c r="AI884" s="511"/>
      <c r="AJ884" s="511"/>
      <c r="AK884" s="511"/>
      <c r="AL884" s="511"/>
      <c r="AM884" s="511"/>
      <c r="AN884" s="511"/>
      <c r="AO884" s="511"/>
      <c r="AT884" s="511"/>
      <c r="AU884" s="511"/>
      <c r="AV884" s="511"/>
      <c r="AW884" s="511"/>
      <c r="AX884" s="511"/>
      <c r="AY884" s="511"/>
    </row>
    <row r="885" spans="5:55" ht="16.5" customHeight="1" x14ac:dyDescent="0.3">
      <c r="E885" s="511"/>
      <c r="F885" s="511"/>
      <c r="G885" s="511"/>
      <c r="H885" s="511"/>
      <c r="I885" s="511"/>
      <c r="J885" s="511"/>
      <c r="K885" s="511"/>
      <c r="L885" s="511"/>
      <c r="M885" s="511"/>
      <c r="N885" s="511"/>
      <c r="O885" s="511"/>
      <c r="P885" s="511"/>
      <c r="U885" s="511"/>
      <c r="V885" s="511"/>
      <c r="W885" s="511"/>
      <c r="X885" s="511"/>
      <c r="Y885" s="511"/>
      <c r="Z885" s="511"/>
      <c r="AA885" s="511"/>
      <c r="AB885" s="511"/>
      <c r="AC885" s="511"/>
      <c r="AD885" s="511"/>
      <c r="AE885" s="511"/>
      <c r="AF885" s="511"/>
      <c r="AG885" s="511"/>
      <c r="AH885" s="511"/>
      <c r="AI885" s="511"/>
      <c r="AJ885" s="511"/>
      <c r="AO885" s="511"/>
      <c r="AT885" s="511"/>
      <c r="AU885" s="511"/>
      <c r="AV885" s="511"/>
      <c r="AW885" s="511"/>
      <c r="AX885" s="511"/>
      <c r="AY885" s="511"/>
    </row>
    <row r="886" spans="5:55" ht="16.5" customHeight="1" x14ac:dyDescent="0.3">
      <c r="E886" s="511"/>
      <c r="F886" s="511"/>
      <c r="G886" s="511"/>
      <c r="H886" s="511"/>
      <c r="I886" s="511"/>
      <c r="J886" s="511"/>
      <c r="K886" s="511"/>
      <c r="L886" s="511"/>
      <c r="M886" s="511"/>
      <c r="N886" s="511"/>
      <c r="O886" s="511"/>
      <c r="P886" s="511"/>
      <c r="U886" s="511"/>
      <c r="V886" s="511"/>
      <c r="W886" s="511"/>
      <c r="X886" s="511"/>
      <c r="Y886" s="511"/>
      <c r="Z886" s="511"/>
      <c r="AA886" s="511"/>
      <c r="AB886" s="511"/>
      <c r="AC886" s="511"/>
      <c r="AD886" s="511"/>
      <c r="AE886" s="511"/>
      <c r="AF886" s="511"/>
      <c r="AG886" s="511"/>
      <c r="AH886" s="511"/>
      <c r="AI886" s="511"/>
      <c r="AJ886" s="511"/>
      <c r="AO886" s="511"/>
      <c r="AT886" s="511"/>
      <c r="AY886" s="511"/>
    </row>
    <row r="887" spans="5:55" ht="16.5" customHeight="1" x14ac:dyDescent="0.3">
      <c r="E887" s="511"/>
      <c r="F887" s="511"/>
      <c r="G887" s="511"/>
      <c r="H887" s="511"/>
      <c r="I887" s="511"/>
      <c r="J887" s="511"/>
      <c r="K887" s="511"/>
      <c r="L887" s="511"/>
      <c r="M887" s="511"/>
      <c r="N887" s="511"/>
      <c r="O887" s="511"/>
      <c r="P887" s="511"/>
      <c r="U887" s="511"/>
      <c r="V887" s="511"/>
      <c r="W887" s="511"/>
      <c r="X887" s="511"/>
      <c r="Y887" s="511"/>
      <c r="Z887" s="511"/>
      <c r="AA887" s="511"/>
      <c r="AB887" s="511"/>
      <c r="AC887" s="511"/>
      <c r="AD887" s="511"/>
      <c r="AE887" s="511"/>
      <c r="AF887" s="511"/>
      <c r="AG887" s="511"/>
      <c r="AH887" s="511"/>
      <c r="AI887" s="511"/>
      <c r="AJ887" s="511"/>
      <c r="AO887" s="511"/>
      <c r="AT887" s="511"/>
      <c r="AY887" s="511"/>
    </row>
    <row r="888" spans="5:55" ht="16.5" customHeight="1" x14ac:dyDescent="0.3">
      <c r="E888" s="511"/>
      <c r="P888" s="511"/>
      <c r="U888" s="511"/>
      <c r="V888" s="511"/>
      <c r="W888" s="511"/>
      <c r="X888" s="511"/>
      <c r="Y888" s="511"/>
      <c r="Z888" s="511"/>
      <c r="AA888" s="511"/>
      <c r="AB888" s="511"/>
      <c r="AC888" s="511"/>
      <c r="AD888" s="511"/>
      <c r="AE888" s="511"/>
      <c r="AF888" s="511"/>
      <c r="AG888" s="511"/>
      <c r="AH888" s="511"/>
      <c r="AI888" s="511"/>
      <c r="AJ888" s="511"/>
      <c r="AO888" s="511"/>
      <c r="AT888" s="511"/>
      <c r="AY888" s="511"/>
    </row>
    <row r="889" spans="5:55" ht="16.5" customHeight="1" x14ac:dyDescent="0.3">
      <c r="E889" s="511"/>
      <c r="U889" s="511"/>
      <c r="V889" s="511"/>
      <c r="W889" s="511"/>
      <c r="X889" s="511"/>
      <c r="Y889" s="511"/>
      <c r="Z889" s="511"/>
      <c r="AA889" s="511"/>
      <c r="AB889" s="511"/>
      <c r="AC889" s="511"/>
      <c r="AD889" s="511"/>
      <c r="AE889" s="511"/>
      <c r="AF889" s="511"/>
      <c r="AG889" s="511"/>
      <c r="AH889" s="511"/>
      <c r="AI889" s="511"/>
      <c r="AJ889" s="511"/>
      <c r="AO889" s="511"/>
      <c r="AT889" s="511"/>
      <c r="AY889" s="511"/>
    </row>
    <row r="890" spans="5:55" ht="16.5" customHeight="1" x14ac:dyDescent="0.3">
      <c r="E890" s="511"/>
      <c r="U890" s="511"/>
      <c r="V890" s="511"/>
      <c r="W890" s="511"/>
      <c r="X890" s="511"/>
      <c r="Y890" s="511"/>
      <c r="Z890" s="511"/>
      <c r="AA890" s="511"/>
      <c r="AB890" s="511"/>
      <c r="AC890" s="511"/>
      <c r="AD890" s="511"/>
      <c r="AE890" s="511"/>
      <c r="AF890" s="511"/>
      <c r="AG890" s="511"/>
      <c r="AH890" s="511"/>
      <c r="AI890" s="511"/>
      <c r="AJ890" s="511"/>
      <c r="AO890" s="511"/>
      <c r="AT890" s="511"/>
      <c r="AY890" s="511"/>
    </row>
    <row r="891" spans="5:55" ht="16.5" customHeight="1" x14ac:dyDescent="0.3">
      <c r="E891" s="511"/>
      <c r="U891" s="511"/>
      <c r="Z891" s="511"/>
      <c r="AE891" s="511"/>
      <c r="AF891" s="511"/>
      <c r="AG891" s="511"/>
      <c r="AH891" s="511"/>
      <c r="AI891" s="511"/>
      <c r="AJ891" s="511"/>
      <c r="AO891" s="511"/>
      <c r="AT891" s="511"/>
      <c r="AY891" s="511"/>
    </row>
    <row r="892" spans="5:55" ht="16.5" customHeight="1" x14ac:dyDescent="0.3">
      <c r="E892" s="511"/>
      <c r="U892" s="511"/>
      <c r="Z892" s="511"/>
      <c r="AE892" s="511"/>
      <c r="AF892" s="511"/>
      <c r="AG892" s="511"/>
      <c r="AH892" s="511"/>
      <c r="AI892" s="511"/>
      <c r="AJ892" s="511"/>
      <c r="AO892" s="511"/>
      <c r="AT892" s="511"/>
      <c r="AY892" s="511"/>
    </row>
    <row r="893" spans="5:55" ht="16.5" customHeight="1" x14ac:dyDescent="0.3">
      <c r="E893" s="511"/>
      <c r="U893" s="511"/>
      <c r="Z893" s="511"/>
      <c r="AE893" s="511"/>
      <c r="AF893" s="511"/>
      <c r="AG893" s="511"/>
      <c r="AH893" s="511"/>
      <c r="AI893" s="511"/>
      <c r="AJ893" s="511"/>
      <c r="AO893" s="511"/>
      <c r="AT893" s="511"/>
      <c r="AY893" s="511"/>
    </row>
    <row r="894" spans="5:55" ht="16.5" customHeight="1" x14ac:dyDescent="0.3">
      <c r="E894" s="511"/>
      <c r="U894" s="511"/>
      <c r="Z894" s="511"/>
      <c r="AE894" s="511"/>
      <c r="AJ894" s="511"/>
      <c r="AO894" s="511"/>
      <c r="AT894" s="511"/>
      <c r="AY894" s="511"/>
    </row>
    <row r="895" spans="5:55" ht="16.5" customHeight="1" x14ac:dyDescent="0.3">
      <c r="E895" s="511"/>
      <c r="U895" s="511"/>
      <c r="Z895" s="511"/>
      <c r="AE895" s="511"/>
      <c r="AJ895" s="511"/>
      <c r="AO895" s="511"/>
      <c r="AY895" s="511"/>
    </row>
    <row r="896" spans="5:55" ht="16.5" customHeight="1" x14ac:dyDescent="0.3">
      <c r="E896" s="511"/>
      <c r="U896" s="511"/>
      <c r="Z896" s="511"/>
      <c r="AE896" s="511"/>
      <c r="AJ896" s="511"/>
    </row>
    <row r="897" spans="5:36" ht="16.5" customHeight="1" x14ac:dyDescent="0.3">
      <c r="E897" s="511"/>
      <c r="U897" s="511"/>
      <c r="Z897" s="511"/>
      <c r="AE897" s="511"/>
      <c r="AJ897" s="511"/>
    </row>
    <row r="898" spans="5:36" ht="16.5" customHeight="1" x14ac:dyDescent="0.3">
      <c r="E898" s="511"/>
      <c r="U898" s="511"/>
      <c r="Z898" s="511"/>
      <c r="AE898" s="511"/>
      <c r="AJ898" s="511"/>
    </row>
    <row r="899" spans="5:36" ht="16.5" customHeight="1" x14ac:dyDescent="0.3">
      <c r="E899" s="511"/>
      <c r="U899" s="511"/>
      <c r="Z899" s="511"/>
      <c r="AE899" s="511"/>
      <c r="AJ899" s="511"/>
    </row>
    <row r="900" spans="5:36" ht="16.5" customHeight="1" x14ac:dyDescent="0.3">
      <c r="E900" s="511"/>
      <c r="U900" s="511"/>
      <c r="Z900" s="511"/>
      <c r="AE900" s="511"/>
      <c r="AJ900" s="511"/>
    </row>
    <row r="901" spans="5:36" ht="16.5" customHeight="1" x14ac:dyDescent="0.3">
      <c r="E901" s="511"/>
      <c r="U901" s="511"/>
      <c r="Z901" s="511"/>
      <c r="AE901" s="511"/>
      <c r="AJ901" s="511"/>
    </row>
    <row r="902" spans="5:36" ht="16.5" customHeight="1" x14ac:dyDescent="0.3">
      <c r="E902" s="511"/>
      <c r="U902" s="511"/>
      <c r="Z902" s="511"/>
      <c r="AE902" s="511"/>
      <c r="AJ902" s="511"/>
    </row>
    <row r="903" spans="5:36" ht="16.5" customHeight="1" x14ac:dyDescent="0.3">
      <c r="E903" s="511"/>
      <c r="U903" s="511"/>
      <c r="Z903" s="511"/>
      <c r="AE903" s="511"/>
      <c r="AJ903" s="511"/>
    </row>
    <row r="904" spans="5:36" ht="16.5" customHeight="1" x14ac:dyDescent="0.3">
      <c r="E904" s="511"/>
      <c r="U904" s="511"/>
      <c r="Z904" s="511"/>
      <c r="AE904" s="511"/>
      <c r="AJ904" s="511"/>
    </row>
    <row r="905" spans="5:36" ht="16.5" customHeight="1" x14ac:dyDescent="0.3">
      <c r="E905" s="511"/>
      <c r="U905" s="511"/>
      <c r="Z905" s="511"/>
      <c r="AE905" s="511"/>
      <c r="AJ905" s="511"/>
    </row>
    <row r="906" spans="5:36" ht="16.5" customHeight="1" x14ac:dyDescent="0.3">
      <c r="E906" s="511"/>
      <c r="U906" s="511"/>
      <c r="Z906" s="511"/>
      <c r="AE906" s="511"/>
      <c r="AJ906" s="511"/>
    </row>
  </sheetData>
  <mergeCells count="42">
    <mergeCell ref="A57:B57"/>
    <mergeCell ref="A43:B43"/>
    <mergeCell ref="A44:B44"/>
    <mergeCell ref="A45:B45"/>
    <mergeCell ref="A47:B47"/>
    <mergeCell ref="A51:D51"/>
    <mergeCell ref="A53:B53"/>
    <mergeCell ref="A54:B54"/>
    <mergeCell ref="A55:B55"/>
    <mergeCell ref="A56:B56"/>
    <mergeCell ref="A46:B46"/>
    <mergeCell ref="A48:B48"/>
    <mergeCell ref="A40:D40"/>
    <mergeCell ref="A42:B42"/>
    <mergeCell ref="A37:B37"/>
    <mergeCell ref="A38:B38"/>
    <mergeCell ref="A32:B32"/>
    <mergeCell ref="A33:B33"/>
    <mergeCell ref="A34:B34"/>
    <mergeCell ref="A35:B35"/>
    <mergeCell ref="A36:B36"/>
    <mergeCell ref="A28:B28"/>
    <mergeCell ref="A29:B29"/>
    <mergeCell ref="AK29:AL29"/>
    <mergeCell ref="AG21:AJ21"/>
    <mergeCell ref="A23:B23"/>
    <mergeCell ref="A24:B24"/>
    <mergeCell ref="A25:B25"/>
    <mergeCell ref="A26:B26"/>
    <mergeCell ref="A27:B27"/>
    <mergeCell ref="A19:B19"/>
    <mergeCell ref="A1:E4"/>
    <mergeCell ref="F1:AB2"/>
    <mergeCell ref="F3:AB4"/>
    <mergeCell ref="D8:E8"/>
    <mergeCell ref="D9:E9"/>
    <mergeCell ref="A13:B13"/>
    <mergeCell ref="A14:B14"/>
    <mergeCell ref="A15:B15"/>
    <mergeCell ref="A16:B16"/>
    <mergeCell ref="A17:B17"/>
    <mergeCell ref="A18:B1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2E73-27D5-4C10-9849-A9CFEB23CBB2}">
  <dimension ref="D4:L33"/>
  <sheetViews>
    <sheetView topLeftCell="A7" workbookViewId="0">
      <selection activeCell="G27" sqref="G27"/>
    </sheetView>
  </sheetViews>
  <sheetFormatPr baseColWidth="10" defaultRowHeight="15" x14ac:dyDescent="0.25"/>
  <cols>
    <col min="4" max="4" width="35.28515625" bestFit="1" customWidth="1"/>
    <col min="5" max="6" width="11.42578125" customWidth="1"/>
  </cols>
  <sheetData>
    <row r="4" spans="4:12" x14ac:dyDescent="0.25">
      <c r="D4" s="316" t="s">
        <v>573</v>
      </c>
      <c r="E4" s="316" t="s">
        <v>155</v>
      </c>
      <c r="F4" s="316" t="s">
        <v>156</v>
      </c>
      <c r="G4" s="316" t="s">
        <v>157</v>
      </c>
      <c r="H4" s="630" t="s">
        <v>204</v>
      </c>
    </row>
    <row r="5" spans="4:12" x14ac:dyDescent="0.25">
      <c r="D5" s="622" t="s">
        <v>569</v>
      </c>
      <c r="E5" s="109">
        <v>1</v>
      </c>
      <c r="F5" s="109">
        <v>14</v>
      </c>
      <c r="G5" s="109">
        <v>9</v>
      </c>
      <c r="H5" s="85">
        <f>G5/$G$8</f>
        <v>9.412256850031374E-4</v>
      </c>
      <c r="L5" s="16"/>
    </row>
    <row r="6" spans="4:12" x14ac:dyDescent="0.25">
      <c r="D6" s="622" t="s">
        <v>570</v>
      </c>
      <c r="E6" s="109">
        <v>10018</v>
      </c>
      <c r="F6" s="109">
        <v>10257</v>
      </c>
      <c r="G6" s="109">
        <v>9510</v>
      </c>
      <c r="H6" s="85">
        <f>G6/$G$8</f>
        <v>0.99456180715331521</v>
      </c>
      <c r="L6" s="16"/>
    </row>
    <row r="7" spans="4:12" x14ac:dyDescent="0.25">
      <c r="D7" s="622" t="s">
        <v>571</v>
      </c>
      <c r="E7" s="109">
        <v>87</v>
      </c>
      <c r="F7" s="109">
        <v>54</v>
      </c>
      <c r="G7" s="109">
        <v>43</v>
      </c>
      <c r="H7" s="85">
        <f>G7/$G$8</f>
        <v>4.4969671616816569E-3</v>
      </c>
      <c r="L7" s="16"/>
    </row>
    <row r="8" spans="4:12" x14ac:dyDescent="0.25">
      <c r="D8" s="622" t="s">
        <v>106</v>
      </c>
      <c r="E8" s="109">
        <f>SUM(E5:E7)</f>
        <v>10106</v>
      </c>
      <c r="F8" s="109">
        <f>SUM(F5:F7)</f>
        <v>10325</v>
      </c>
      <c r="G8" s="109">
        <f>SUM(G5:G7)</f>
        <v>9562</v>
      </c>
      <c r="H8" s="91">
        <f>SUM(H5:H7)</f>
        <v>1</v>
      </c>
      <c r="L8" s="16"/>
    </row>
    <row r="9" spans="4:12" x14ac:dyDescent="0.25">
      <c r="L9" s="16"/>
    </row>
    <row r="10" spans="4:12" x14ac:dyDescent="0.25">
      <c r="L10" s="16"/>
    </row>
    <row r="11" spans="4:12" x14ac:dyDescent="0.25">
      <c r="D11" s="316" t="s">
        <v>574</v>
      </c>
      <c r="E11" s="316" t="s">
        <v>155</v>
      </c>
      <c r="F11" s="316" t="s">
        <v>156</v>
      </c>
      <c r="G11" s="316" t="s">
        <v>157</v>
      </c>
      <c r="H11" s="108"/>
      <c r="L11" s="16"/>
    </row>
    <row r="12" spans="4:12" x14ac:dyDescent="0.25">
      <c r="D12" s="622" t="s">
        <v>561</v>
      </c>
      <c r="E12" s="109">
        <v>6966</v>
      </c>
      <c r="F12" s="109">
        <v>7136</v>
      </c>
      <c r="G12" s="109">
        <v>7079</v>
      </c>
      <c r="H12" s="85">
        <f>G12/$G$20</f>
        <v>0.71780571892111134</v>
      </c>
      <c r="J12" s="16"/>
    </row>
    <row r="13" spans="4:12" x14ac:dyDescent="0.25">
      <c r="D13" s="622" t="s">
        <v>562</v>
      </c>
      <c r="E13" s="109">
        <v>86</v>
      </c>
      <c r="F13" s="109">
        <v>40</v>
      </c>
      <c r="G13" s="109">
        <v>44</v>
      </c>
      <c r="H13" s="85">
        <f t="shared" ref="H13:H19" si="0">G13/$G$20</f>
        <v>4.461569661326303E-3</v>
      </c>
      <c r="J13" s="16"/>
    </row>
    <row r="14" spans="4:12" x14ac:dyDescent="0.25">
      <c r="D14" s="622" t="s">
        <v>563</v>
      </c>
      <c r="E14" s="109">
        <v>1188</v>
      </c>
      <c r="F14" s="109">
        <v>1262</v>
      </c>
      <c r="G14" s="109">
        <v>1395</v>
      </c>
      <c r="H14" s="85">
        <f t="shared" si="0"/>
        <v>0.14145203812614074</v>
      </c>
      <c r="J14" s="16"/>
    </row>
    <row r="15" spans="4:12" x14ac:dyDescent="0.25">
      <c r="D15" s="622" t="s">
        <v>564</v>
      </c>
      <c r="E15" s="109">
        <v>4</v>
      </c>
      <c r="F15" s="109">
        <v>3</v>
      </c>
      <c r="G15" s="109">
        <v>6</v>
      </c>
      <c r="H15" s="85">
        <f t="shared" si="0"/>
        <v>6.0839586290813217E-4</v>
      </c>
      <c r="J15" s="16"/>
    </row>
    <row r="16" spans="4:12" x14ac:dyDescent="0.25">
      <c r="D16" s="622" t="s">
        <v>565</v>
      </c>
      <c r="E16" s="109">
        <v>884</v>
      </c>
      <c r="F16" s="109">
        <v>828</v>
      </c>
      <c r="G16" s="109">
        <v>621</v>
      </c>
      <c r="H16" s="85">
        <f t="shared" si="0"/>
        <v>6.2968971810991689E-2</v>
      </c>
      <c r="J16" s="16"/>
    </row>
    <row r="17" spans="4:10" x14ac:dyDescent="0.25">
      <c r="D17" s="622" t="s">
        <v>566</v>
      </c>
      <c r="E17" s="109">
        <v>871</v>
      </c>
      <c r="F17" s="109">
        <v>915</v>
      </c>
      <c r="G17" s="109">
        <v>674</v>
      </c>
      <c r="H17" s="85">
        <f t="shared" si="0"/>
        <v>6.8343135266680191E-2</v>
      </c>
      <c r="J17" s="16"/>
    </row>
    <row r="18" spans="4:10" x14ac:dyDescent="0.25">
      <c r="D18" s="622" t="s">
        <v>567</v>
      </c>
      <c r="E18" s="109">
        <v>12</v>
      </c>
      <c r="F18" s="109">
        <v>22</v>
      </c>
      <c r="G18" s="109">
        <v>10</v>
      </c>
      <c r="H18" s="85">
        <f t="shared" si="0"/>
        <v>1.013993104846887E-3</v>
      </c>
      <c r="J18" s="16"/>
    </row>
    <row r="19" spans="4:10" x14ac:dyDescent="0.25">
      <c r="D19" s="622" t="s">
        <v>568</v>
      </c>
      <c r="E19" s="109">
        <v>95</v>
      </c>
      <c r="F19" s="109">
        <v>119</v>
      </c>
      <c r="G19" s="109">
        <v>33</v>
      </c>
      <c r="H19" s="85">
        <f t="shared" si="0"/>
        <v>3.3461772459947273E-3</v>
      </c>
      <c r="J19" s="16"/>
    </row>
    <row r="20" spans="4:10" x14ac:dyDescent="0.25">
      <c r="D20" s="622" t="s">
        <v>106</v>
      </c>
      <c r="E20" s="109">
        <f>SUM(E12:E19)</f>
        <v>10106</v>
      </c>
      <c r="F20" s="109">
        <f>SUM(F12:F19)</f>
        <v>10325</v>
      </c>
      <c r="G20" s="109">
        <f>SUM(G12:G19)</f>
        <v>9862</v>
      </c>
      <c r="H20" s="108">
        <f>SUM(H12:H19)</f>
        <v>1</v>
      </c>
      <c r="J20" s="16"/>
    </row>
    <row r="21" spans="4:10" x14ac:dyDescent="0.25">
      <c r="D21" s="59"/>
      <c r="J21" s="16"/>
    </row>
    <row r="22" spans="4:10" x14ac:dyDescent="0.25">
      <c r="D22" s="19"/>
      <c r="E22" s="19"/>
      <c r="F22" s="19"/>
      <c r="G22" s="19"/>
    </row>
    <row r="23" spans="4:10" x14ac:dyDescent="0.25">
      <c r="D23" s="316" t="s">
        <v>575</v>
      </c>
      <c r="E23" s="316" t="s">
        <v>155</v>
      </c>
      <c r="F23" s="316" t="s">
        <v>156</v>
      </c>
      <c r="G23" s="316" t="s">
        <v>157</v>
      </c>
    </row>
    <row r="24" spans="4:10" x14ac:dyDescent="0.25">
      <c r="D24" s="622" t="s">
        <v>30</v>
      </c>
      <c r="E24" s="109">
        <v>743</v>
      </c>
      <c r="F24" s="109">
        <v>889</v>
      </c>
      <c r="G24" s="109">
        <v>643</v>
      </c>
      <c r="H24" s="85">
        <f>G24/$G$27</f>
        <v>0.96546546546546541</v>
      </c>
    </row>
    <row r="25" spans="4:10" x14ac:dyDescent="0.25">
      <c r="D25" s="622" t="s">
        <v>572</v>
      </c>
      <c r="E25" s="109">
        <v>106</v>
      </c>
      <c r="F25" s="109">
        <v>21</v>
      </c>
      <c r="G25" s="109">
        <v>17</v>
      </c>
      <c r="H25" s="85">
        <f>G25/$G$27</f>
        <v>2.5525525525525526E-2</v>
      </c>
    </row>
    <row r="26" spans="4:10" x14ac:dyDescent="0.25">
      <c r="D26" s="622" t="s">
        <v>34</v>
      </c>
      <c r="E26" s="109">
        <v>62</v>
      </c>
      <c r="F26" s="109">
        <v>8</v>
      </c>
      <c r="G26" s="109">
        <v>6</v>
      </c>
      <c r="H26" s="85">
        <f>G26/$G$27</f>
        <v>9.0090090090090089E-3</v>
      </c>
    </row>
    <row r="27" spans="4:10" x14ac:dyDescent="0.25">
      <c r="D27" s="622" t="s">
        <v>106</v>
      </c>
      <c r="E27" s="109">
        <f>SUM(E24:E26)</f>
        <v>911</v>
      </c>
      <c r="F27" s="109">
        <f>SUM(F24:F26)</f>
        <v>918</v>
      </c>
      <c r="G27" s="109">
        <f>SUM(G24:G26)</f>
        <v>666</v>
      </c>
      <c r="H27" s="108">
        <f>SUM(H24:H26)</f>
        <v>1</v>
      </c>
    </row>
    <row r="28" spans="4:10" x14ac:dyDescent="0.25">
      <c r="D28" s="59"/>
    </row>
    <row r="30" spans="4:10" x14ac:dyDescent="0.25">
      <c r="D30" s="316" t="s">
        <v>576</v>
      </c>
      <c r="E30" s="316" t="s">
        <v>155</v>
      </c>
      <c r="F30" s="316" t="s">
        <v>156</v>
      </c>
      <c r="G30" s="316" t="s">
        <v>157</v>
      </c>
    </row>
    <row r="31" spans="4:10" x14ac:dyDescent="0.25">
      <c r="D31" s="623" t="s">
        <v>577</v>
      </c>
      <c r="E31" s="109">
        <v>10059</v>
      </c>
      <c r="F31" s="109">
        <v>10292</v>
      </c>
      <c r="G31" s="109">
        <v>9823</v>
      </c>
      <c r="H31" s="85">
        <f>G31/$G$33</f>
        <v>0.9960454268910971</v>
      </c>
    </row>
    <row r="32" spans="4:10" x14ac:dyDescent="0.25">
      <c r="D32" s="623" t="s">
        <v>578</v>
      </c>
      <c r="E32" s="109">
        <v>47</v>
      </c>
      <c r="F32" s="109">
        <v>33</v>
      </c>
      <c r="G32" s="109">
        <v>39</v>
      </c>
      <c r="H32" s="85">
        <f>G32/$G$33</f>
        <v>3.9545731089028592E-3</v>
      </c>
    </row>
    <row r="33" spans="4:7" x14ac:dyDescent="0.25">
      <c r="D33" s="622" t="s">
        <v>106</v>
      </c>
      <c r="E33" s="109">
        <f>SUM(E30:E32)</f>
        <v>10106</v>
      </c>
      <c r="F33" s="109">
        <f>SUM(F30:F32)</f>
        <v>10325</v>
      </c>
      <c r="G33" s="109">
        <f>SUM(G30:G32)</f>
        <v>9862</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4424-0041-49E4-AAAE-D8489EA0DCDE}">
  <dimension ref="D5:Q38"/>
  <sheetViews>
    <sheetView topLeftCell="A12" workbookViewId="0">
      <selection activeCell="W23" sqref="W23"/>
    </sheetView>
  </sheetViews>
  <sheetFormatPr baseColWidth="10" defaultRowHeight="15" x14ac:dyDescent="0.25"/>
  <sheetData>
    <row r="5" spans="4:17" ht="15.75" thickBot="1" x14ac:dyDescent="0.3"/>
    <row r="6" spans="4:17" ht="16.5" thickBot="1" x14ac:dyDescent="0.3">
      <c r="D6" s="152" t="s">
        <v>206</v>
      </c>
      <c r="E6" s="244">
        <v>44562</v>
      </c>
      <c r="F6" s="244">
        <v>44593</v>
      </c>
      <c r="G6" s="244">
        <v>44621</v>
      </c>
      <c r="H6" s="244">
        <v>44652</v>
      </c>
      <c r="I6" s="244">
        <v>44682</v>
      </c>
      <c r="J6" s="244">
        <v>44713</v>
      </c>
      <c r="K6" s="244">
        <v>44743</v>
      </c>
      <c r="L6" s="244">
        <v>44774</v>
      </c>
      <c r="M6" s="244">
        <v>44805</v>
      </c>
      <c r="N6" s="244">
        <v>44835</v>
      </c>
      <c r="O6" s="244">
        <v>44866</v>
      </c>
      <c r="P6" s="244">
        <v>44896</v>
      </c>
      <c r="Q6" s="17" t="s">
        <v>106</v>
      </c>
    </row>
    <row r="7" spans="4:17" x14ac:dyDescent="0.25">
      <c r="D7" s="154" t="s">
        <v>150</v>
      </c>
      <c r="E7" s="34"/>
      <c r="F7" s="50"/>
      <c r="G7" s="25"/>
      <c r="H7" s="60"/>
      <c r="I7" s="47"/>
      <c r="J7" s="47"/>
      <c r="K7" s="55"/>
      <c r="L7" s="47"/>
      <c r="M7" s="55"/>
      <c r="N7" s="47">
        <v>188</v>
      </c>
      <c r="O7" s="55">
        <v>174</v>
      </c>
      <c r="P7" s="55">
        <v>161</v>
      </c>
      <c r="Q7" s="55">
        <f>SUM(E7:P7)</f>
        <v>523</v>
      </c>
    </row>
    <row r="8" spans="4:17" x14ac:dyDescent="0.25">
      <c r="D8" s="155" t="s">
        <v>148</v>
      </c>
      <c r="E8" s="25"/>
      <c r="F8" s="51"/>
      <c r="G8" s="25"/>
      <c r="H8" s="60"/>
      <c r="I8" s="47"/>
      <c r="J8" s="47"/>
      <c r="K8" s="55"/>
      <c r="L8" s="47"/>
      <c r="M8" s="55"/>
      <c r="N8" s="47">
        <v>207</v>
      </c>
      <c r="O8" s="55">
        <v>242</v>
      </c>
      <c r="P8" s="55">
        <v>228</v>
      </c>
      <c r="Q8" s="55">
        <f>SUM(E8:P8)</f>
        <v>677</v>
      </c>
    </row>
    <row r="9" spans="4:17" ht="15.75" thickBot="1" x14ac:dyDescent="0.3">
      <c r="D9" s="156" t="s">
        <v>207</v>
      </c>
      <c r="E9" s="28"/>
      <c r="F9" s="84"/>
      <c r="G9" s="28"/>
      <c r="H9" s="61"/>
      <c r="I9" s="54"/>
      <c r="J9" s="54"/>
      <c r="K9" s="202"/>
      <c r="L9" s="54"/>
      <c r="M9" s="202"/>
      <c r="N9" s="54">
        <v>60</v>
      </c>
      <c r="O9" s="202">
        <v>34</v>
      </c>
      <c r="P9" s="202">
        <v>23</v>
      </c>
      <c r="Q9" s="55">
        <f>SUM(E9:P9)</f>
        <v>117</v>
      </c>
    </row>
    <row r="10" spans="4:17" ht="15.75" thickBot="1" x14ac:dyDescent="0.3">
      <c r="D10" s="36" t="s">
        <v>164</v>
      </c>
      <c r="E10" s="36">
        <f t="shared" ref="E10:N10" si="0">SUM(E7:E9)</f>
        <v>0</v>
      </c>
      <c r="F10" s="36">
        <f t="shared" si="0"/>
        <v>0</v>
      </c>
      <c r="G10" s="36">
        <f t="shared" si="0"/>
        <v>0</v>
      </c>
      <c r="H10" s="36">
        <f t="shared" si="0"/>
        <v>0</v>
      </c>
      <c r="I10" s="36">
        <f t="shared" si="0"/>
        <v>0</v>
      </c>
      <c r="J10" s="36">
        <f t="shared" si="0"/>
        <v>0</v>
      </c>
      <c r="K10" s="36">
        <f t="shared" si="0"/>
        <v>0</v>
      </c>
      <c r="L10" s="36">
        <f t="shared" si="0"/>
        <v>0</v>
      </c>
      <c r="M10" s="36">
        <f t="shared" si="0"/>
        <v>0</v>
      </c>
      <c r="N10" s="36">
        <f t="shared" si="0"/>
        <v>455</v>
      </c>
      <c r="O10" s="36">
        <f>SUM(O7:O9)</f>
        <v>450</v>
      </c>
      <c r="P10" s="36">
        <f>SUM(P7:P9)</f>
        <v>412</v>
      </c>
      <c r="Q10" s="157">
        <f>Q7+Q8+Q9</f>
        <v>1317</v>
      </c>
    </row>
    <row r="12" spans="4:17" ht="15.75" thickBot="1" x14ac:dyDescent="0.3"/>
    <row r="13" spans="4:17" ht="16.5" thickBot="1" x14ac:dyDescent="0.3">
      <c r="D13" s="152" t="s">
        <v>206</v>
      </c>
      <c r="E13" s="244">
        <v>44927</v>
      </c>
      <c r="F13" s="244">
        <v>44958</v>
      </c>
      <c r="G13" s="244">
        <v>44986</v>
      </c>
      <c r="H13" s="244">
        <v>45017</v>
      </c>
      <c r="I13" s="244">
        <v>45047</v>
      </c>
      <c r="J13" s="244">
        <v>45078</v>
      </c>
      <c r="K13" s="244">
        <v>45108</v>
      </c>
      <c r="L13" s="244">
        <v>45139</v>
      </c>
      <c r="M13" s="244">
        <v>45170</v>
      </c>
      <c r="N13" s="244">
        <v>45200</v>
      </c>
      <c r="O13" s="244">
        <v>45231</v>
      </c>
      <c r="P13" s="244">
        <v>45261</v>
      </c>
      <c r="Q13" s="17" t="s">
        <v>106</v>
      </c>
    </row>
    <row r="14" spans="4:17" x14ac:dyDescent="0.25">
      <c r="D14" s="154" t="s">
        <v>150</v>
      </c>
      <c r="E14" s="34">
        <v>178</v>
      </c>
      <c r="F14" s="50">
        <v>174</v>
      </c>
      <c r="G14" s="25">
        <v>170</v>
      </c>
      <c r="H14" s="60">
        <v>134</v>
      </c>
      <c r="I14" s="47">
        <v>157</v>
      </c>
      <c r="J14" s="47">
        <v>152</v>
      </c>
      <c r="K14" s="55">
        <v>157</v>
      </c>
      <c r="L14" s="47">
        <v>169</v>
      </c>
      <c r="M14" s="55">
        <v>147</v>
      </c>
      <c r="N14" s="47">
        <v>148</v>
      </c>
      <c r="O14" s="55">
        <v>124</v>
      </c>
      <c r="P14" s="55">
        <v>155</v>
      </c>
      <c r="Q14" s="55">
        <f>SUM(E14:P14)</f>
        <v>1865</v>
      </c>
    </row>
    <row r="15" spans="4:17" x14ac:dyDescent="0.25">
      <c r="D15" s="155" t="s">
        <v>148</v>
      </c>
      <c r="E15" s="25">
        <v>235</v>
      </c>
      <c r="F15" s="51">
        <v>194</v>
      </c>
      <c r="G15" s="25">
        <v>187</v>
      </c>
      <c r="H15" s="60">
        <v>166</v>
      </c>
      <c r="I15" s="47">
        <v>177</v>
      </c>
      <c r="J15" s="47">
        <v>151</v>
      </c>
      <c r="K15" s="55">
        <v>175</v>
      </c>
      <c r="L15" s="47">
        <v>199</v>
      </c>
      <c r="M15" s="55">
        <v>167</v>
      </c>
      <c r="N15" s="47">
        <v>121</v>
      </c>
      <c r="O15" s="55">
        <v>147</v>
      </c>
      <c r="P15" s="55">
        <v>88</v>
      </c>
      <c r="Q15" s="55">
        <f>SUM(E15:P15)</f>
        <v>2007</v>
      </c>
    </row>
    <row r="16" spans="4:17" ht="15.75" thickBot="1" x14ac:dyDescent="0.3">
      <c r="D16" s="156" t="s">
        <v>207</v>
      </c>
      <c r="E16" s="28">
        <v>93</v>
      </c>
      <c r="F16" s="84">
        <v>66</v>
      </c>
      <c r="G16" s="28">
        <v>29</v>
      </c>
      <c r="H16" s="61">
        <v>33</v>
      </c>
      <c r="I16" s="54">
        <v>26</v>
      </c>
      <c r="J16" s="54">
        <v>27</v>
      </c>
      <c r="K16" s="202">
        <v>41</v>
      </c>
      <c r="L16" s="54">
        <v>22</v>
      </c>
      <c r="M16" s="202">
        <v>33</v>
      </c>
      <c r="N16" s="54">
        <v>17</v>
      </c>
      <c r="O16" s="202">
        <v>32</v>
      </c>
      <c r="P16" s="202">
        <v>29</v>
      </c>
      <c r="Q16" s="55">
        <f>SUM(E16:P16)</f>
        <v>448</v>
      </c>
    </row>
    <row r="17" spans="4:17" ht="15.75" thickBot="1" x14ac:dyDescent="0.3">
      <c r="D17" s="36" t="s">
        <v>164</v>
      </c>
      <c r="E17" s="36">
        <f t="shared" ref="E17:N17" si="1">SUM(E14:E16)</f>
        <v>506</v>
      </c>
      <c r="F17" s="36">
        <f t="shared" si="1"/>
        <v>434</v>
      </c>
      <c r="G17" s="36">
        <f t="shared" si="1"/>
        <v>386</v>
      </c>
      <c r="H17" s="36">
        <f t="shared" si="1"/>
        <v>333</v>
      </c>
      <c r="I17" s="36">
        <f t="shared" si="1"/>
        <v>360</v>
      </c>
      <c r="J17" s="36">
        <f t="shared" si="1"/>
        <v>330</v>
      </c>
      <c r="K17" s="36">
        <f t="shared" si="1"/>
        <v>373</v>
      </c>
      <c r="L17" s="36">
        <f t="shared" si="1"/>
        <v>390</v>
      </c>
      <c r="M17" s="36">
        <f t="shared" si="1"/>
        <v>347</v>
      </c>
      <c r="N17" s="36">
        <f t="shared" si="1"/>
        <v>286</v>
      </c>
      <c r="O17" s="36">
        <f>SUM(O14:O16)</f>
        <v>303</v>
      </c>
      <c r="P17" s="36">
        <f>SUM(P14:P16)</f>
        <v>272</v>
      </c>
      <c r="Q17" s="157">
        <f>SUM(E17:P17)</f>
        <v>4320</v>
      </c>
    </row>
    <row r="19" spans="4:17" ht="15.75" thickBot="1" x14ac:dyDescent="0.3"/>
    <row r="20" spans="4:17" ht="16.5" thickBot="1" x14ac:dyDescent="0.3">
      <c r="D20" s="152" t="s">
        <v>206</v>
      </c>
      <c r="E20" s="244">
        <v>45292</v>
      </c>
      <c r="F20" s="244">
        <v>45323</v>
      </c>
      <c r="G20" s="244">
        <v>45352</v>
      </c>
      <c r="H20" s="244">
        <v>45383</v>
      </c>
      <c r="I20" s="244">
        <v>45413</v>
      </c>
      <c r="J20" s="244">
        <v>45444</v>
      </c>
      <c r="K20" s="244">
        <v>45474</v>
      </c>
      <c r="L20" s="244">
        <v>45505</v>
      </c>
      <c r="M20" s="244">
        <v>45536</v>
      </c>
      <c r="N20" s="244">
        <v>45566</v>
      </c>
      <c r="O20" s="244">
        <v>45597</v>
      </c>
      <c r="P20" s="244">
        <v>45627</v>
      </c>
      <c r="Q20" s="17" t="s">
        <v>106</v>
      </c>
    </row>
    <row r="21" spans="4:17" x14ac:dyDescent="0.25">
      <c r="D21" s="154" t="s">
        <v>150</v>
      </c>
      <c r="E21" s="47">
        <v>185</v>
      </c>
      <c r="F21" s="47">
        <v>189</v>
      </c>
      <c r="G21" s="47">
        <v>168</v>
      </c>
      <c r="H21" s="47">
        <v>192</v>
      </c>
      <c r="I21" s="47">
        <v>178</v>
      </c>
      <c r="J21" s="47">
        <v>154</v>
      </c>
      <c r="K21" s="47">
        <v>176</v>
      </c>
      <c r="L21" s="47">
        <v>184</v>
      </c>
      <c r="M21" s="47">
        <v>196</v>
      </c>
      <c r="N21" s="47">
        <v>154</v>
      </c>
      <c r="O21" s="47">
        <v>152</v>
      </c>
      <c r="P21" s="47">
        <v>127</v>
      </c>
      <c r="Q21" s="55">
        <f>SUM(E21:P21)</f>
        <v>2055</v>
      </c>
    </row>
    <row r="22" spans="4:17" x14ac:dyDescent="0.25">
      <c r="D22" s="155" t="s">
        <v>148</v>
      </c>
      <c r="E22" s="47">
        <v>146</v>
      </c>
      <c r="F22" s="47">
        <v>152</v>
      </c>
      <c r="G22" s="47">
        <v>96</v>
      </c>
      <c r="H22" s="47">
        <v>153</v>
      </c>
      <c r="I22" s="47">
        <v>167</v>
      </c>
      <c r="J22" s="47">
        <v>94</v>
      </c>
      <c r="K22" s="47">
        <v>116</v>
      </c>
      <c r="L22" s="47">
        <v>94</v>
      </c>
      <c r="M22" s="47">
        <v>124</v>
      </c>
      <c r="N22" s="47">
        <v>108</v>
      </c>
      <c r="O22" s="47">
        <v>112</v>
      </c>
      <c r="P22" s="47">
        <v>98</v>
      </c>
      <c r="Q22" s="55">
        <f>SUM(E22:P22)</f>
        <v>1460</v>
      </c>
    </row>
    <row r="23" spans="4:17" ht="15.75" thickBot="1" x14ac:dyDescent="0.3">
      <c r="D23" s="156" t="s">
        <v>207</v>
      </c>
      <c r="E23" s="47">
        <v>16</v>
      </c>
      <c r="F23" s="47">
        <v>26</v>
      </c>
      <c r="G23" s="47">
        <v>11</v>
      </c>
      <c r="H23" s="47">
        <v>29</v>
      </c>
      <c r="I23" s="47">
        <v>33</v>
      </c>
      <c r="J23" s="47">
        <v>23</v>
      </c>
      <c r="K23" s="47">
        <v>33</v>
      </c>
      <c r="L23" s="47">
        <v>31</v>
      </c>
      <c r="M23" s="47">
        <v>27</v>
      </c>
      <c r="N23" s="47">
        <v>19</v>
      </c>
      <c r="O23" s="47">
        <v>26</v>
      </c>
      <c r="P23" s="47">
        <v>23</v>
      </c>
      <c r="Q23" s="55">
        <f>SUM(E23:P23)</f>
        <v>297</v>
      </c>
    </row>
    <row r="24" spans="4:17" ht="15.75" thickBot="1" x14ac:dyDescent="0.3">
      <c r="D24" s="36" t="s">
        <v>164</v>
      </c>
      <c r="E24" s="36">
        <f t="shared" ref="E24:N24" si="2">SUM(E21:E23)</f>
        <v>347</v>
      </c>
      <c r="F24" s="36">
        <f t="shared" si="2"/>
        <v>367</v>
      </c>
      <c r="G24" s="36">
        <f t="shared" si="2"/>
        <v>275</v>
      </c>
      <c r="H24" s="36">
        <f t="shared" si="2"/>
        <v>374</v>
      </c>
      <c r="I24" s="36">
        <f t="shared" si="2"/>
        <v>378</v>
      </c>
      <c r="J24" s="36">
        <f t="shared" si="2"/>
        <v>271</v>
      </c>
      <c r="K24" s="36">
        <f t="shared" si="2"/>
        <v>325</v>
      </c>
      <c r="L24" s="36">
        <f t="shared" si="2"/>
        <v>309</v>
      </c>
      <c r="M24" s="36">
        <f t="shared" si="2"/>
        <v>347</v>
      </c>
      <c r="N24" s="36">
        <f t="shared" si="2"/>
        <v>281</v>
      </c>
      <c r="O24" s="36">
        <f>SUM(O21:O23)</f>
        <v>290</v>
      </c>
      <c r="P24" s="36">
        <f>SUM(P21:P23)</f>
        <v>248</v>
      </c>
      <c r="Q24" s="157">
        <f>SUM(E24:P24)</f>
        <v>3812</v>
      </c>
    </row>
    <row r="26" spans="4:17" ht="15.75" thickBot="1" x14ac:dyDescent="0.3"/>
    <row r="27" spans="4:17" ht="16.5" thickBot="1" x14ac:dyDescent="0.3">
      <c r="D27" s="152" t="s">
        <v>206</v>
      </c>
      <c r="E27" s="244">
        <v>45658</v>
      </c>
      <c r="F27" s="244">
        <v>45689</v>
      </c>
      <c r="G27" s="244">
        <v>45717</v>
      </c>
      <c r="H27" s="244">
        <v>45748</v>
      </c>
      <c r="I27" s="244">
        <v>45778</v>
      </c>
      <c r="J27" s="244">
        <v>45809</v>
      </c>
      <c r="K27" s="244">
        <v>45839</v>
      </c>
      <c r="L27" s="244">
        <v>45870</v>
      </c>
      <c r="M27" s="244">
        <v>45901</v>
      </c>
      <c r="N27" s="244">
        <v>45931</v>
      </c>
      <c r="O27" s="244">
        <v>45962</v>
      </c>
      <c r="P27" s="244">
        <v>45992</v>
      </c>
      <c r="Q27" s="17" t="s">
        <v>106</v>
      </c>
    </row>
    <row r="28" spans="4:17" x14ac:dyDescent="0.25">
      <c r="D28" s="154" t="s">
        <v>150</v>
      </c>
      <c r="E28" s="34">
        <v>188</v>
      </c>
      <c r="F28" s="50">
        <v>188</v>
      </c>
      <c r="G28" s="25">
        <v>179</v>
      </c>
      <c r="H28" s="60">
        <v>495</v>
      </c>
      <c r="I28" s="47">
        <v>179</v>
      </c>
      <c r="J28" s="47">
        <v>163</v>
      </c>
      <c r="K28" s="55">
        <v>172</v>
      </c>
      <c r="L28" s="47">
        <v>195</v>
      </c>
      <c r="M28" s="55">
        <v>193</v>
      </c>
      <c r="N28" s="47">
        <v>185</v>
      </c>
      <c r="O28" s="55">
        <v>166</v>
      </c>
      <c r="P28" s="47">
        <v>206</v>
      </c>
      <c r="Q28" s="55">
        <v>2509</v>
      </c>
    </row>
    <row r="29" spans="4:17" x14ac:dyDescent="0.25">
      <c r="D29" s="155" t="s">
        <v>148</v>
      </c>
      <c r="E29" s="25">
        <v>105</v>
      </c>
      <c r="F29" s="51">
        <v>165</v>
      </c>
      <c r="G29" s="25">
        <v>189</v>
      </c>
      <c r="H29" s="60">
        <v>115</v>
      </c>
      <c r="I29" s="47">
        <v>112</v>
      </c>
      <c r="J29" s="47">
        <v>122</v>
      </c>
      <c r="K29" s="55">
        <v>178</v>
      </c>
      <c r="L29" s="47">
        <v>117</v>
      </c>
      <c r="M29" s="55">
        <v>137</v>
      </c>
      <c r="N29" s="47">
        <v>117</v>
      </c>
      <c r="O29" s="55">
        <v>144</v>
      </c>
      <c r="P29" s="47">
        <v>106</v>
      </c>
      <c r="Q29" s="55">
        <v>1607</v>
      </c>
    </row>
    <row r="30" spans="4:17" ht="15.75" thickBot="1" x14ac:dyDescent="0.3">
      <c r="D30" s="156" t="s">
        <v>207</v>
      </c>
      <c r="E30" s="28">
        <v>31</v>
      </c>
      <c r="F30" s="84">
        <v>20</v>
      </c>
      <c r="G30" s="28">
        <v>23</v>
      </c>
      <c r="H30" s="61">
        <v>16</v>
      </c>
      <c r="I30" s="54">
        <v>38</v>
      </c>
      <c r="J30" s="54">
        <v>31</v>
      </c>
      <c r="K30" s="202">
        <v>44</v>
      </c>
      <c r="L30" s="54">
        <v>19</v>
      </c>
      <c r="M30" s="202">
        <v>39</v>
      </c>
      <c r="N30" s="54">
        <v>254</v>
      </c>
      <c r="O30" s="202">
        <v>136</v>
      </c>
      <c r="P30" s="54">
        <v>39</v>
      </c>
      <c r="Q30" s="55">
        <v>690</v>
      </c>
    </row>
    <row r="31" spans="4:17" ht="15.75" thickBot="1" x14ac:dyDescent="0.3">
      <c r="D31" s="36" t="s">
        <v>164</v>
      </c>
      <c r="E31" s="36">
        <f t="shared" ref="E31:N31" si="3">SUM(E28:E30)</f>
        <v>324</v>
      </c>
      <c r="F31" s="36">
        <f t="shared" si="3"/>
        <v>373</v>
      </c>
      <c r="G31" s="36">
        <f t="shared" si="3"/>
        <v>391</v>
      </c>
      <c r="H31" s="36">
        <f t="shared" si="3"/>
        <v>626</v>
      </c>
      <c r="I31" s="36">
        <f t="shared" si="3"/>
        <v>329</v>
      </c>
      <c r="J31" s="36">
        <f t="shared" si="3"/>
        <v>316</v>
      </c>
      <c r="K31" s="36">
        <f t="shared" si="3"/>
        <v>394</v>
      </c>
      <c r="L31" s="36">
        <f t="shared" si="3"/>
        <v>331</v>
      </c>
      <c r="M31" s="36">
        <f t="shared" si="3"/>
        <v>369</v>
      </c>
      <c r="N31" s="36">
        <f t="shared" si="3"/>
        <v>556</v>
      </c>
      <c r="O31" s="36">
        <f>SUM(O28:O30)</f>
        <v>446</v>
      </c>
      <c r="P31" s="36">
        <f>SUM(P28:P30)</f>
        <v>351</v>
      </c>
      <c r="Q31" s="157">
        <f>SUM(E31:P31)</f>
        <v>4806</v>
      </c>
    </row>
    <row r="33" spans="4:17" ht="15.75" thickBot="1" x14ac:dyDescent="0.3"/>
    <row r="34" spans="4:17" ht="16.5" thickBot="1" x14ac:dyDescent="0.3">
      <c r="D34" s="152" t="s">
        <v>206</v>
      </c>
      <c r="E34" s="244">
        <v>46023</v>
      </c>
      <c r="F34" s="244">
        <v>46054</v>
      </c>
      <c r="G34" s="244">
        <v>46082</v>
      </c>
      <c r="H34" s="244">
        <v>46113</v>
      </c>
      <c r="I34" s="244">
        <v>46143</v>
      </c>
      <c r="J34" s="244">
        <v>46174</v>
      </c>
      <c r="K34" s="244">
        <v>46204</v>
      </c>
      <c r="L34" s="244">
        <v>46235</v>
      </c>
      <c r="M34" s="244">
        <v>46266</v>
      </c>
      <c r="N34" s="244">
        <v>46296</v>
      </c>
      <c r="O34" s="244">
        <v>46327</v>
      </c>
      <c r="P34" s="244">
        <v>46357</v>
      </c>
      <c r="Q34" s="17" t="s">
        <v>106</v>
      </c>
    </row>
    <row r="35" spans="4:17" x14ac:dyDescent="0.25">
      <c r="D35" s="154" t="s">
        <v>150</v>
      </c>
      <c r="E35" s="34">
        <v>195</v>
      </c>
      <c r="F35" s="50">
        <v>240</v>
      </c>
      <c r="G35" s="25">
        <v>180</v>
      </c>
      <c r="H35" s="60">
        <v>239</v>
      </c>
      <c r="I35" s="47">
        <v>178</v>
      </c>
      <c r="J35" s="47">
        <v>194</v>
      </c>
      <c r="K35" s="55"/>
      <c r="L35" s="47"/>
      <c r="M35" s="55"/>
      <c r="N35" s="47"/>
      <c r="O35" s="55"/>
      <c r="P35" s="55"/>
      <c r="Q35" s="55">
        <f>SUM(E35:N35)</f>
        <v>1226</v>
      </c>
    </row>
    <row r="36" spans="4:17" x14ac:dyDescent="0.25">
      <c r="D36" s="155" t="s">
        <v>148</v>
      </c>
      <c r="E36" s="25">
        <v>105</v>
      </c>
      <c r="F36" s="51">
        <v>131</v>
      </c>
      <c r="G36" s="25">
        <v>131</v>
      </c>
      <c r="H36" s="60">
        <v>143</v>
      </c>
      <c r="I36" s="47">
        <v>136</v>
      </c>
      <c r="J36" s="47">
        <v>99</v>
      </c>
      <c r="K36" s="55"/>
      <c r="L36" s="47"/>
      <c r="M36" s="55"/>
      <c r="N36" s="47"/>
      <c r="O36" s="55"/>
      <c r="P36" s="55"/>
      <c r="Q36" s="55">
        <f>SUM(E36:N36)</f>
        <v>745</v>
      </c>
    </row>
    <row r="37" spans="4:17" ht="15.75" thickBot="1" x14ac:dyDescent="0.3">
      <c r="D37" s="156" t="s">
        <v>207</v>
      </c>
      <c r="E37" s="28">
        <v>40</v>
      </c>
      <c r="F37" s="84">
        <v>32</v>
      </c>
      <c r="G37" s="28">
        <v>58</v>
      </c>
      <c r="H37" s="61">
        <v>81</v>
      </c>
      <c r="I37" s="54">
        <v>58</v>
      </c>
      <c r="J37" s="54">
        <v>54</v>
      </c>
      <c r="K37" s="202"/>
      <c r="L37" s="54"/>
      <c r="M37" s="202"/>
      <c r="N37" s="54"/>
      <c r="O37" s="202"/>
      <c r="P37" s="202"/>
      <c r="Q37" s="55">
        <f>SUM(E37:N37)</f>
        <v>323</v>
      </c>
    </row>
    <row r="38" spans="4:17" ht="15.75" thickBot="1" x14ac:dyDescent="0.3">
      <c r="D38" s="36" t="s">
        <v>164</v>
      </c>
      <c r="E38" s="36">
        <f t="shared" ref="E38:J38" si="4">SUM(E35:E37)</f>
        <v>340</v>
      </c>
      <c r="F38" s="36">
        <f t="shared" si="4"/>
        <v>403</v>
      </c>
      <c r="G38" s="36">
        <f t="shared" si="4"/>
        <v>369</v>
      </c>
      <c r="H38" s="36">
        <f t="shared" si="4"/>
        <v>463</v>
      </c>
      <c r="I38" s="36">
        <f t="shared" si="4"/>
        <v>372</v>
      </c>
      <c r="J38" s="36">
        <f t="shared" si="4"/>
        <v>347</v>
      </c>
      <c r="K38" s="229"/>
      <c r="L38" s="229"/>
      <c r="M38" s="229"/>
      <c r="N38" s="229"/>
      <c r="O38" s="610"/>
      <c r="P38" s="610"/>
      <c r="Q38" s="35">
        <f>SUM(Q35:Q37)</f>
        <v>2294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Hoja1</vt:lpstr>
      <vt:lpstr>Hoja10</vt:lpstr>
      <vt:lpstr>SEPTIEMBRE</vt:lpstr>
      <vt:lpstr>TDAGOSTO</vt:lpstr>
      <vt:lpstr>EST AGOSTO</vt:lpstr>
      <vt:lpstr>Acueducto</vt:lpstr>
      <vt:lpstr>Alcantarillado</vt:lpstr>
      <vt:lpstr>Aseo</vt:lpstr>
      <vt:lpstr>Alumbrado Público</vt:lpstr>
      <vt:lpstr>Servicios Inmobiliarios</vt:lpstr>
      <vt:lpstr>Servicios Complementarios</vt:lpstr>
      <vt:lpstr>TyDRcd</vt:lpstr>
      <vt:lpstr>PQR</vt:lpstr>
      <vt:lpstr>INFRA</vt:lpstr>
      <vt:lpstr>PQR POR SERVICIO</vt:lpstr>
      <vt:lpstr>PROMEDIO RESPUESTA</vt:lpstr>
      <vt:lpstr>Hoja3</vt:lpstr>
      <vt:lpstr>pqqqqr</vt:lpstr>
      <vt:lpstr>Hoja4</vt:lpstr>
      <vt:lpstr>Hoja6</vt:lpstr>
      <vt:lpstr>ENCUESTA</vt:lpstr>
      <vt:lpstr>TD ENCUESTA</vt:lpstr>
      <vt:lpstr>ESTENCUESTA</vt:lpstr>
      <vt:lpstr>Hoja5</vt:lpstr>
      <vt:lpstr>BUZON</vt:lpstr>
      <vt:lpstr>Hoja2</vt:lpstr>
      <vt:lpstr>Hoja9</vt:lpstr>
      <vt:lpstr>Hoja7</vt:lpstr>
      <vt:lpstr>DIGITURNO</vt:lpstr>
      <vt:lpstr>Hoja8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emca048</dc:creator>
  <cp:lastModifiedBy>emca012</cp:lastModifiedBy>
  <cp:lastPrinted>2026-09-03T22:50:21Z</cp:lastPrinted>
  <dcterms:created xsi:type="dcterms:W3CDTF">2025-02-05T12:43:24Z</dcterms:created>
  <dcterms:modified xsi:type="dcterms:W3CDTF">2026-10-05T16:11:39Z</dcterms:modified>
</cp:coreProperties>
</file>